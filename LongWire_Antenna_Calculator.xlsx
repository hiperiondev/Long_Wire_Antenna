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Transmatch Calculator" sheetId="4" state="visible" r:id="rId6"/>
    <sheet name="Length Sweep" sheetId="5" state="visible" r:id="rId7"/>
    <sheet name="UnUn Ratio Optimizer" sheetId="6" state="visible" r:id="rId8"/>
    <sheet name="Toroid_Database" sheetId="7" state="visible" r:id="rId9"/>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<sst xmlns="http://schemas.openxmlformats.org/spreadsheetml/2006/main" count="912" uniqueCount="510">
  <si>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</si>
  <si>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</si>
  <si>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</si>
  <si>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</si>
  <si>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</si>
  <si>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</si>
  <si>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</si>
  <si>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</si>
  <si>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</si>
  <si>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</si>
  <si>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</si>
  <si>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</si>
  <si>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</si>
  <si>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</si>
  <si>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</si>
  <si>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</si>
  <si>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</si>
  <si>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</si>
  <si>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</si>
  <si>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</si>
  <si>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</si>
  <si>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</si>
  <si>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</si>
  <si>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</si>
  <si>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</si>
  <si>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</si>
  <si>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</si>
  <si>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</si>
  <si>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</si>
  <si>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</si>
  <si>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</si>
  <si>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</si>
  <si>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</si>
  <si>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</si>
  <si>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</si>
  <si>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</si>
  <si>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</si>
  <si>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</si>
  <si>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</si>
  <si>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</si>
  <si>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</si>
  <si>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</si>
  <si>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</si>
  <si>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</si>
  <si>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</si>
  <si>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</si>
  <si>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</si>
  <si>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</si>
  <si>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</si>
  <si>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</si>
  <si>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</si>
  <si>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</si>
  <si>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</si>
  <si>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</si>
  <si>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</si>
  <si>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</si>
  <si>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</si>
  <si>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</si>
  <si>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</si>
  <si>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</si>
  <si>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</si>
  <si>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</si>
  <si>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</si>
  <si>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</si>
  <si>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</si>
  <si>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</si>
  <si>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</si>
  <si>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</si>
  <si>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</si>
  <si>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</si>
  <si>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</si>
  <si>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</si>
  <si>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</si>
  <si>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</si>
  <si>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</si>
  <si>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</si>
  <si>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</si>
  <si>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</si>
  <si>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</si>
  <si>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</si>
  <si>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</si>
  <si>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</si>
  <si>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</si>
  <si>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</si>
  <si>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</si>
  <si>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</si>
  <si>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</si>
  <si>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</si>
  <si>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</si>
  <si>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</si>
  <si>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</si>
  <si>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</si>
  <si>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</si>
  <si>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</si>
  <si>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</si>
  <si>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</si>
  <si>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</si>
  <si>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</si>
  <si>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</si>
  <si>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</si>
  <si>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</si>
  <si>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</si>
  <si>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</si>
  <si>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</si>
  <si>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</si>
  <si>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</si>
  <si>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</si>
  <si>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</si>
  <si>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</si>
  <si>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</si>
  <si>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</si>
  <si>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</si>
  <si>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</si>
  <si>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</si>
  <si>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</si>
  <si>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</si>
  <si>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</si>
  <si>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</si>
  <si>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</si>
  <si>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</si>
  <si>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</si>
  <si>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</si>
  <si>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</si>
  <si>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</si>
  <si>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</si>
  <si>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</si>
  <si>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</si>
  <si>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</si>
  <si>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</si>
  <si>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</si>
  <si>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</si>
  <si>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</si>
  <si>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</si>
  <si>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</si>
  <si>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</si>
  <si>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</si>
  <si>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</si>
  <si>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</si>
  <si>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</si>
  <si>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</si>
  <si>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</si>
  <si>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</si>
  <si>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</si>
  <si>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</si>
  <si>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</si>
  <si>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</si>
  <si>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</si>
  <si>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</si>
  <si>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</si>
  <si>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</si>
  <si>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</si>
  <si>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</si>
  <si>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</si>
  <si>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</si>
  <si>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</si>
  <si>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</si>
  <si>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</si>
  <si>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</si>
  <si>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</si>
  <si>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</si>
  <si>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</si>
  <si>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</si>
  <si>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</si>
  <si>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</si>
  <si>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</si>
  <si>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</si>
  <si>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</si>
  <si>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</si>
  <si>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</si>
  <si>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</si>
  <si>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</si>
  <si>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</si>
  <si>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</si>
  <si>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</si>
  <si>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</si>
  <si>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</si>
  <si>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</si>
  <si>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</si>
  <si>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</si>
  <si>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</si>
  <si>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</si>
  <si>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</si>
  <si>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</si>
  <si>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</si>
  <si>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</si>
  <si>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</si>
  <si>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</si>
  <si>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</si>
  <si>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</si>
  <si>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</si>
  <si>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</si>
  <si>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</si>
  <si>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</si>
  <si>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</si>
  <si>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</si>
  <si>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</si>
  <si>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</si>
  <si>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</si>
  <si>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</si>
  <si>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</si>
  <si>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</si>
  <si>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</si>
  <si>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</si>
  <si>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</si>
  <si>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</si>
  <si>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</si>
  <si>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</si>
  <si>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</si>
  <si>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</si>
  <si>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</si>
  <si>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</si>
  <si>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</si>
  <si>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</si>
  <si>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</si>
  <si>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</si>
  <si>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</si>
  <si>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</si>
  <si>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</si>
  <si>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</si>
  <si>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</si>
  <si>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</si>
  <si>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</si>
  <si>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</si>
  <si>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</si>
  <si>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</si>
  <si>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</si>
  <si>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</si>
  <si>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</si>
  <si>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</si>
  <si>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</si>
  <si>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</si>
  <si>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</si>
  <si>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</si>
  <si>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</si>
  <si>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</si>
  <si>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</si>
  <si>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</si>
  <si>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</si>
  <si>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</si>
  <si>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</si>
  <si>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</si>
  <si>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 (mm)</t>
  </si>
  <si>
    <t xml:space="preserve">Winding wire diameter incl. insulation</t>
  </si>
  <si>
    <t xml:space="preserve">Core Diameter (mm)</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</si>
  <si>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</si>
  <si>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</si>
  <si>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</si>
  <si>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</si>
  <si>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</si>
  <si>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</si>
  <si>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</si>
  <si>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</si>
  <si>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</si>
  <si>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</si>
  <si>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</si>
  <si>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</si>
  <si>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</si>
  <si>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</si>
  <si>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</si>
  <si>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</si>
  <si>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</si>
  <si>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</si>
  <si>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</si>
  <si>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</si>
  <si>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</si>
  <si>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</si>
  <si>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</si>
  <si>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</si>
  <si>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</si>
  <si>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</si>
  <si>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</si>
  <si>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</si>
  <si>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</si>
  <si>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</si>
  <si>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</si>
  <si>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</si>
  <si>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WINDING DESIGN</t>
  </si>
  <si>
    <t xml:space="preserve">Tap turn counts, cumulative turns, wire lengths, and DC resistance per section</t>
  </si>
  <si>
    <t xml:space="preserve">PER-TAP WINDING CALCULATIONS</t>
  </si>
  <si>
    <t xml:space="preserve">Turns Ratio
n = √(|Z|/Z₀)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</si>
  <si>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</si>
  <si>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</si>
  <si>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</si>
  <si>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</si>
  <si>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</si>
  <si>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</si>
  <si>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</si>
  <si>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</si>
  <si>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</si>
  <si>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</si>
  <si>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</si>
  <si>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</si>
  <si>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</si>
  <si>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</si>
  <si>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</si>
  <si>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</si>
  <si>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</si>
  <si>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</si>
  <si>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</si>
  <si>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</si>
  <si>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</si>
  <si>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</si>
  <si>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</si>
  <si>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</si>
  <si>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</si>
  <si>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</si>
  <si>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 (mm)</t>
  </si>
  <si>
    <t xml:space="preserve">Linked from Inputs → Core Diameter</t>
  </si>
  <si>
    <t xml:space="preserve">Wire Diameter incl. insulation (mm)</t>
  </si>
  <si>
    <t xml:space="preserve">Linked from Inputs → Wire Diameter</t>
  </si>
  <si>
    <t xml:space="preserve">Winding pitch (mm/turn)</t>
  </si>
  <si>
    <t xml:space="preserve">Wire dia + space between turns (C12); pitch = $C$8 + $C$12</t>
  </si>
  <si>
    <t xml:space="preserve">Total turns N (from Winding Design)</t>
  </si>
  <si>
    <t xml:space="preserve">Linked from Winding Design → total turns</t>
  </si>
  <si>
    <t xml:space="preserve">CALCULATED COIL PARAMETERS</t>
  </si>
  <si>
    <t xml:space="preserve">Formula</t>
  </si>
  <si>
    <t xml:space="preserve">Winding Length ℓ (mm)</t>
  </si>
  <si>
    <t xml:space="preserve">(N−1) × pitch + wire_dia</t>
  </si>
  <si>
    <t xml:space="preserve">Coil Radius r (mm)</t>
  </si>
  <si>
    <t xml:space="preserve">(D + wire_dia) / 2  →  inner_radius + wire_radius (center of wire)</t>
  </si>
  <si>
    <t xml:space="preserve">Coil Radius r (inches)</t>
  </si>
  <si>
    <t xml:space="preserve">in</t>
  </si>
  <si>
    <t xml:space="preserve">for Wheeler formula</t>
  </si>
  <si>
    <t xml:space="preserve">Winding Length ℓ (inches)</t>
  </si>
  <si>
    <t xml:space="preserve">Inductance L (µH) [Wheeler]</t>
  </si>
  <si>
    <t xml:space="preserve">L=(r²N²)/(9r+10ℓ) [inches]</t>
  </si>
  <si>
    <t xml:space="preserve">Reactance X_L at f_min (Ω)</t>
  </si>
  <si>
    <t xml:space="preserve">ωL = 2π·f_min·L  (f_min = lowest active tap)</t>
  </si>
  <si>
    <t xml:space="preserve">Minimum L required (µH)</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</si>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</sst>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4">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b val="true"/>
      <sz val="10"/>
      <color rgb="FF0000FF"/>
      <name val="Cantarell Light"/>
      <family val="0"/>
      <charset val="1"/>
    </font>
    <font>
      <sz val="10"/>
      <color rgb="FF00008B"/>
      <name val="Cantarell Light"/>
      <family val="0"/>
      <charset val="1"/>
    </font>
    <font>
      <sz val="10"/>
      <color rgb="FF555555"/>
      <name val="Cantarell Light"/>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s>
  <fills count="50">
    <fill>
      <patternFill patternType="none"/>
    </fill>
    <fill>
      <patternFill patternType="gray125"/>
    </fill>
    <fill>
      <patternFill patternType="solid">
        <fgColor rgb="FF1B3662"/>
        <bgColor rgb="FF1F3864"/>
      </patternFill>
    </fill>
    <fill>
      <patternFill patternType="solid">
        <fgColor rgb="FF336DAE"/>
        <bgColor rgb="FF4472C4"/>
      </patternFill>
    </fill>
    <fill>
      <patternFill patternType="solid">
        <fgColor rgb="FFEF9A2A"/>
        <bgColor rgb="FFFFB66C"/>
      </patternFill>
    </fill>
    <fill>
      <patternFill patternType="solid">
        <fgColor rgb="FFFFF2CC"/>
        <bgColor rgb="FFFFFACD"/>
      </patternFill>
    </fill>
    <fill>
      <patternFill patternType="solid">
        <fgColor rgb="FF375623"/>
        <bgColor rgb="FF404040"/>
      </patternFill>
    </fill>
    <fill>
      <patternFill patternType="solid">
        <fgColor rgb="FFFCE4D6"/>
        <bgColor rgb="FFFEDBE5"/>
      </patternFill>
    </fill>
    <fill>
      <patternFill patternType="solid">
        <fgColor rgb="FF4472C4"/>
        <bgColor rgb="FF336DAE"/>
      </patternFill>
    </fill>
    <fill>
      <patternFill patternType="solid">
        <fgColor rgb="FFC6EFCE"/>
        <bgColor rgb="FFDDE8CB"/>
      </patternFill>
    </fill>
    <fill>
      <patternFill patternType="solid">
        <fgColor rgb="FFFFC7CE"/>
        <bgColor rgb="FFFFCCCC"/>
      </patternFill>
    </fill>
    <fill>
      <patternFill patternType="solid">
        <fgColor rgb="FF7030A0"/>
        <bgColor rgb="FF575757"/>
      </patternFill>
    </fill>
    <fill>
      <patternFill patternType="darkGray">
        <fgColor rgb="FFFEDBE5"/>
        <bgColor rgb="FFFFCCCC"/>
      </patternFill>
    </fill>
    <fill>
      <patternFill patternType="solid">
        <fgColor rgb="FF1F507C"/>
        <bgColor rgb="FF1F5C8B"/>
      </patternFill>
    </fill>
    <fill>
      <patternFill patternType="darkGray">
        <fgColor rgb="FF6486B0"/>
        <bgColor rgb="FF5888C2"/>
      </patternFill>
    </fill>
    <fill>
      <patternFill patternType="solid">
        <fgColor rgb="FFADD08F"/>
        <bgColor rgb="FFAFD095"/>
      </patternFill>
    </fill>
    <fill>
      <patternFill patternType="solid">
        <fgColor rgb="FFDDE8CB"/>
        <bgColor rgb="FFE2F1D4"/>
      </patternFill>
    </fill>
    <fill>
      <patternFill patternType="solid">
        <fgColor rgb="FFFFFFA6"/>
        <bgColor rgb="FFFFFACD"/>
      </patternFill>
    </fill>
    <fill>
      <patternFill patternType="solid">
        <fgColor rgb="FFFFFFD7"/>
        <bgColor rgb="FFFFFACD"/>
      </patternFill>
    </fill>
    <fill>
      <patternFill patternType="solid">
        <fgColor rgb="FFFAFAFA"/>
        <bgColor rgb="FFF3F8FC"/>
      </patternFill>
    </fill>
    <fill>
      <patternFill patternType="solid">
        <fgColor rgb="FF803A02"/>
        <bgColor rgb="FF404040"/>
      </patternFill>
    </fill>
    <fill>
      <patternFill patternType="solid">
        <fgColor rgb="FFFFB66C"/>
        <bgColor rgb="FFFFAA95"/>
      </patternFill>
    </fill>
    <fill>
      <patternFill patternType="solid">
        <fgColor rgb="FFB4C7DC"/>
        <bgColor rgb="FFBDD7EE"/>
      </patternFill>
    </fill>
    <fill>
      <patternFill patternType="darkGray">
        <fgColor rgb="FFF3F8FC"/>
        <bgColor rgb="FFF0F9FF"/>
      </patternFill>
    </fill>
    <fill>
      <patternFill patternType="darkGray">
        <fgColor rgb="FFE2F1D4"/>
        <bgColor rgb="FFDDE8CB"/>
      </patternFill>
    </fill>
    <fill>
      <patternFill patternType="solid">
        <fgColor rgb="FFDEEAF1"/>
        <bgColor rgb="FFD6E4F0"/>
      </patternFill>
    </fill>
    <fill>
      <patternFill patternType="solid">
        <fgColor rgb="FF0071C0"/>
        <bgColor rgb="FF336DAE"/>
      </patternFill>
    </fill>
    <fill>
      <patternFill patternType="solid">
        <fgColor rgb="FFFFEB9C"/>
        <bgColor rgb="FFFFE699"/>
      </patternFill>
    </fill>
    <fill>
      <patternFill patternType="solid">
        <fgColor rgb="FFFFCCCC"/>
        <bgColor rgb="FFFFC7CE"/>
      </patternFill>
    </fill>
    <fill>
      <patternFill patternType="solid">
        <fgColor rgb="FF5888C2"/>
        <bgColor rgb="FF6486B0"/>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9E6"/>
      </patternFill>
    </fill>
    <fill>
      <patternFill patternType="darkGray">
        <fgColor rgb="FFF3F8FC"/>
        <bgColor rgb="FFF5F5F5"/>
      </patternFill>
    </fill>
    <fill>
      <patternFill patternType="solid">
        <fgColor rgb="FF1A2D40"/>
        <bgColor rgb="FF1B3662"/>
      </patternFill>
    </fill>
    <fill>
      <patternFill patternType="solid">
        <fgColor rgb="FF1F5C8B"/>
        <bgColor rgb="FF1F507C"/>
      </patternFill>
    </fill>
    <fill>
      <patternFill patternType="solid">
        <fgColor rgb="FFFFF9E6"/>
        <bgColor rgb="FFFFF8E7"/>
      </patternFill>
    </fill>
    <fill>
      <patternFill patternType="solid">
        <fgColor rgb="FFF0F9FF"/>
        <bgColor rgb="FFF3F8FC"/>
      </patternFill>
    </fill>
    <fill>
      <patternFill patternType="darkGray">
        <fgColor rgb="FFEF9A2A"/>
        <bgColor rgb="FFFFB66C"/>
      </patternFill>
    </fill>
    <fill>
      <patternFill patternType="solid">
        <fgColor rgb="FF1F3864"/>
        <bgColor rgb="FF1B3662"/>
      </patternFill>
    </fill>
    <fill>
      <patternFill patternType="solid">
        <fgColor rgb="FF2E4A6B"/>
        <bgColor rgb="FF1F507C"/>
      </patternFill>
    </fill>
    <fill>
      <patternFill patternType="solid">
        <fgColor rgb="FFD6E4F0"/>
        <bgColor rgb="FFDEEAF1"/>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darkGray">
        <fgColor rgb="FF5888C2"/>
        <bgColor rgb="FF6486B0"/>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A3AAB4"/>
      </left>
      <right style="thin">
        <color rgb="FFA3AAB4"/>
      </right>
      <top style="thin">
        <color rgb="FFA3AAB4"/>
      </top>
      <bottom style="thin">
        <color rgb="FFA3AAB4"/>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28"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9"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30" borderId="0" xfId="0" applyFont="true" applyBorder="true" applyAlignment="true" applyProtection="true">
      <alignment horizontal="left" vertical="center" textRotation="0" wrapText="true" indent="0" shrinkToFit="false"/>
      <protection locked="true" hidden="false"/>
    </xf>
    <xf numFmtId="164" fontId="36" fillId="31" borderId="1" xfId="0" applyFont="true" applyBorder="true" applyAlignment="true" applyProtection="true">
      <alignment horizontal="left" vertical="center" textRotation="0" wrapText="true" indent="0" shrinkToFit="false"/>
      <protection locked="true" hidden="false"/>
    </xf>
    <xf numFmtId="169" fontId="37" fillId="31" borderId="1" xfId="0" applyFont="true" applyBorder="true" applyAlignment="true" applyProtection="true">
      <alignment horizontal="center" vertical="center" textRotation="0" wrapText="true" indent="0" shrinkToFit="false"/>
      <protection locked="true" hidden="false"/>
    </xf>
    <xf numFmtId="164" fontId="37" fillId="31" borderId="1" xfId="0" applyFont="true" applyBorder="true" applyAlignment="true" applyProtection="true">
      <alignment horizontal="center" vertical="center" textRotation="0" wrapText="true" indent="0" shrinkToFit="false"/>
      <protection locked="true" hidden="false"/>
    </xf>
    <xf numFmtId="167" fontId="37" fillId="31"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30" borderId="1" xfId="0" applyFont="true" applyBorder="true" applyAlignment="true" applyProtection="true">
      <alignment horizontal="center" vertical="center" textRotation="0" wrapText="true" indent="0" shrinkToFit="false"/>
      <protection locked="true" hidden="false"/>
    </xf>
    <xf numFmtId="165" fontId="20"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center" vertical="center" textRotation="0" wrapText="true" indent="0" shrinkToFit="false"/>
      <protection locked="true" hidden="false"/>
    </xf>
    <xf numFmtId="167" fontId="20" fillId="30" borderId="1" xfId="0" applyFont="true" applyBorder="true" applyAlignment="true" applyProtection="true">
      <alignment horizontal="center" vertical="center" textRotation="0" wrapText="true" indent="0" shrinkToFit="false"/>
      <protection locked="true" hidden="false"/>
    </xf>
    <xf numFmtId="168" fontId="20" fillId="30" borderId="1" xfId="0" applyFont="true" applyBorder="true" applyAlignment="true" applyProtection="true">
      <alignment horizontal="center" vertical="center" textRotation="0" wrapText="true" indent="0" shrinkToFit="false"/>
      <protection locked="true" hidden="false"/>
    </xf>
    <xf numFmtId="169" fontId="20" fillId="30"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left" vertical="center" textRotation="0" wrapText="true" indent="0" shrinkToFit="false"/>
      <protection locked="true" hidden="false"/>
    </xf>
    <xf numFmtId="164" fontId="38" fillId="32" borderId="1" xfId="0" applyFont="true" applyBorder="true" applyAlignment="true" applyProtection="true">
      <alignment horizontal="center" vertical="center" textRotation="0" wrapText="true" indent="0" shrinkToFit="false"/>
      <protection locked="true" hidden="false"/>
    </xf>
    <xf numFmtId="165" fontId="20"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center" vertical="center" textRotation="0" wrapText="true" indent="0" shrinkToFit="false"/>
      <protection locked="true" hidden="false"/>
    </xf>
    <xf numFmtId="167" fontId="20" fillId="32" borderId="1" xfId="0" applyFont="true" applyBorder="true" applyAlignment="true" applyProtection="true">
      <alignment horizontal="center" vertical="center" textRotation="0" wrapText="true" indent="0" shrinkToFit="false"/>
      <protection locked="true" hidden="false"/>
    </xf>
    <xf numFmtId="168" fontId="20" fillId="32" borderId="1" xfId="0" applyFont="true" applyBorder="true" applyAlignment="true" applyProtection="true">
      <alignment horizontal="center" vertical="center" textRotation="0" wrapText="true" indent="0" shrinkToFit="false"/>
      <protection locked="true" hidden="false"/>
    </xf>
    <xf numFmtId="169" fontId="20" fillId="32" borderId="1" xfId="0" applyFont="true" applyBorder="true" applyAlignment="true" applyProtection="true">
      <alignment horizontal="center" vertical="center" textRotation="0" wrapText="true" indent="0" shrinkToFit="false"/>
      <protection locked="true" hidden="false"/>
    </xf>
    <xf numFmtId="167" fontId="19"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left" vertical="center" textRotation="0" wrapText="true" indent="0" shrinkToFit="false"/>
      <protection locked="true" hidden="false"/>
    </xf>
    <xf numFmtId="164" fontId="10" fillId="33" borderId="0" xfId="0" applyFont="true" applyBorder="true" applyAlignment="true" applyProtection="true">
      <alignment horizontal="left" vertical="top" textRotation="0" wrapText="true" indent="0" shrinkToFit="false"/>
      <protection locked="true" hidden="false"/>
    </xf>
    <xf numFmtId="164" fontId="40" fillId="34" borderId="0" xfId="0" applyFont="true" applyBorder="true" applyAlignment="true" applyProtection="true">
      <alignment horizontal="left" vertical="center" textRotation="0" wrapText="true" indent="0" shrinkToFit="false"/>
      <protection locked="true" hidden="false"/>
    </xf>
    <xf numFmtId="164" fontId="7" fillId="35" borderId="0" xfId="0" applyFont="true" applyBorder="true" applyAlignment="true" applyProtection="true">
      <alignment horizontal="center" vertical="center" textRotation="0" wrapText="true" indent="0" shrinkToFit="false"/>
      <protection locked="true" hidden="false"/>
    </xf>
    <xf numFmtId="164" fontId="41" fillId="0" borderId="0" xfId="0" applyFont="true" applyBorder="true" applyAlignment="true" applyProtection="true">
      <alignment horizontal="left" vertical="center" textRotation="0" wrapText="true" indent="0" shrinkToFit="false"/>
      <protection locked="true" hidden="false"/>
    </xf>
    <xf numFmtId="164" fontId="7" fillId="36" borderId="3" xfId="0" applyFont="true" applyBorder="true" applyAlignment="true" applyProtection="true">
      <alignment horizontal="center" vertical="center" textRotation="0" wrapText="true" indent="0" shrinkToFit="false"/>
      <protection locked="true" hidden="false"/>
    </xf>
    <xf numFmtId="164" fontId="7" fillId="35" borderId="3"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right" vertical="center" textRotation="0" wrapText="true" indent="0" shrinkToFit="false"/>
      <protection locked="true" hidden="false"/>
    </xf>
    <xf numFmtId="164" fontId="42" fillId="37" borderId="0" xfId="0" applyFont="true" applyBorder="false" applyAlignment="true" applyProtection="true">
      <alignment horizontal="center" vertical="center" textRotation="0" wrapText="true" indent="0" shrinkToFit="false"/>
      <protection locked="true" hidden="false"/>
    </xf>
    <xf numFmtId="164" fontId="43" fillId="30" borderId="0" xfId="0" applyFont="true" applyBorder="true" applyAlignment="true" applyProtection="true">
      <alignment horizontal="left" vertical="center" textRotation="0" wrapText="true" indent="0" shrinkToFit="false"/>
      <protection locked="true" hidden="false"/>
    </xf>
    <xf numFmtId="164" fontId="4" fillId="30" borderId="0" xfId="0" applyFont="true" applyBorder="false" applyAlignment="true" applyProtection="true">
      <alignment horizontal="general" vertical="bottom" textRotation="0" wrapText="true" indent="0" shrinkToFit="false"/>
      <protection locked="true" hidden="false"/>
    </xf>
    <xf numFmtId="164" fontId="42" fillId="38" borderId="0" xfId="0" applyFont="true" applyBorder="false" applyAlignment="true" applyProtection="true">
      <alignment horizontal="center" vertical="center" textRotation="0" wrapText="true" indent="0" shrinkToFit="false"/>
      <protection locked="true" hidden="false"/>
    </xf>
    <xf numFmtId="164" fontId="13" fillId="38" borderId="0" xfId="0" applyFont="true" applyBorder="false" applyAlignment="true" applyProtection="true">
      <alignment horizontal="center" vertical="center" textRotation="0" wrapText="true" indent="0" shrinkToFit="false"/>
      <protection locked="true" hidden="false"/>
    </xf>
    <xf numFmtId="168" fontId="13" fillId="38"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true" applyAlignment="true" applyProtection="true">
      <alignment horizontal="left" vertical="center" textRotation="0" wrapText="true" indent="0" shrinkToFit="false"/>
      <protection locked="true" hidden="false"/>
    </xf>
    <xf numFmtId="164" fontId="13" fillId="30"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72" fontId="42" fillId="37" borderId="0" xfId="0" applyFont="true" applyBorder="false" applyAlignment="true" applyProtection="true">
      <alignment horizontal="center" vertical="center" textRotation="0" wrapText="true" indent="0" shrinkToFit="false"/>
      <protection locked="true" hidden="false"/>
    </xf>
    <xf numFmtId="173" fontId="42" fillId="37"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6" borderId="0"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5" fontId="13" fillId="38" borderId="0" xfId="0" applyFont="true" applyBorder="false" applyAlignment="true" applyProtection="true">
      <alignment horizontal="center" vertical="center" textRotation="0" wrapText="true" indent="0" shrinkToFit="false"/>
      <protection locked="true" hidden="false"/>
    </xf>
    <xf numFmtId="176" fontId="13" fillId="38" borderId="0" xfId="0" applyFont="true" applyBorder="false" applyAlignment="true" applyProtection="true">
      <alignment horizontal="center" vertical="center" textRotation="0" wrapText="true" indent="0" shrinkToFit="false"/>
      <protection locked="true" hidden="false"/>
    </xf>
    <xf numFmtId="164" fontId="20" fillId="38" borderId="0" xfId="0" applyFont="true" applyBorder="false" applyAlignment="true" applyProtection="true">
      <alignment horizontal="center" vertical="center" textRotation="0" wrapText="true" indent="0" shrinkToFit="false"/>
      <protection locked="true" hidden="false"/>
    </xf>
    <xf numFmtId="172" fontId="13" fillId="38" borderId="0" xfId="0" applyFont="true" applyBorder="false" applyAlignment="true" applyProtection="true">
      <alignment horizontal="center" vertical="center" textRotation="0" wrapText="true" indent="0" shrinkToFit="false"/>
      <protection locked="true" hidden="false"/>
    </xf>
    <xf numFmtId="174" fontId="13" fillId="38" borderId="0" xfId="0" applyFont="true" applyBorder="false" applyAlignment="true" applyProtection="true">
      <alignment horizontal="center" vertical="center" textRotation="0" wrapText="true" indent="0" shrinkToFit="false"/>
      <protection locked="true" hidden="false"/>
    </xf>
    <xf numFmtId="165" fontId="13" fillId="38" borderId="0" xfId="0" applyFont="true" applyBorder="false" applyAlignment="true" applyProtection="true">
      <alignment horizontal="center" vertical="center" textRotation="0" wrapText="true" indent="0" shrinkToFit="false"/>
      <protection locked="true" hidden="false"/>
    </xf>
    <xf numFmtId="167" fontId="13" fillId="38" borderId="0" xfId="0" applyFont="true" applyBorder="false" applyAlignment="true" applyProtection="true">
      <alignment horizontal="center" vertical="center" textRotation="0" wrapText="true" indent="0" shrinkToFit="false"/>
      <protection locked="true" hidden="false"/>
    </xf>
    <xf numFmtId="169" fontId="13" fillId="38" borderId="0" xfId="0" applyFont="true" applyBorder="false" applyAlignment="true" applyProtection="true">
      <alignment horizontal="center" vertical="center" textRotation="0" wrapText="true" indent="0" shrinkToFit="false"/>
      <protection locked="true" hidden="false"/>
    </xf>
    <xf numFmtId="164" fontId="13" fillId="39" borderId="0" xfId="0" applyFont="true" applyBorder="true" applyAlignment="true" applyProtection="true">
      <alignment horizontal="center" vertical="center" textRotation="0" wrapText="true" indent="0" shrinkToFit="false"/>
      <protection locked="true" hidden="false"/>
    </xf>
    <xf numFmtId="172" fontId="13" fillId="38" borderId="3" xfId="0" applyFont="true" applyBorder="true" applyAlignment="true" applyProtection="true">
      <alignment horizontal="center" vertical="center" textRotation="0" wrapText="true" indent="0" shrinkToFit="false"/>
      <protection locked="true" hidden="false"/>
    </xf>
    <xf numFmtId="175" fontId="13" fillId="38" borderId="3" xfId="0" applyFont="true" applyBorder="true" applyAlignment="true" applyProtection="true">
      <alignment horizontal="center" vertical="center" textRotation="0" wrapText="true" indent="0" shrinkToFit="false"/>
      <protection locked="true" hidden="false"/>
    </xf>
    <xf numFmtId="164" fontId="13" fillId="39" borderId="3" xfId="0" applyFont="true" applyBorder="true" applyAlignment="true" applyProtection="true">
      <alignment horizontal="center" vertical="center" textRotation="0" wrapText="true" indent="0" shrinkToFit="false"/>
      <protection locked="true" hidden="false"/>
    </xf>
    <xf numFmtId="164" fontId="20" fillId="40" borderId="0" xfId="0" applyFont="true" applyBorder="true" applyAlignment="true" applyProtection="true">
      <alignment horizontal="center" vertical="center" textRotation="0" wrapText="false" indent="0" shrinkToFit="false"/>
      <protection locked="true" hidden="false"/>
    </xf>
    <xf numFmtId="164" fontId="44" fillId="0" borderId="0" xfId="0" applyFont="true" applyBorder="true" applyAlignment="true" applyProtection="true">
      <alignment horizontal="general" vertical="bottom" textRotation="0" wrapText="false" indent="0" shrinkToFit="false"/>
      <protection locked="true" hidden="false"/>
    </xf>
    <xf numFmtId="164" fontId="7" fillId="41" borderId="0" xfId="0" applyFont="true" applyBorder="true" applyAlignment="true" applyProtection="true">
      <alignment horizontal="general" vertical="bottom" textRotation="0" wrapText="false" indent="0" shrinkToFit="false"/>
      <protection locked="true" hidden="false"/>
    </xf>
    <xf numFmtId="164" fontId="45" fillId="30" borderId="0" xfId="0" applyFont="true" applyBorder="true" applyAlignment="true" applyProtection="true">
      <alignment horizontal="general" vertical="bottom" textRotation="0" wrapText="false" indent="0" shrinkToFit="false"/>
      <protection locked="true" hidden="false"/>
    </xf>
    <xf numFmtId="164" fontId="7" fillId="41" borderId="3" xfId="0" applyFont="true" applyBorder="true" applyAlignment="true" applyProtection="true">
      <alignment horizontal="center" vertical="center" textRotation="0" wrapText="true" indent="0" shrinkToFit="false"/>
      <protection locked="true" hidden="false"/>
    </xf>
    <xf numFmtId="164" fontId="20" fillId="38" borderId="0" xfId="0" applyFont="true" applyBorder="false" applyAlignment="true" applyProtection="true">
      <alignment horizontal="center" vertical="bottom" textRotation="0" wrapText="false" indent="0" shrinkToFit="false"/>
      <protection locked="true" hidden="false"/>
    </xf>
    <xf numFmtId="169" fontId="20" fillId="38" borderId="0" xfId="0" applyFont="true" applyBorder="false" applyAlignment="true" applyProtection="true">
      <alignment horizontal="center" vertical="bottom" textRotation="0" wrapText="false" indent="0" shrinkToFit="false"/>
      <protection locked="true" hidden="false"/>
    </xf>
    <xf numFmtId="165" fontId="20" fillId="38" borderId="0" xfId="0" applyFont="true" applyBorder="false" applyAlignment="true" applyProtection="true">
      <alignment horizontal="center" vertical="bottom" textRotation="0" wrapText="false" indent="0" shrinkToFit="false"/>
      <protection locked="true" hidden="false"/>
    </xf>
    <xf numFmtId="164" fontId="46" fillId="3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47" fillId="2" borderId="0" xfId="0" applyFont="true" applyBorder="true" applyAlignment="true" applyProtection="true">
      <alignment horizontal="center" vertical="center" textRotation="0" wrapText="true" indent="0" shrinkToFit="false"/>
      <protection locked="true" hidden="false"/>
    </xf>
    <xf numFmtId="164" fontId="47" fillId="0" borderId="0" xfId="0" applyFont="true" applyBorder="false" applyAlignment="true" applyProtection="true">
      <alignment horizontal="center" vertical="center" textRotation="0" wrapText="true" indent="0" shrinkToFit="false"/>
      <protection locked="true" hidden="false"/>
    </xf>
    <xf numFmtId="164" fontId="48" fillId="42" borderId="0" xfId="0" applyFont="true" applyBorder="true" applyAlignment="true" applyProtection="true">
      <alignment horizontal="center" vertical="center" textRotation="0" wrapText="true" indent="0" shrinkToFit="false"/>
      <protection locked="true" hidden="false"/>
    </xf>
    <xf numFmtId="164" fontId="49"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3" borderId="0" xfId="0" applyFont="true" applyBorder="false" applyAlignment="true" applyProtection="true">
      <alignment horizontal="center" vertical="center" textRotation="0" wrapText="true" indent="0" shrinkToFit="false"/>
      <protection locked="true" hidden="false"/>
    </xf>
    <xf numFmtId="164" fontId="13" fillId="43" borderId="0" xfId="0" applyFont="true" applyBorder="false" applyAlignment="true" applyProtection="true">
      <alignment horizontal="center" vertical="center" textRotation="0" wrapText="true" indent="0" shrinkToFit="false"/>
      <protection locked="true" hidden="false"/>
    </xf>
    <xf numFmtId="169" fontId="13" fillId="32" borderId="0" xfId="0" applyFont="true" applyBorder="false" applyAlignment="true" applyProtection="true">
      <alignment horizontal="center" vertical="center" textRotation="0" wrapText="true" indent="0" shrinkToFit="false"/>
      <protection locked="true" hidden="false"/>
    </xf>
    <xf numFmtId="164" fontId="13" fillId="32" borderId="0" xfId="0" applyFont="true" applyBorder="false" applyAlignment="true" applyProtection="true">
      <alignment horizontal="center" vertical="center" textRotation="0" wrapText="true" indent="0" shrinkToFit="false"/>
      <protection locked="true" hidden="false"/>
    </xf>
    <xf numFmtId="164" fontId="47" fillId="13" borderId="0" xfId="0" applyFont="true" applyBorder="true" applyAlignment="true" applyProtection="true">
      <alignment horizontal="left" vertical="center" textRotation="0" wrapText="true" indent="0" shrinkToFit="false"/>
      <protection locked="true" hidden="false"/>
    </xf>
    <xf numFmtId="164" fontId="47" fillId="0" borderId="0" xfId="0" applyFont="true" applyBorder="false" applyAlignment="true" applyProtection="true">
      <alignment horizontal="left"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47" fillId="3" borderId="0" xfId="0" applyFont="true" applyBorder="true" applyAlignment="true" applyProtection="true">
      <alignment horizontal="left" vertical="center" textRotation="0" wrapText="true" indent="0" shrinkToFit="false"/>
      <protection locked="true" hidden="false"/>
    </xf>
    <xf numFmtId="164" fontId="19" fillId="44" borderId="2" xfId="0" applyFont="true" applyBorder="true" applyAlignment="true" applyProtection="true">
      <alignment horizontal="center" vertical="center" textRotation="0" wrapText="true" indent="0" shrinkToFit="false"/>
      <protection locked="true" hidden="false"/>
    </xf>
    <xf numFmtId="164" fontId="51" fillId="0" borderId="2" xfId="0" applyFont="true" applyBorder="true" applyAlignment="true" applyProtection="true">
      <alignment horizontal="center" vertical="center" textRotation="0" wrapText="false" indent="0" shrinkToFit="false"/>
      <protection locked="true" hidden="false"/>
    </xf>
    <xf numFmtId="167" fontId="51" fillId="0" borderId="2" xfId="0" applyFont="true" applyBorder="true" applyAlignment="true" applyProtection="true">
      <alignment horizontal="center" vertical="center" textRotation="0" wrapText="false" indent="0" shrinkToFit="false"/>
      <protection locked="true" hidden="false"/>
    </xf>
    <xf numFmtId="175" fontId="51" fillId="0" borderId="2" xfId="0" applyFont="true" applyBorder="true" applyAlignment="true" applyProtection="true">
      <alignment horizontal="center" vertical="center" textRotation="0" wrapText="false" indent="0" shrinkToFit="false"/>
      <protection locked="true" hidden="false"/>
    </xf>
    <xf numFmtId="164" fontId="47" fillId="6" borderId="0" xfId="0" applyFont="true" applyBorder="true" applyAlignment="true" applyProtection="true">
      <alignment horizontal="left" vertical="center" textRotation="0" wrapText="true" indent="0" shrinkToFit="false"/>
      <protection locked="true" hidden="false"/>
    </xf>
    <xf numFmtId="170" fontId="51" fillId="0" borderId="2" xfId="0" applyFont="true" applyBorder="true" applyAlignment="true" applyProtection="true">
      <alignment horizontal="center" vertical="center" textRotation="0" wrapText="false" indent="0" shrinkToFit="false"/>
      <protection locked="true" hidden="false"/>
    </xf>
    <xf numFmtId="177" fontId="51" fillId="0" borderId="2" xfId="0" applyFont="true" applyBorder="true" applyAlignment="true" applyProtection="true">
      <alignment horizontal="center" vertical="center" textRotation="0" wrapText="false" indent="0" shrinkToFit="false"/>
      <protection locked="true" hidden="false"/>
    </xf>
    <xf numFmtId="177" fontId="51" fillId="0" borderId="0" xfId="0" applyFont="true" applyBorder="false" applyAlignment="true" applyProtection="true">
      <alignment horizontal="general" vertical="bottom" textRotation="0" wrapText="false" indent="0" shrinkToFit="false"/>
      <protection locked="true" hidden="false"/>
    </xf>
    <xf numFmtId="170" fontId="51" fillId="0" borderId="0" xfId="0" applyFont="true" applyBorder="false" applyAlignment="true" applyProtection="true">
      <alignment horizontal="general" vertical="bottom" textRotation="0" wrapText="false" indent="0" shrinkToFit="false"/>
      <protection locked="true" hidden="false"/>
    </xf>
    <xf numFmtId="164" fontId="47" fillId="11" borderId="0" xfId="0" applyFont="true" applyBorder="true" applyAlignment="true" applyProtection="true">
      <alignment horizontal="left" vertical="center" textRotation="0" wrapText="true" indent="0" shrinkToFit="false"/>
      <protection locked="true" hidden="false"/>
    </xf>
    <xf numFmtId="164" fontId="50" fillId="0" borderId="0" xfId="0" applyFont="true" applyBorder="true" applyAlignment="true" applyProtection="true">
      <alignment horizontal="left" vertical="center" textRotation="0" wrapText="true" indent="0" shrinkToFit="false"/>
      <protection locked="true" hidden="false"/>
    </xf>
    <xf numFmtId="164" fontId="47" fillId="45" borderId="2" xfId="0" applyFont="true" applyBorder="true" applyAlignment="true" applyProtection="true">
      <alignment horizontal="center" vertical="center" textRotation="0" wrapText="true" indent="0" shrinkToFit="false"/>
      <protection locked="true" hidden="false"/>
    </xf>
    <xf numFmtId="170" fontId="47" fillId="45" borderId="2" xfId="0" applyFont="true" applyBorder="true" applyAlignment="true" applyProtection="true">
      <alignment horizontal="center" vertical="center" textRotation="0" wrapText="true" indent="0" shrinkToFit="false"/>
      <protection locked="true" hidden="false"/>
    </xf>
    <xf numFmtId="177" fontId="47" fillId="13" borderId="0" xfId="0" applyFont="true" applyBorder="true" applyAlignment="true" applyProtection="true">
      <alignment horizontal="center" vertical="center" textRotation="0" wrapText="true" indent="0" shrinkToFit="false"/>
      <protection locked="true" hidden="false"/>
    </xf>
    <xf numFmtId="177" fontId="47" fillId="6" borderId="0" xfId="0" applyFont="true" applyBorder="true" applyAlignment="true" applyProtection="true">
      <alignment horizontal="center" vertical="center" textRotation="0" wrapText="true" indent="0" shrinkToFit="false"/>
      <protection locked="true" hidden="false"/>
    </xf>
    <xf numFmtId="177" fontId="47" fillId="11" borderId="0" xfId="0" applyFont="true" applyBorder="true" applyAlignment="true" applyProtection="true">
      <alignment horizontal="center" vertical="center" textRotation="0" wrapText="true" indent="0" shrinkToFit="false"/>
      <protection locked="true" hidden="false"/>
    </xf>
    <xf numFmtId="164" fontId="47" fillId="20" borderId="0" xfId="0" applyFont="true" applyBorder="true" applyAlignment="true" applyProtection="true">
      <alignment horizontal="center" vertical="center" textRotation="0" wrapText="true" indent="0" shrinkToFit="false"/>
      <protection locked="true" hidden="false"/>
    </xf>
    <xf numFmtId="164" fontId="47" fillId="8" borderId="0" xfId="0" applyFont="true" applyBorder="true" applyAlignment="true" applyProtection="true">
      <alignment horizontal="center" vertical="center" textRotation="0" wrapText="true" indent="0" shrinkToFit="false"/>
      <protection locked="true" hidden="false"/>
    </xf>
    <xf numFmtId="177" fontId="52" fillId="44" borderId="2" xfId="0" applyFont="true" applyBorder="true" applyAlignment="true" applyProtection="true">
      <alignment horizontal="center" vertical="center" textRotation="0" wrapText="false" indent="0" shrinkToFit="false"/>
      <protection locked="true" hidden="false"/>
    </xf>
    <xf numFmtId="177" fontId="52" fillId="46" borderId="2" xfId="0" applyFont="true" applyBorder="true" applyAlignment="true" applyProtection="true">
      <alignment horizontal="center" vertical="center" textRotation="0" wrapText="true" indent="0" shrinkToFit="false"/>
      <protection locked="true" hidden="false"/>
    </xf>
    <xf numFmtId="164" fontId="52" fillId="46" borderId="2" xfId="0" applyFont="true" applyBorder="true" applyAlignment="true" applyProtection="true">
      <alignment horizontal="center" vertical="center" textRotation="0" wrapText="true" indent="0" shrinkToFit="false"/>
      <protection locked="true" hidden="false"/>
    </xf>
    <xf numFmtId="164" fontId="52" fillId="44" borderId="2" xfId="0" applyFont="true" applyBorder="true" applyAlignment="true" applyProtection="true">
      <alignment horizontal="center" vertical="center"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2" fillId="0" borderId="0" xfId="0" applyFont="true" applyBorder="false" applyAlignment="true" applyProtection="true">
      <alignment horizontal="general" vertical="bottom" textRotation="0" wrapText="true" indent="0" shrinkToFit="false"/>
      <protection locked="true" hidden="false"/>
    </xf>
    <xf numFmtId="164" fontId="53" fillId="24" borderId="2" xfId="0" applyFont="true" applyBorder="true" applyAlignment="true" applyProtection="true">
      <alignment horizontal="center" vertical="center" textRotation="0" wrapText="false" indent="0" shrinkToFit="false"/>
      <protection locked="true" hidden="false"/>
    </xf>
    <xf numFmtId="164" fontId="51" fillId="24" borderId="2" xfId="0" applyFont="true" applyBorder="true" applyAlignment="true" applyProtection="true">
      <alignment horizontal="center" vertical="center" textRotation="0" wrapText="false" indent="0" shrinkToFit="false"/>
      <protection locked="true" hidden="false"/>
    </xf>
    <xf numFmtId="170" fontId="51" fillId="24" borderId="2" xfId="0" applyFont="true" applyBorder="true" applyAlignment="true" applyProtection="true">
      <alignment horizontal="center" vertical="center" textRotation="0" wrapText="false" indent="0" shrinkToFit="false"/>
      <protection locked="true" hidden="false"/>
    </xf>
    <xf numFmtId="177" fontId="51" fillId="24" borderId="2" xfId="0" applyFont="true" applyBorder="true" applyAlignment="true" applyProtection="true">
      <alignment horizontal="center" vertical="center" textRotation="0" wrapText="false" indent="0" shrinkToFit="false"/>
      <protection locked="true" hidden="false"/>
    </xf>
    <xf numFmtId="177" fontId="51" fillId="5" borderId="2" xfId="0" applyFont="true" applyBorder="true" applyAlignment="true" applyProtection="true">
      <alignment horizontal="center" vertical="center" textRotation="0" wrapText="false" indent="0" shrinkToFit="false"/>
      <protection locked="true" hidden="false"/>
    </xf>
    <xf numFmtId="164" fontId="23" fillId="5" borderId="2" xfId="0" applyFont="true" applyBorder="true" applyAlignment="true" applyProtection="true">
      <alignment horizontal="center" vertical="center" textRotation="0" wrapText="false" indent="0" shrinkToFit="false"/>
      <protection locked="true" hidden="false"/>
    </xf>
    <xf numFmtId="164" fontId="23" fillId="24" borderId="2" xfId="0" applyFont="true" applyBorder="true" applyAlignment="true" applyProtection="true">
      <alignment horizontal="center" vertical="center" textRotation="0" wrapText="false" indent="0" shrinkToFit="false"/>
      <protection locked="true" hidden="false"/>
    </xf>
    <xf numFmtId="164" fontId="23" fillId="24" borderId="0" xfId="0" applyFont="true" applyBorder="false" applyAlignment="true" applyProtection="true">
      <alignment horizontal="center" vertical="center" textRotation="0" wrapText="false" indent="0" shrinkToFit="false"/>
      <protection locked="true" hidden="false"/>
    </xf>
    <xf numFmtId="164" fontId="23" fillId="5" borderId="0" xfId="0" applyFont="true" applyBorder="false" applyAlignment="true" applyProtection="true">
      <alignment horizontal="center" vertical="center" textRotation="0" wrapText="false" indent="0" shrinkToFit="false"/>
      <protection locked="true" hidden="false"/>
    </xf>
    <xf numFmtId="177" fontId="51" fillId="47" borderId="2" xfId="0" applyFont="true" applyBorder="true" applyAlignment="true" applyProtection="true">
      <alignment horizontal="center" vertical="center" textRotation="0" wrapText="false" indent="0" shrinkToFit="false"/>
      <protection locked="true" hidden="false"/>
    </xf>
    <xf numFmtId="164" fontId="23" fillId="47" borderId="2" xfId="0" applyFont="true" applyBorder="true" applyAlignment="true" applyProtection="true">
      <alignment horizontal="center" vertical="center" textRotation="0" wrapText="false" indent="0" shrinkToFit="false"/>
      <protection locked="true" hidden="false"/>
    </xf>
    <xf numFmtId="164" fontId="23" fillId="0" borderId="2"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false" applyAlignment="true" applyProtection="true">
      <alignment horizontal="center" vertical="center" textRotation="0" wrapText="false" indent="0" shrinkToFit="false"/>
      <protection locked="true" hidden="false"/>
    </xf>
    <xf numFmtId="164" fontId="23" fillId="47" borderId="0" xfId="0" applyFont="true" applyBorder="false" applyAlignment="true" applyProtection="true">
      <alignment horizontal="center" vertical="center" textRotation="0" wrapText="false" indent="0" shrinkToFit="false"/>
      <protection locked="true" hidden="false"/>
    </xf>
    <xf numFmtId="164" fontId="51" fillId="43" borderId="2" xfId="0" applyFont="true" applyBorder="true" applyAlignment="true" applyProtection="true">
      <alignment horizontal="center" vertical="center" textRotation="0" wrapText="false" indent="0" shrinkToFit="false"/>
      <protection locked="true" hidden="false"/>
    </xf>
    <xf numFmtId="170" fontId="51" fillId="43" borderId="2" xfId="0" applyFont="true" applyBorder="true" applyAlignment="true" applyProtection="true">
      <alignment horizontal="center" vertical="center" textRotation="0" wrapText="false" indent="0" shrinkToFit="false"/>
      <protection locked="true" hidden="false"/>
    </xf>
    <xf numFmtId="177" fontId="51" fillId="43" borderId="2" xfId="0" applyFont="true" applyBorder="true" applyAlignment="true" applyProtection="true">
      <alignment horizontal="center" vertical="center" textRotation="0" wrapText="false" indent="0" shrinkToFit="false"/>
      <protection locked="true" hidden="false"/>
    </xf>
    <xf numFmtId="164" fontId="23" fillId="43" borderId="2" xfId="0" applyFont="true" applyBorder="true" applyAlignment="true" applyProtection="true">
      <alignment horizontal="center" vertical="center" textRotation="0" wrapText="false" indent="0" shrinkToFit="false"/>
      <protection locked="true" hidden="false"/>
    </xf>
    <xf numFmtId="164" fontId="23" fillId="43" borderId="0" xfId="0" applyFont="true" applyBorder="false" applyAlignment="true" applyProtection="true">
      <alignment horizontal="center" vertical="center" textRotation="0" wrapText="false" indent="0" shrinkToFit="false"/>
      <protection locked="true" hidden="false"/>
    </xf>
    <xf numFmtId="164" fontId="51" fillId="47" borderId="2" xfId="0" applyFont="true" applyBorder="true" applyAlignment="true" applyProtection="true">
      <alignment horizontal="center" vertical="center" textRotation="0" wrapText="false" indent="0" shrinkToFit="false"/>
      <protection locked="true" hidden="false"/>
    </xf>
    <xf numFmtId="167" fontId="51" fillId="24" borderId="2" xfId="0" applyFont="true" applyBorder="true" applyAlignment="true" applyProtection="true">
      <alignment horizontal="center" vertical="center" textRotation="0" wrapText="false" indent="0" shrinkToFit="false"/>
      <protection locked="true" hidden="false"/>
    </xf>
    <xf numFmtId="164" fontId="51" fillId="5" borderId="2" xfId="0" applyFont="true" applyBorder="true" applyAlignment="true" applyProtection="true">
      <alignment horizontal="center" vertical="center" textRotation="0" wrapText="false" indent="0" shrinkToFit="false"/>
      <protection locked="true" hidden="false"/>
    </xf>
    <xf numFmtId="167" fontId="51" fillId="43" borderId="2" xfId="0" applyFont="true" applyBorder="true" applyAlignment="true" applyProtection="true">
      <alignment horizontal="center" vertical="center" textRotation="0" wrapText="false" indent="0" shrinkToFit="false"/>
      <protection locked="true" hidden="false"/>
    </xf>
    <xf numFmtId="164" fontId="23" fillId="48" borderId="0" xfId="0" applyFont="true" applyBorder="true" applyAlignment="true" applyProtection="true">
      <alignment horizontal="center" vertical="center" textRotation="0" wrapText="false" indent="0" shrinkToFit="false"/>
      <protection locked="true" hidden="false"/>
    </xf>
    <xf numFmtId="164" fontId="19" fillId="0" borderId="2" xfId="0" applyFont="true" applyBorder="true" applyAlignment="true" applyProtection="true">
      <alignment horizontal="center" vertical="center" textRotation="0" wrapText="true" indent="0" shrinkToFit="false"/>
      <protection locked="true" hidden="false"/>
    </xf>
    <xf numFmtId="164" fontId="23" fillId="0" borderId="2" xfId="0" applyFont="true" applyBorder="true" applyAlignment="true" applyProtection="true">
      <alignment horizontal="general" vertical="bottom" textRotation="0" wrapText="true" indent="0" shrinkToFit="false"/>
      <protection locked="true" hidden="false"/>
    </xf>
    <xf numFmtId="164" fontId="23" fillId="0" borderId="2" xfId="0" applyFont="true" applyBorder="true" applyAlignment="true" applyProtection="true">
      <alignment horizontal="center" vertical="center" textRotation="0" wrapText="true" indent="0" shrinkToFit="false"/>
      <protection locked="true" hidden="false"/>
    </xf>
    <xf numFmtId="167" fontId="23" fillId="0" borderId="2" xfId="0" applyFont="true" applyBorder="true" applyAlignment="true" applyProtection="true">
      <alignment horizontal="center" vertical="center" textRotation="0" wrapText="true" indent="0" shrinkToFit="false"/>
      <protection locked="true" hidden="false"/>
    </xf>
    <xf numFmtId="164" fontId="23" fillId="0" borderId="2" xfId="0" applyFont="true" applyBorder="true" applyAlignment="true" applyProtection="true">
      <alignment horizontal="left" vertical="center" textRotation="0" wrapText="true" indent="0" shrinkToFit="false"/>
      <protection locked="true" hidden="false"/>
    </xf>
    <xf numFmtId="164" fontId="47" fillId="49"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8E7"/>
      <rgbColor rgb="FFFFFACD"/>
      <rgbColor rgb="FF0000FF"/>
      <rgbColor rgb="FFFFEB9C"/>
      <rgbColor rgb="FFFCE4D6"/>
      <rgbColor rgb="FFE2F1D4"/>
      <rgbColor rgb="FFB00001"/>
      <rgbColor rgb="FF006300"/>
      <rgbColor rgb="FF0000BF"/>
      <rgbColor rgb="FFDDE8CB"/>
      <rgbColor rgb="FFF5F5F5"/>
      <rgbColor rgb="FF1F5C8B"/>
      <rgbColor rgb="FFB4C7DC"/>
      <rgbColor rgb="FF6486B0"/>
      <rgbColor rgb="FFABABAB"/>
      <rgbColor rgb="FF7030A0"/>
      <rgbColor rgb="FFFFFFD7"/>
      <rgbColor rgb="FFDEEAF1"/>
      <rgbColor rgb="FFFFF9E6"/>
      <rgbColor rgb="FFFFAA95"/>
      <rgbColor rgb="FF0071C0"/>
      <rgbColor rgb="FFBDD7EE"/>
      <rgbColor rgb="FF1F507C"/>
      <rgbColor rgb="FFFFF2CC"/>
      <rgbColor rgb="FFFFE699"/>
      <rgbColor rgb="FFEEEEEE"/>
      <rgbColor rgb="FFF3F8FC"/>
      <rgbColor rgb="FFFFFBE6"/>
      <rgbColor rgb="FF336DAE"/>
      <rgbColor rgb="FFFAFAFA"/>
      <rgbColor rgb="FFF2F2F2"/>
      <rgbColor rgb="FFF0F9FF"/>
      <rgbColor rgb="FFC6EFCE"/>
      <rgbColor rgb="FFFFFFA6"/>
      <rgbColor rgb="FFAFD095"/>
      <rgbColor rgb="FFFFA6A6"/>
      <rgbColor rgb="FFFFC7CE"/>
      <rgbColor rgb="FFFFCCCC"/>
      <rgbColor rgb="FF4472C4"/>
      <rgbColor rgb="FFD6E4F0"/>
      <rgbColor rgb="FFADD08F"/>
      <rgbColor rgb="FFFFB66C"/>
      <rgbColor rgb="FFEF9A2A"/>
      <rgbColor rgb="FFFEDBE5"/>
      <rgbColor rgb="FF575757"/>
      <rgbColor rgb="FFA3AAB4"/>
      <rgbColor rgb="FF1B3662"/>
      <rgbColor rgb="FF5888C2"/>
      <rgbColor rgb="FF375623"/>
      <rgbColor rgb="FF1A2D40"/>
      <rgbColor rgb="FF803A02"/>
      <rgbColor rgb="FF2E4A6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2.72893667288246</c:v>
                </c:pt>
                <c:pt idx="5">
                  <c:v>15.1564419633287</c:v>
                </c:pt>
                <c:pt idx="9">
                  <c:v>4.21914571285347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2.69</c:v>
                </c:pt>
                <c:pt idx="5">
                  <c:v>11.67</c:v>
                </c:pt>
                <c:pt idx="9">
                  <c:v>3.97</c:v>
                </c:pt>
              </c:numCache>
            </c:numRef>
          </c:val>
        </c:ser>
        <c:gapWidth val="100"/>
        <c:overlap val="0"/>
        <c:axId val="91600795"/>
        <c:axId val="75721040"/>
      </c:barChart>
      <c:catAx>
        <c:axId val="9160079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721040"/>
        <c:crosses val="autoZero"/>
        <c:auto val="1"/>
        <c:lblAlgn val="ctr"/>
        <c:lblOffset val="100"/>
        <c:noMultiLvlLbl val="0"/>
      </c:catAx>
      <c:valAx>
        <c:axId val="75721040"/>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600795"/>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2885040</xdr:colOff>
      <xdr:row>71</xdr:row>
      <xdr:rowOff>118800</xdr:rowOff>
    </xdr:to>
    <xdr:graphicFrame>
      <xdr:nvGraphicFramePr>
        <xdr:cNvPr id="1" name="Chart 1"/>
        <xdr:cNvGraphicFramePr/>
      </xdr:nvGraphicFramePr>
      <xdr:xfrm>
        <a:off x="0" y="10678680"/>
        <a:ext cx="10846080" cy="4984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I16" activeCellId="0" sqref="I16"/>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10m</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21</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53.4</v>
      </c>
      <c r="C29" s="28" t="n">
        <f aca="false">IFERROR(B29*100,"-")</f>
        <v>5340</v>
      </c>
      <c r="D29" s="29" t="n">
        <f aca="false">IFERROR(LARGE('Length Sweep'!$M$7:$M$557,1),"-")</f>
        <v>0.179368421052632</v>
      </c>
      <c r="E29" s="26" t="str">
        <f aca="false">IF(ISNUMBER(D29),IF(D29&gt;=0.2,"★★★ EXCELLENT",IF(D29&gt;=0.12,"★★  GOOD",IF(D29&gt;=0.07,"★  FAIR",IF(D29&gt;=0.025,"⚠  MARGINAL","✗  AVOID")))),"—")</f>
        <v>★★  GOOD</v>
      </c>
      <c r="F29" s="30" t="str">
        <f aca="false">IFERROR(TEXT(B29/SUMPRODUCT(MAX((Calculator!$E$12:$E$22="YES")*Calculator!$F$12:$F$22)),"0.00")&amp;" × λ/2 @lowest band","—")</f>
        <v>2.68 × λ/2 @lowest band</v>
      </c>
      <c r="G29" s="31" t="str">
        <f aca="false">IF(ISNUMBER(B29),IF(B29&lt;10,"Short – portable use only",IF(B29&lt;18,"Portable / SOTA",IF(B29&lt;30,"Good portable/home",IF(B29&lt;45,"Excellent home station","Long wire – max performance")))),"-")</f>
        <v>Long wire – max performance</v>
      </c>
      <c r="H29" s="32" t="str">
        <f aca="false">IFERROR("No CP: "&amp;'UnUn Ratio Optimizer'!D107&amp;" (avg "&amp;TEXT('UnUn Ratio Optimizer'!E107,"0.00")&amp;")"&amp;CHAR(10)&amp;"w/CP: "&amp;'UnUn Ratio Optimizer'!I107&amp;" (avg "&amp;TEXT('UnUn Ratio Optimizer'!J107,"0.00")&amp;")","—")</f>
        <v>No CP: 28:1 (avg 11.02)
w/CP: 29:1 (avg 9.40)</v>
      </c>
      <c r="I29" s="25"/>
    </row>
    <row r="30" customFormat="false" ht="25.5" hidden="false" customHeight="true" outlineLevel="0" collapsed="false">
      <c r="A30" s="26" t="s">
        <v>42</v>
      </c>
      <c r="B30" s="27" t="n">
        <f aca="false">IFERROR(INDEX('Length Sweep'!$A$7:$A$557,MATCH(2,'Length Sweep'!$N$7:$N$557,0)),"-")</f>
        <v>43.4</v>
      </c>
      <c r="C30" s="28" t="n">
        <f aca="false">IFERROR(B30*100,"-")</f>
        <v>4340</v>
      </c>
      <c r="D30" s="29" t="n">
        <f aca="false">IFERROR(LARGE('Length Sweep'!$M$7:$M$557,2),"-")</f>
        <v>0.177614035087719</v>
      </c>
      <c r="E30" s="26" t="str">
        <f aca="false">IF(ISNUMBER(D30),IF(D30&gt;=0.2,"★★★ EXCELLENT",IF(D30&gt;=0.12,"★★  GOOD",IF(D30&gt;=0.07,"★  FAIR",IF(D30&gt;=0.025,"⚠  MARGINAL","✗  AVOID")))),"—")</f>
        <v>★★  GOOD</v>
      </c>
      <c r="F30" s="30" t="str">
        <f aca="false">IFERROR(TEXT(B30/SUMPRODUCT(MAX((Calculator!$E$12:$E$22="YES")*Calculator!$F$12:$F$22)),"0.00")&amp;" × λ/2 @lowest band","—")</f>
        <v>2.18 × λ/2 @lowest band</v>
      </c>
      <c r="G30" s="31" t="str">
        <f aca="false">IF(ISNUMBER(B30),IF(B30&lt;10,"Short – portable use only",IF(B30&lt;18,"Portable / SOTA",IF(B30&lt;30,"Good portable/home",IF(B30&lt;45,"Excellent home station","Long wire – max performance")))),"-")</f>
        <v>Excellent home station</v>
      </c>
      <c r="H30" s="32" t="str">
        <f aca="false">IFERROR("No CP: "&amp;'UnUn Ratio Optimizer'!D108&amp;" (avg "&amp;TEXT('UnUn Ratio Optimizer'!E108,"0.00")&amp;")"&amp;CHAR(10)&amp;"w/CP: "&amp;'UnUn Ratio Optimizer'!I108&amp;" (avg "&amp;TEXT('UnUn Ratio Optimizer'!J108,"0.00")&amp;")","—")</f>
        <v>No CP: 30:1 (avg 7.36)
w/CP: 30:1 (avg 6.55)</v>
      </c>
      <c r="I30" s="25"/>
    </row>
    <row r="31" customFormat="false" ht="25.5" hidden="false" customHeight="true" outlineLevel="0" collapsed="false">
      <c r="A31" s="33" t="s">
        <v>43</v>
      </c>
      <c r="B31" s="34" t="n">
        <f aca="false">IFERROR(INDEX('Length Sweep'!$A$7:$A$557,MATCH(3,'Length Sweep'!$N$7:$N$557,0)),"-")</f>
        <v>33.4</v>
      </c>
      <c r="C31" s="35" t="n">
        <f aca="false">IFERROR(B31*100,"-")</f>
        <v>3340</v>
      </c>
      <c r="D31" s="36" t="n">
        <f aca="false">IFERROR(LARGE('Length Sweep'!$M$7:$M$557,3),"-")</f>
        <v>0.175859649122807</v>
      </c>
      <c r="E31" s="33" t="str">
        <f aca="false">IF(ISNUMBER(D31),IF(D31&gt;=0.2,"★★★ EXCELLENT",IF(D31&gt;=0.12,"★★  GOOD",IF(D31&gt;=0.07,"★  FAIR",IF(D31&gt;=0.025,"⚠  MARGINAL","✗  AVOID")))),"—")</f>
        <v>★★  GOOD</v>
      </c>
      <c r="F31" s="37" t="str">
        <f aca="false">IFERROR(TEXT(B31/SUMPRODUCT(MAX((Calculator!$E$12:$E$22="YES")*Calculator!$F$12:$F$22)),"0.00")&amp;" × λ/2 @lowest band","—")</f>
        <v>1.68 × λ/2 @lowest band</v>
      </c>
      <c r="G31" s="38" t="str">
        <f aca="false">IF(ISNUMBER(B31),IF(B31&lt;10,"Short – portable use only",IF(B31&lt;18,"Portable / SOTA",IF(B31&lt;30,"Good portable/home",IF(B31&lt;45,"Excellent home station","Long wire – max performance")))),"-")</f>
        <v>Excellent home station</v>
      </c>
      <c r="H31" s="39" t="str">
        <f aca="false">IFERROR("No CP: "&amp;'UnUn Ratio Optimizer'!D109&amp;" (avg "&amp;TEXT('UnUn Ratio Optimizer'!E109,"0.00")&amp;")"&amp;CHAR(10)&amp;"w/CP: "&amp;'UnUn Ratio Optimizer'!I109&amp;" (avg "&amp;TEXT('UnUn Ratio Optimizer'!J109,"0.00")&amp;")","—")</f>
        <v>No CP: 28:1 (avg 12.62)
w/CP: 28:1 (avg 10.65)</v>
      </c>
      <c r="I31" s="25"/>
    </row>
    <row r="32" customFormat="false" ht="25.5" hidden="false" customHeight="true" outlineLevel="0" collapsed="false">
      <c r="A32" s="33" t="s">
        <v>44</v>
      </c>
      <c r="B32" s="34" t="n">
        <f aca="false">IFERROR(INDEX('Length Sweep'!$A$7:$A$557,MATCH(4,'Length Sweep'!$N$7:$N$557,0)),"-")</f>
        <v>53.3</v>
      </c>
      <c r="C32" s="35" t="n">
        <f aca="false">IFERROR(B32*100,"-")</f>
        <v>5330</v>
      </c>
      <c r="D32" s="36" t="n">
        <f aca="false">IFERROR(LARGE('Length Sweep'!$M$7:$M$557,4),"-")</f>
        <v>0.174350877192982</v>
      </c>
      <c r="E32" s="33" t="str">
        <f aca="false">IF(ISNUMBER(D32),IF(D32&gt;=0.2,"★★★ EXCELLENT",IF(D32&gt;=0.12,"★★  GOOD",IF(D32&gt;=0.07,"★  FAIR",IF(D32&gt;=0.025,"⚠  MARGINAL","✗  AVOID")))),"—")</f>
        <v>★★  GOOD</v>
      </c>
      <c r="F32" s="37" t="str">
        <f aca="false">IFERROR(TEXT(B32/SUMPRODUCT(MAX((Calculator!$E$12:$E$22="YES")*Calculator!$F$12:$F$22)),"0.00")&amp;" × λ/2 @lowest band","—")</f>
        <v>2.67 × λ/2 @lowest band</v>
      </c>
      <c r="G32" s="38" t="str">
        <f aca="false">IF(ISNUMBER(B32),IF(B32&lt;10,"Short – portable use only",IF(B32&lt;18,"Portable / SOTA",IF(B32&lt;30,"Good portable/home",IF(B32&lt;45,"Excellent home station","Long wire – max performance")))),"-")</f>
        <v>Long wire – max performance</v>
      </c>
      <c r="H32" s="39" t="str">
        <f aca="false">IFERROR("No CP: "&amp;'UnUn Ratio Optimizer'!D110&amp;" (avg "&amp;TEXT('UnUn Ratio Optimizer'!E110,"0.00")&amp;")"&amp;CHAR(10)&amp;"w/CP: "&amp;'UnUn Ratio Optimizer'!I110&amp;" (avg "&amp;TEXT('UnUn Ratio Optimizer'!J110,"0.00")&amp;")","—")</f>
        <v>No CP: 28:1 (avg 11.09)
w/CP: 29:1 (avg 9.47)</v>
      </c>
      <c r="I32" s="25"/>
    </row>
    <row r="33" customFormat="false" ht="25.5" hidden="false" customHeight="true" outlineLevel="0" collapsed="false">
      <c r="A33" s="40" t="s">
        <v>45</v>
      </c>
      <c r="B33" s="41" t="n">
        <f aca="false">IFERROR(INDEX('Length Sweep'!$A$7:$A$557,MATCH(5,'Length Sweep'!$N$7:$N$557,0)),"-")</f>
        <v>43.5</v>
      </c>
      <c r="C33" s="42" t="n">
        <f aca="false">IFERROR(B33*100,"-")</f>
        <v>4350</v>
      </c>
      <c r="D33" s="43" t="n">
        <f aca="false">IFERROR(LARGE('Length Sweep'!$M$7:$M$557,5),"-")</f>
        <v>0.172894736842105</v>
      </c>
      <c r="E33" s="40" t="str">
        <f aca="false">IF(ISNUMBER(D33),IF(D33&gt;=0.2,"★★★ EXCELLENT",IF(D33&gt;=0.12,"★★  GOOD",IF(D33&gt;=0.07,"★  FAIR",IF(D33&gt;=0.025,"⚠  MARGINAL","✗  AVOID")))),"—")</f>
        <v>★★  GOOD</v>
      </c>
      <c r="F33" s="44" t="str">
        <f aca="false">IFERROR(TEXT(B33/SUMPRODUCT(MAX((Calculator!$E$12:$E$22="YES")*Calculator!$F$12:$F$22)),"0.00")&amp;" × λ/2 @lowest band","—")</f>
        <v>2.18 × λ/2 @lowest band</v>
      </c>
      <c r="G33" s="45" t="str">
        <f aca="false">IF(ISNUMBER(B33),IF(B33&lt;10,"Short – portable use only",IF(B33&lt;18,"Portable / SOTA",IF(B33&lt;30,"Good portable/home",IF(B33&lt;45,"Excellent home station","Long wire – max performance")))),"-")</f>
        <v>Excellent home station</v>
      </c>
      <c r="H33" s="46" t="str">
        <f aca="false">IFERROR("No CP: "&amp;'UnUn Ratio Optimizer'!D111&amp;" (avg "&amp;TEXT('UnUn Ratio Optimizer'!E111,"0.00")&amp;")"&amp;CHAR(10)&amp;"w/CP: "&amp;'UnUn Ratio Optimizer'!I111&amp;" (avg "&amp;TEXT('UnUn Ratio Optimizer'!J111,"0.00")&amp;")","—")</f>
        <v>No CP: 29:1 (avg 7.59)
w/CP: 29:1 (avg 6.66)</v>
      </c>
      <c r="I33" s="25"/>
    </row>
    <row r="34" customFormat="false" ht="25.5" hidden="false" customHeight="true" outlineLevel="0" collapsed="false">
      <c r="A34" s="40" t="s">
        <v>46</v>
      </c>
      <c r="B34" s="47" t="n">
        <f aca="false">IFERROR(INDEX('Length Sweep'!$A$7:$A$557,MATCH(6,'Length Sweep'!$N$7:$N$557,0)),"-")</f>
        <v>43.3</v>
      </c>
      <c r="C34" s="44" t="n">
        <f aca="false">IFERROR(B34*100,"-")</f>
        <v>4330</v>
      </c>
      <c r="D34" s="43" t="n">
        <f aca="false">IFERROR(LARGE('Length Sweep'!$M$7:$M$557,6),"-")</f>
        <v>0.17259649122807</v>
      </c>
      <c r="E34" s="40" t="str">
        <f aca="false">IF(ISNUMBER(D34),IF(D34&gt;=0.2,"★★★ EXCELLENT",IF(D34&gt;=0.12,"★★  GOOD",IF(D34&gt;=0.07,"★  FAIR",IF(D34&gt;=0.025,"⚠  MARGINAL","✗  AVOID")))),"—")</f>
        <v>★★  GOOD</v>
      </c>
      <c r="F34" s="44" t="str">
        <f aca="false">IFERROR(TEXT(B34/SUMPRODUCT(MAX((Calculator!$E$12:$E$22="YES")*Calculator!$F$12:$F$22)),"0.00")&amp;" × λ/2 @lowest band","—")</f>
        <v>2.17 × λ/2 @lowest band</v>
      </c>
      <c r="G34" s="45" t="str">
        <f aca="false">IF(ISNUMBER(B34),IF(B34&lt;10,"Short – portable use only",IF(B34&lt;18,"Portable / SOTA",IF(B34&lt;30,"Good portable/home",IF(B34&lt;45,"Excellent home station","Long wire – max performance")))),"—")</f>
        <v>Excellent home station</v>
      </c>
      <c r="H34" s="46" t="str">
        <f aca="false">IFERROR("No CP: "&amp;'UnUn Ratio Optimizer'!D112&amp;" (avg "&amp;TEXT('UnUn Ratio Optimizer'!E112,"0.00")&amp;")"&amp;CHAR(10)&amp;"w/CP: "&amp;'UnUn Ratio Optimizer'!I112&amp;" (avg "&amp;TEXT('UnUn Ratio Optimizer'!J112,"0.00")&amp;")","—")</f>
        <v>No CP: 30:1 (avg 7.26)
w/CP: 30:1 (avg 6.52)</v>
      </c>
      <c r="I34" s="25"/>
    </row>
    <row r="35" customFormat="false" ht="25.5" hidden="false" customHeight="true" outlineLevel="0" collapsed="false">
      <c r="A35" s="48" t="s">
        <v>47</v>
      </c>
      <c r="B35" s="49" t="n">
        <f aca="false">IFERROR(INDEX('Length Sweep'!$A$7:$A$557,MATCH(7,'Length Sweep'!$N$7:$N$557,0)),"-")</f>
        <v>23.4</v>
      </c>
      <c r="C35" s="50" t="n">
        <f aca="false">IFERROR(B35*100,"-")</f>
        <v>2340</v>
      </c>
      <c r="D35" s="51" t="n">
        <f aca="false">IFERROR(LARGE('Length Sweep'!$M$7:$M$557,7),"-")</f>
        <v>0.172315789473684</v>
      </c>
      <c r="E35" s="48" t="str">
        <f aca="false">IF(ISNUMBER(D35),IF(D35&gt;=0.2,"★★★ EXCELLENT",IF(D35&gt;=0.12,"★★  GOOD",IF(D35&gt;=0.07,"★  FAIR",IF(D35&gt;=0.025,"⚠  MARGINAL","✗  AVOID")))),"—")</f>
        <v>★★  GOOD</v>
      </c>
      <c r="F35" s="50" t="str">
        <f aca="false">IFERROR(TEXT(B35/SUMPRODUCT(MAX((Calculator!$E$12:$E$22="YES")*Calculator!$F$12:$F$22)),"0.00")&amp;" × λ/2 @lowest band","—")</f>
        <v>1.17 × λ/2 @lowest band</v>
      </c>
      <c r="G35" s="52" t="str">
        <f aca="false">IF(ISNUMBER(B35),IF(B35&lt;10,"Short – portable use only",IF(B35&lt;18,"Portable / SOTA",IF(B35&lt;30,"Good portable/home",IF(B35&lt;45,"Excellent home station","Long wire – max performance")))),"—")</f>
        <v>Good portable/home</v>
      </c>
      <c r="H35" s="53" t="str">
        <f aca="false">IFERROR("No CP: "&amp;'UnUn Ratio Optimizer'!D113&amp;" (avg "&amp;TEXT('UnUn Ratio Optimizer'!E113,"0.00")&amp;")"&amp;CHAR(10)&amp;"w/CP: "&amp;'UnUn Ratio Optimizer'!I113&amp;" (avg "&amp;TEXT('UnUn Ratio Optimizer'!J113,"0.00")&amp;")","—")</f>
        <v>No CP: 29:1 (avg 9.13)
w/CP: 29:1 (avg 7.92)</v>
      </c>
      <c r="I35" s="25"/>
    </row>
    <row r="36" customFormat="false" ht="25.5" hidden="false" customHeight="true" outlineLevel="0" collapsed="false">
      <c r="A36" s="48" t="s">
        <v>48</v>
      </c>
      <c r="B36" s="49" t="n">
        <f aca="false">IFERROR(INDEX('Length Sweep'!$A$7:$A$557,MATCH(8,'Length Sweep'!$N$7:$N$557,0)),"-")</f>
        <v>33.3</v>
      </c>
      <c r="C36" s="50" t="n">
        <f aca="false">IFERROR(B36*100,"-")</f>
        <v>3330</v>
      </c>
      <c r="D36" s="51" t="n">
        <f aca="false">IFERROR(LARGE('Length Sweep'!$M$7:$M$557,8),"-")</f>
        <v>0.170842105263158</v>
      </c>
      <c r="E36" s="48" t="str">
        <f aca="false">IF(ISNUMBER(D36),IF(D36&gt;=0.2,"★★★ EXCELLENT",IF(D36&gt;=0.12,"★★  GOOD",IF(D36&gt;=0.07,"★  FAIR",IF(D36&gt;=0.025,"⚠  MARGINAL","✗  AVOID")))),"—")</f>
        <v>★★  GOOD</v>
      </c>
      <c r="F36" s="50" t="str">
        <f aca="false">IFERROR(TEXT(B36/SUMPRODUCT(MAX((Calculator!$E$12:$E$22="YES")*Calculator!$F$12:$F$22)),"0.00")&amp;" × λ/2 @lowest band","—")</f>
        <v>1.67 × λ/2 @lowest band</v>
      </c>
      <c r="G36" s="52" t="str">
        <f aca="false">IF(ISNUMBER(B36),IF(B36&lt;10,"Short – portable use only",IF(B36&lt;18,"Portable / SOTA",IF(B36&lt;30,"Good portable/home",IF(B36&lt;45,"Excellent home station","Long wire – max performance")))),"—")</f>
        <v>Excellent home station</v>
      </c>
      <c r="H36" s="53" t="str">
        <f aca="false">IFERROR("No CP: "&amp;'UnUn Ratio Optimizer'!D114&amp;" (avg "&amp;TEXT('UnUn Ratio Optimizer'!E114,"0.00")&amp;")"&amp;CHAR(10)&amp;"w/CP: "&amp;'UnUn Ratio Optimizer'!I114&amp;" (avg "&amp;TEXT('UnUn Ratio Optimizer'!J114,"0.00")&amp;")","—")</f>
        <v>No CP: 28:1 (avg 12.97)
w/CP: 28:1 (avg 10.93)</v>
      </c>
      <c r="I36" s="25"/>
    </row>
    <row r="37" customFormat="false" ht="25.5" hidden="false" customHeight="true" outlineLevel="0" collapsed="false">
      <c r="A37" s="54" t="s">
        <v>49</v>
      </c>
      <c r="B37" s="55" t="n">
        <f aca="false">IFERROR(INDEX('Length Sweep'!$A$7:$A$557,MATCH(9,'Length Sweep'!$N$7:$N$557,0)),"-")</f>
        <v>53.2</v>
      </c>
      <c r="C37" s="56" t="n">
        <f aca="false">IFERROR(B37*100,"-")</f>
        <v>5320</v>
      </c>
      <c r="D37" s="57" t="n">
        <f aca="false">IFERROR(LARGE('Length Sweep'!$M$7:$M$557,9),"-")</f>
        <v>0.169333333333333</v>
      </c>
      <c r="E37" s="54" t="str">
        <f aca="false">IF(ISNUMBER(D37),IF(D37&gt;=0.2,"★★★ EXCELLENT",IF(D37&gt;=0.12,"★★  GOOD",IF(D37&gt;=0.07,"★  FAIR",IF(D37&gt;=0.025,"⚠  MARGINAL","✗  AVOID")))),"—")</f>
        <v>★★  GOOD</v>
      </c>
      <c r="F37" s="56" t="str">
        <f aca="false">IFERROR(TEXT(B37/SUMPRODUCT(MAX((Calculator!$E$12:$E$22="YES")*Calculator!$F$12:$F$22)),"0.00")&amp;" × λ/2 @lowest band","—")</f>
        <v>2.67 × λ/2 @lowest band</v>
      </c>
      <c r="G37" s="58" t="str">
        <f aca="false">IF(ISNUMBER(B37),IF(B37&lt;10,"Short – portable use only",IF(B37&lt;18,"Portable / SOTA",IF(B37&lt;30,"Good portable/home",IF(B37&lt;45,"Excellent home station","Long wire – max performance")))),"—")</f>
        <v>Long wire – max performance</v>
      </c>
      <c r="H37" s="59" t="str">
        <f aca="false">IFERROR("No CP: "&amp;'UnUn Ratio Optimizer'!D115&amp;" (avg "&amp;TEXT('UnUn Ratio Optimizer'!E115,"0.00")&amp;")"&amp;CHAR(10)&amp;"w/CP: "&amp;'UnUn Ratio Optimizer'!I115&amp;" (avg "&amp;TEXT('UnUn Ratio Optimizer'!J115,"0.00")&amp;")","—")</f>
        <v>No CP: 28:1 (avg 11.30)
w/CP: 28:1 (avg 9.62)</v>
      </c>
      <c r="I37" s="25"/>
    </row>
    <row r="38" customFormat="false" ht="25.5" hidden="false" customHeight="true" outlineLevel="0" collapsed="false">
      <c r="A38" s="54" t="s">
        <v>50</v>
      </c>
      <c r="B38" s="55" t="n">
        <f aca="false">IFERROR(INDEX('Length Sweep'!$A$7:$A$557,MATCH(10,'Length Sweep'!$N$7:$N$557,0)),"-")</f>
        <v>23.3</v>
      </c>
      <c r="C38" s="56" t="n">
        <f aca="false">IFERROR(B38*100,"-")</f>
        <v>2330</v>
      </c>
      <c r="D38" s="57" t="n">
        <f aca="false">IFERROR(LARGE('Length Sweep'!$M$7:$M$557,10),"-")</f>
        <v>0.169087719298246</v>
      </c>
      <c r="E38" s="54" t="str">
        <f aca="false">IF(ISNUMBER(D38),IF(D38&gt;=0.2,"★★★ EXCELLENT",IF(D38&gt;=0.12,"★★  GOOD",IF(D38&gt;=0.07,"★  FAIR",IF(D38&gt;=0.025,"⚠  MARGINAL","✗  AVOID")))),"—")</f>
        <v>★★  GOOD</v>
      </c>
      <c r="F38" s="56" t="str">
        <f aca="false">IFERROR(TEXT(B38/SUMPRODUCT(MAX((Calculator!$E$12:$E$22="YES")*Calculator!$F$12:$F$22)),"0.00")&amp;" × λ/2 @lowest band","—")</f>
        <v>1.17 × λ/2 @lowest band</v>
      </c>
      <c r="G38" s="58" t="str">
        <f aca="false">IF(ISNUMBER(B38),IF(B38&lt;10,"Short – portable use only",IF(B38&lt;18,"Portable / SOTA",IF(B38&lt;30,"Good portable/home",IF(B38&lt;45,"Excellent home station","Long wire – max performance")))),"—")</f>
        <v>Good portable/home</v>
      </c>
      <c r="H38" s="59" t="str">
        <f aca="false">IFERROR("No CP: "&amp;'UnUn Ratio Optimizer'!D116&amp;" (avg "&amp;TEXT('UnUn Ratio Optimizer'!E116,"0.00")&amp;")"&amp;CHAR(10)&amp;"w/CP: "&amp;'UnUn Ratio Optimizer'!I116&amp;" (avg "&amp;TEXT('UnUn Ratio Optimizer'!J116,"0.00")&amp;")","—")</f>
        <v>No CP: 29:1 (avg 9.36)
w/CP: 29:1 (avg 8.09)</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9"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30</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e">
        <f aca="false">IF(B8&lt;&gt;"YES",NA(),IF($C$4&lt;D8,"&lt; λ/4",1500*SIN(2*PI()*MOD($C$4/C8,1))))</f>
        <v>#N/A</v>
      </c>
      <c r="H8" s="79" t="e">
        <f aca="false">IF(B8&lt;&gt;"YES",NA(),IF($C$4&lt;D8,NA(),(1+SQRT((((F8)-$C$5*50)^2+(G8)^2)/(((F8)+$C$5*50)^2+(G8)^2)))/(1-SQRT((((F8)-$C$5*50)^2+(G8)^2)/(((F8)+$C$5*50)^2+(G8)^2)))))</f>
        <v>#N/A</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e">
        <f aca="false">IF(B9&lt;&gt;"YES",NA(),IF($C$4&lt;D9,"&lt; λ/4",1500*SIN(2*PI()*MOD($C$4/C9,1))))</f>
        <v>#N/A</v>
      </c>
      <c r="H9" s="79" t="e">
        <f aca="false">IF(B9&lt;&gt;"YES",NA(),IF($C$4&lt;D9,NA(),(1+SQRT((((F9)-$C$5*50)^2+(G9)^2)/(((F9)+$C$5*50)^2+(G9)^2)))/(1-SQRT((((F9)-$C$5*50)^2+(G9)^2)/(((F9)+$C$5*50)^2+(G9)^2)))))</f>
        <v>#N/A</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e">
        <f aca="false">IF(B10&lt;&gt;"YES",NA(),IF($C$4&lt;D10,"&lt; λ/4",1500*SIN(2*PI()*MOD($C$4/C10,1))))</f>
        <v>#N/A</v>
      </c>
      <c r="H10" s="79" t="e">
        <f aca="false">IF(B10&lt;&gt;"YES",NA(),IF($C$4&lt;D10,NA(),(1+SQRT((((F10)-$C$5*50)^2+(G10)^2)/(((F10)+$C$5*50)^2+(G10)^2)))/(1-SQRT((((F10)-$C$5*50)^2+(G10)^2)/(((F10)+$C$5*50)^2+(G10)^2)))))</f>
        <v>#N/A</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IF(B11&lt;&gt;"YES",NA(),IF($C$4&lt;D11,"&lt; λ/4",1500*SIN(2*PI()*MOD($C$4/C11,1))))</f>
        <v>1347.51384482052</v>
      </c>
      <c r="H11" s="79" t="n">
        <f aca="false">IF(B11&lt;&gt;"YES",NA(),IF($C$4&lt;D11,NA(),(1+SQRT((((F11)-$C$5*50)^2+(G11)^2)/(((F11)+$C$5*50)^2+(G11)^2)))/(1-SQRT((((F11)-$C$5*50)^2+(G11)^2)/(((F11)+$C$5*50)^2+(G11)^2)))))</f>
        <v>2.72893667288246</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e">
        <f aca="false">IF(B12&lt;&gt;"YES",NA(),IF($C$4&lt;D12,"&lt; λ/4",1500*SIN(2*PI()*MOD($C$4/C12,1))))</f>
        <v>#N/A</v>
      </c>
      <c r="H12" s="79" t="e">
        <f aca="false">IF(B12&lt;&gt;"YES",NA(),IF($C$4&lt;D12,NA(),(1+SQRT((((F12)-$C$5*50)^2+(G12)^2)/(((F12)+$C$5*50)^2+(G12)^2)))/(1-SQRT((((F12)-$C$5*50)^2+(G12)^2)/(((F12)+$C$5*50)^2+(G12)^2)))))</f>
        <v>#N/A</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IF(B13&lt;&gt;"YES",NA(),IF($C$4&lt;D13,"&lt; λ/4",1500*SIN(2*PI()*MOD($C$4/C13,1))))</f>
        <v>1368.42858746366</v>
      </c>
      <c r="H13" s="79" t="n">
        <f aca="false">IF(B13&lt;&gt;"YES",NA(),IF($C$4&lt;D13,NA(),(1+SQRT((((F13)-$C$5*50)^2+(G13)^2)/(((F13)+$C$5*50)^2+(G13)^2)))/(1-SQRT((((F13)-$C$5*50)^2+(G13)^2)/(((F13)+$C$5*50)^2+(G13)^2)))))</f>
        <v>15.1564419633287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e">
        <f aca="false">IF(B14&lt;&gt;"YES",NA(),IF($C$4&lt;D14,"&lt; λ/4",1500*SIN(2*PI()*MOD($C$4/C14,1))))</f>
        <v>#N/A</v>
      </c>
      <c r="H14" s="79" t="e">
        <f aca="false">IF(B14&lt;&gt;"YES",NA(),IF($C$4&lt;D14,NA(),(1+SQRT((((F14)-$C$5*50)^2+(G14)^2)/(((F14)+$C$5*50)^2+(G14)^2)))/(1-SQRT((((F14)-$C$5*50)^2+(G14)^2)/(((F14)+$C$5*50)^2+(G14)^2)))))</f>
        <v>#N/A</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e">
        <f aca="false">IF(B15&lt;&gt;"YES",NA(),IF($C$4&lt;D15,"&lt; λ/4",1500*SIN(2*PI()*MOD($C$4/C15,1))))</f>
        <v>#N/A</v>
      </c>
      <c r="H15" s="79" t="e">
        <f aca="false">IF(B15&lt;&gt;"YES",NA(),IF($C$4&lt;D15,NA(),(1+SQRT((((F15)-$C$5*50)^2+(G15)^2)/(((F15)+$C$5*50)^2+(G15)^2)))/(1-SQRT((((F15)-$C$5*50)^2+(G15)^2)/(((F15)+$C$5*50)^2+(G15)^2)))))</f>
        <v>#N/A</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e">
        <f aca="false">IF(B16&lt;&gt;"YES",NA(),IF($C$4&lt;D16,"&lt; λ/4",1500*SIN(2*PI()*MOD($C$4/C16,1))))</f>
        <v>#N/A</v>
      </c>
      <c r="H16" s="79" t="e">
        <f aca="false">IF(B16&lt;&gt;"YES",NA(),IF($C$4&lt;D16,NA(),(1+SQRT((((F16)-$C$5*50)^2+(G16)^2)/(((F16)+$C$5*50)^2+(G16)^2)))/(1-SQRT((((F16)-$C$5*50)^2+(G16)^2)/(((F16)+$C$5*50)^2+(G16)^2)))))</f>
        <v>#N/A</v>
      </c>
      <c r="I16" s="74"/>
    </row>
    <row r="17" customFormat="false" ht="15" hidden="false" customHeight="true" outlineLevel="0" collapsed="false">
      <c r="A17" s="14" t="str">
        <f aca="false">Calculator!A21</f>
        <v>10m</v>
      </c>
      <c r="B17" s="75" t="str">
        <f aca="false">Calculator!$E$21</f>
        <v>YES</v>
      </c>
      <c r="C17" s="18" t="n">
        <f aca="false">Calculator!$F$21</f>
        <v>4.93934142114385</v>
      </c>
      <c r="D17" s="18" t="n">
        <f aca="false">ROUND(Calculator!$G$21,2)</f>
        <v>2.47</v>
      </c>
      <c r="E17" s="76" t="n">
        <f aca="false">IF(AND(B17="YES",$C$4&gt;=D17),MOD($C$4/C17,1),"—")</f>
        <v>0.786596491228069</v>
      </c>
      <c r="F17" s="77" t="n">
        <f aca="false">IF(AND(B17="YES",$C$4&gt;=D17),ROUND(50*POWER(80,COS(PI()*MOD($C$4/C17,1))^2),0),"—")</f>
        <v>737</v>
      </c>
      <c r="G17" s="78" t="n">
        <f aca="false">IF(B17&lt;&gt;"YES",NA(),IF($C$4&lt;D17,"&lt; λ/4",1500*SIN(2*PI()*MOD($C$4/C17,1))))</f>
        <v>-1460.51924085464</v>
      </c>
      <c r="H17" s="79" t="n">
        <f aca="false">IF(B17&lt;&gt;"YES",NA(),IF($C$4&lt;D17,NA(),(1+SQRT((((F17)-$C$5*50)^2+(G17)^2)/(((F17)+$C$5*50)^2+(G17)^2)))/(1-SQRT((((F17)-$C$5*50)^2+(G17)^2)/(((F17)+$C$5*50)^2+(G17)^2)))))</f>
        <v>4.21914571285347</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e">
        <f aca="false">IF(B18&lt;&gt;"YES",NA(),IF($C$4&lt;D18,"&lt; λ/4",1500*SIN(2*PI()*MOD($C$4/C18,1))))</f>
        <v>#N/A</v>
      </c>
      <c r="H18" s="79" t="e">
        <f aca="false">IF(B18&lt;&gt;"YES",NA(),IF($C$4&lt;D18,NA(),(1+SQRT((((F18)-$C$5*50)^2+(G18)^2)/(((F18)+$C$5*50)^2+(G18)^2)))/(1-SQRT((((F18)-$C$5*50)^2+(G18)^2)/(((F18)+$C$5*50)^2+(G18)^2)))))</f>
        <v>#N/A</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IF(B8&lt;&gt;"YES","—",IF($C$4&lt;D8,NA(),ROUND((1+SQRT(((F8+E29-$C$5*50)^2+G8^2)/((F8+E29+$C$5*50)^2+G8^2)))/(1-SQRT(((F8+E29-$C$5*50)^2+G8^2)/((F8+E29+$C$5*50)^2+G8^2))),2)))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IF(B9&lt;&gt;"YES","—",IF($C$4&lt;D9,NA(),ROUND((1+SQRT(((F9+E30-$C$5*50)^2+G9^2)/((F9+E30+$C$5*50)^2+G9^2)))/(1-SQRT(((F9+E30-$C$5*50)^2+G9^2)/((F9+E30+$C$5*50)^2+G9^2))),2)))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IF(B10&lt;&gt;"YES","—",IF($C$4&lt;D10,NA(),ROUND((1+SQRT(((F10+E31-$C$5*50)^2+G10^2)/((F10+E31+$C$5*50)^2+G10^2)))/(1-SQRT(((F10+E31-$C$5*50)^2+G10^2)/((F10+E31+$C$5*50)^2+G10^2))),2)))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IF(B11&lt;&gt;"YES","—",IF($C$4&lt;D11,NA(),ROUND((1+SQRT(((F11+E32-$C$5*50)^2+G11^2)/((F11+E32+$C$5*50)^2+G11^2)))/(1-SQRT(((F11+E32-$C$5*50)^2+G11^2)/((F11+E32+$C$5*50)^2+G11^2))),2)))</f>
        <v>2.69</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Good  — most tuners handle this</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IF(B12&lt;&gt;"YES","—",IF($C$4&lt;D12,NA(),ROUND((1+SQRT(((F12+E33-$C$5*50)^2+G12^2)/((F12+E33+$C$5*50)^2+G12^2)))/(1-SQRT(((F12+E33-$C$5*50)^2+G12^2)/((F12+E33+$C$5*50)^2+G12^2))),2)))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IF(B13&lt;&gt;"YES","—",IF($C$4&lt;D13,NA(),ROUND((1+SQRT(((F13+E34-$C$5*50)^2+G13^2)/((F13+E34+$C$5*50)^2+G13^2)))/(1-SQRT(((F13+E34-$C$5*50)^2+G13^2)/((F13+E34+$C$5*50)^2+G13^2))),2)))</f>
        <v>11.67</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IF(B14&lt;&gt;"YES","—",IF($C$4&lt;D14,NA(),ROUND((1+SQRT(((F14+E35-$C$5*50)^2+G14^2)/((F14+E35+$C$5*50)^2+G14^2)))/(1-SQRT(((F14+E35-$C$5*50)^2+G14^2)/((F14+E35+$C$5*50)^2+G14^2))),2)))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IF(B15&lt;&gt;"YES","—",IF($C$4&lt;D15,NA(),ROUND((1+SQRT(((F15+E36-$C$5*50)^2+G15^2)/((F15+E36+$C$5*50)^2+G15^2)))/(1-SQRT(((F15+E36-$C$5*50)^2+G15^2)/((F15+E36+$C$5*50)^2+G15^2))),2)))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IF(B16&lt;&gt;"YES","—",IF($C$4&lt;D16,NA(),ROUND((1+SQRT(((F16+E37-$C$5*50)^2+G16^2)/((F16+E37+$C$5*50)^2+G16^2)))/(1-SQRT(((F16+E37-$C$5*50)^2+G16^2)/((F16+E37+$C$5*50)^2+G16^2))),2)))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n">
        <f aca="false">IF(B17&lt;&gt;"YES","—",ROUND(MIN(500,MAX(30,(100*EXP(-0.3*C$24))*(1+3*ABS(MOD(C$23/C17,1)-0.5)))),0))</f>
        <v>55</v>
      </c>
      <c r="E38" s="91" t="n">
        <f aca="false">IF(B17&lt;&gt;"YES","—",ROUND(D38/C$25,0))</f>
        <v>55</v>
      </c>
      <c r="F38" s="92" t="n">
        <f aca="false">IF(B17&lt;&gt;"YES","—",F17)</f>
        <v>737</v>
      </c>
      <c r="G38" s="93" t="n">
        <f aca="false">IF(B17&lt;&gt;"YES","—",ROUND(F17+E38,0))</f>
        <v>792</v>
      </c>
      <c r="H38" s="94" t="n">
        <f aca="false">IF(B17&lt;&gt;"YES","—",IF($C$4&lt;D17,NA(),ROUND((1+SQRT(((F17+E38-$C$5*50)^2+G17^2)/((F17+E38+$C$5*50)^2+G17^2)))/(1-SQRT(((F17+E38-$C$5*50)^2+G17^2)/((F17+E38+$C$5*50)^2+G17^2))),2)))</f>
        <v>3.97</v>
      </c>
      <c r="I38" s="95" t="n">
        <f aca="false">IF(OR(B17&lt;&gt;"YES",F17="—"),"—",ROUND(G38/F17,2))</f>
        <v>1.07</v>
      </c>
      <c r="J38" s="75" t="str">
        <f aca="false">IF(B17&lt;&gt;"YES","Inactive band",IF($C$4&lt;D17,"Wire too short for this band",IF(H38&lt;1.5,"✔  Excellent  — no tuner needed",IF(H38&lt;3,"✔  Good  — most tuners handle this",IF(H38&lt;6,"⚠  Marginal  — tuner required","✗  Poor  — high-loss mismatch")))))</f>
        <v>⚠  Marginal  — tuner required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IF(B18&lt;&gt;"YES","—",IF($C$4&lt;D18,NA(),ROUND((1+SQRT(((F18+E39-$C$5*50)^2+G18^2)/((F18+E39+$C$5*50)^2+G18^2)))/(1-SQRT(((F18+E39-$C$5*50)^2+G18^2)/((F18+E39+$C$5*50)^2+G18^2))),2)))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fals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fals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false" outlineLevel="0" collapsed="false">
      <c r="B8" s="106" t="s">
        <v>109</v>
      </c>
      <c r="C8" s="107" t="n">
        <f aca="false">IFERROR(INDEX(Calculator!$D$12:$D$22,MATCH(G5,Calculator!$A$12:$A$22,0)),7.1)</f>
        <v>28.85</v>
      </c>
      <c r="D8" s="108" t="s">
        <v>110</v>
      </c>
    </row>
    <row r="9" s="1" customFormat="true" ht="13.5" hidden="false" customHeight="false" outlineLevel="0" collapsed="false">
      <c r="B9" s="106" t="s">
        <v>111</v>
      </c>
      <c r="C9" s="109" t="n">
        <v>50</v>
      </c>
      <c r="D9" s="110" t="s">
        <v>112</v>
      </c>
    </row>
    <row r="10" s="1" customFormat="true" ht="13.5" hidden="false" customHeight="false" outlineLevel="0" collapsed="false">
      <c r="B10" s="106" t="s">
        <v>113</v>
      </c>
      <c r="C10" s="109" t="n">
        <v>0</v>
      </c>
      <c r="D10" s="110" t="s">
        <v>112</v>
      </c>
    </row>
    <row r="11" s="1" customFormat="true" ht="13.5" hidden="false" customHeight="false" outlineLevel="0" collapsed="false">
      <c r="B11" s="106" t="s">
        <v>114</v>
      </c>
      <c r="C11" s="111" t="n">
        <f aca="false">IFERROR(ROUND(50*POWER(80,POWER(COS(PI()*C5/INDEX(Calculator!$F$12:$F$22,MATCH(G5,Calculator!$A$12:$A$22,0))),2)),0),450)</f>
        <v>1017</v>
      </c>
      <c r="D11" s="108" t="s">
        <v>115</v>
      </c>
    </row>
    <row r="12" s="1" customFormat="true" ht="13.5" hidden="false" customHeight="false" outlineLevel="0" collapsed="false">
      <c r="B12" s="106" t="s">
        <v>116</v>
      </c>
      <c r="C12" s="111" t="n">
        <f aca="false">IFERROR(ROUND(1500*SIN(2*PI()*C5/INDEX(Calculator!$F$12:$F$22,MATCH(G5,Calculator!$A$12:$A$22,0))),0),150)</f>
        <v>-1391</v>
      </c>
      <c r="D12" s="108" t="s">
        <v>115</v>
      </c>
    </row>
    <row r="13" s="1" customFormat="true" ht="13.5" hidden="false" customHeight="false" outlineLevel="0" collapsed="false">
      <c r="B13" s="106" t="s">
        <v>117</v>
      </c>
      <c r="C13" s="109" t="s">
        <v>118</v>
      </c>
      <c r="D13" s="110"/>
    </row>
    <row r="14" s="1" customFormat="true" ht="13.5" hidden="false" customHeight="false" outlineLevel="0" collapsed="false">
      <c r="B14" s="106" t="s">
        <v>119</v>
      </c>
      <c r="C14" s="109" t="n">
        <v>20</v>
      </c>
      <c r="D14" s="110" t="s">
        <v>120</v>
      </c>
    </row>
    <row r="15" s="1" customFormat="true" ht="13.5" hidden="false" customHeight="false" outlineLevel="0" collapsed="false">
      <c r="B15" s="106" t="s">
        <v>121</v>
      </c>
      <c r="C15" s="109" t="n">
        <v>2</v>
      </c>
      <c r="D15" s="110" t="s">
        <v>122</v>
      </c>
    </row>
    <row r="16" s="1" customFormat="true" ht="13.5" hidden="false" customHeight="fals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false" outlineLevel="0" collapsed="false">
      <c r="B19" s="106" t="s">
        <v>127</v>
      </c>
      <c r="C19" s="112" t="n">
        <f aca="false">SQRT(C18)</f>
        <v>4.50998891351187</v>
      </c>
      <c r="D19" s="110"/>
    </row>
    <row r="20" s="1" customFormat="true" ht="13.5" hidden="false" customHeight="fals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false" outlineLevel="0" collapsed="false">
      <c r="B22" s="106" t="s">
        <v>131</v>
      </c>
      <c r="C22" s="112" t="n">
        <f aca="false">(C21/C14)^2</f>
        <v>20.25</v>
      </c>
      <c r="D22" s="110" t="s">
        <v>125</v>
      </c>
    </row>
    <row r="23" s="1" customFormat="true" ht="13.5" hidden="false" customHeight="false" outlineLevel="0" collapsed="false">
      <c r="B23" s="106" t="s">
        <v>132</v>
      </c>
      <c r="C23" s="116" t="n">
        <f aca="false">C12/C22</f>
        <v>-68.6913580246914</v>
      </c>
      <c r="D23" s="110" t="s">
        <v>112</v>
      </c>
    </row>
    <row r="24" s="1" customFormat="true" ht="13.5" hidden="false" customHeight="false" outlineLevel="0" collapsed="false">
      <c r="B24" s="106"/>
      <c r="C24" s="117"/>
      <c r="D24" s="110"/>
    </row>
    <row r="25" s="1" customFormat="true" ht="13.5" hidden="false" customHeight="fals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false" outlineLevel="0" collapsed="false"/>
    <row r="33" s="1" customFormat="true" ht="13.5" hidden="false" customHeight="true" outlineLevel="0" collapsed="false">
      <c r="B33" s="103" t="s">
        <v>147</v>
      </c>
      <c r="C33" s="103"/>
      <c r="D33" s="103"/>
    </row>
    <row r="34" s="1" customFormat="true" ht="26.1" hidden="false" customHeight="true" outlineLevel="0" collapsed="false">
      <c r="B34" s="123" t="s">
        <v>148</v>
      </c>
      <c r="C34" s="123"/>
      <c r="D34" s="123"/>
    </row>
    <row r="35" s="1" customFormat="true" ht="13.5" hidden="false" customHeight="false" outlineLevel="0" collapsed="false">
      <c r="B35" s="106" t="s">
        <v>149</v>
      </c>
      <c r="C35" s="112" t="n">
        <f aca="false">-C12</f>
        <v>1391</v>
      </c>
      <c r="D35" s="110" t="s">
        <v>112</v>
      </c>
    </row>
    <row r="36" s="1" customFormat="true" ht="13.5" hidden="false" customHeight="fals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false" outlineLevel="0" collapsed="false">
      <c r="B38" s="106" t="s">
        <v>153</v>
      </c>
      <c r="C38" s="112" t="str">
        <f aca="false">IF(C35&gt;0, "µH", IF(C35&lt;0, "pF", "-"))</f>
        <v>µH</v>
      </c>
    </row>
    <row r="39" s="1" customFormat="true" ht="13.5" hidden="false" customHeight="false" outlineLevel="0" collapsed="false"/>
    <row r="40" s="1" customFormat="true" ht="13.8" hidden="false" customHeight="true" outlineLevel="0" collapsed="false">
      <c r="B40" s="103" t="s">
        <v>154</v>
      </c>
      <c r="C40" s="103"/>
      <c r="D40" s="103"/>
    </row>
    <row r="41" s="1" customFormat="true" ht="13.8" hidden="false" customHeight="false" outlineLevel="0" collapsed="false">
      <c r="B41" s="106" t="s">
        <v>155</v>
      </c>
      <c r="C41" s="112" t="n">
        <f aca="false">VLOOKUP(C13,Toroid_Database!A:F, 3, FALSE())</f>
        <v>12</v>
      </c>
      <c r="D41" s="110" t="s">
        <v>156</v>
      </c>
    </row>
    <row r="42" s="1" customFormat="true" ht="13.8" hidden="false" customHeight="false" outlineLevel="0" collapsed="false">
      <c r="B42" s="106" t="s">
        <v>157</v>
      </c>
      <c r="C42" s="112" t="n">
        <f aca="false">C41*(C14^2)/1000</f>
        <v>4.8</v>
      </c>
      <c r="D42" s="110" t="s">
        <v>158</v>
      </c>
    </row>
    <row r="43" s="1" customFormat="true" ht="13.8" hidden="false" customHeight="false" outlineLevel="0" collapsed="false">
      <c r="B43" s="106" t="s">
        <v>159</v>
      </c>
      <c r="C43" s="112" t="n">
        <f aca="false">2*PI()*C8*C42</f>
        <v>870.095501338229</v>
      </c>
      <c r="D43" s="110" t="s">
        <v>112</v>
      </c>
    </row>
    <row r="44" s="1" customFormat="true" ht="13.8" hidden="false" customHeight="false" outlineLevel="0" collapsed="false">
      <c r="B44" s="106" t="s">
        <v>160</v>
      </c>
      <c r="C44" s="125" t="str">
        <f aca="false">IF(C43 &gt;= (4*C9), "ADEQUATE", "WARNING: INCREASE PRIMARY TURNS")</f>
        <v>ADEQUATE</v>
      </c>
      <c r="D44" s="110"/>
    </row>
    <row r="45" s="1" customFormat="true" ht="13.5" hidden="false" customHeight="false" outlineLevel="0" collapsed="false"/>
    <row r="46" s="1" customFormat="true" ht="38.4" hidden="false" customHeight="true" outlineLevel="0" collapsed="false">
      <c r="B46" s="97" t="s">
        <v>161</v>
      </c>
      <c r="C46" s="97"/>
      <c r="D46" s="97"/>
      <c r="E46" s="126"/>
      <c r="F46" s="126"/>
    </row>
    <row r="47" s="1" customFormat="true" ht="13.5" hidden="false" customHeight="fals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fals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fals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6.1" hidden="false" customHeight="fals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false" outlineLevel="0" collapsed="false">
      <c r="B65" s="136"/>
      <c r="C65" s="137"/>
      <c r="D65" s="137"/>
      <c r="E65" s="137"/>
      <c r="F65" s="137"/>
    </row>
    <row r="66" s="1" customFormat="true" ht="26.1"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fals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false" outlineLevel="0" collapsed="false">
      <c r="B70" s="139" t="s">
        <v>194</v>
      </c>
    </row>
    <row r="71" s="1" customFormat="true" ht="13.5" hidden="false" customHeight="true" outlineLevel="0" collapsed="false">
      <c r="B71" s="140" t="s">
        <v>195</v>
      </c>
      <c r="C71" s="141" t="n">
        <f aca="false">IF(C13="T-200-2",1.58,IF(C13="T-130-2",0.85,IF(C13="T-200-6",1.58,IF(C13="T-130-6",0.85,IF(C13="FT-240-43",2.35,IF(C13="FT-140-43",1.27,IF(C13="FT-240-31",2.35,IF(C13="FT-140-31",1.27,IF(C13="FT-240-52",2.35,IF(C13="FT-140-52",1.27,IF(C13="FT-240-61",2.35,IF(C13="FT-140-61",1.27,IF(C13="FT-114-43",0.55,IF(C13="FT-114-31",0.55,IF(C13="FT-114-52",0.55,IF(C13="FT-114-61",0.55,1)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false" outlineLevel="0" collapsed="false">
      <c r="B73" s="139" t="s">
        <v>201</v>
      </c>
      <c r="E73" s="114"/>
      <c r="F73" s="114"/>
      <c r="G73" s="114"/>
      <c r="H73" s="114"/>
      <c r="I73" s="114"/>
      <c r="J73" s="114"/>
      <c r="K73" s="114"/>
      <c r="L73" s="114"/>
      <c r="M73" s="114"/>
      <c r="N73" s="114"/>
    </row>
    <row r="74" s="1" customFormat="true" ht="13.5" hidden="false" customHeight="fals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6.1"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fals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false" outlineLevel="0" collapsed="false">
      <c r="B77" s="140"/>
      <c r="C77" s="139"/>
    </row>
    <row r="78" s="1" customFormat="true" ht="26.1"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fals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6.1"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fals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fals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8" hidden="false" customHeight="fals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8" hidden="false" customHeight="fals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8" hidden="false" customHeight="fals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6.1" hidden="false" customHeight="fals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0.679368421052635</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8" hidden="false" customHeight="fals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6.1" hidden="false" customHeight="fals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0.31189473684208</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8" hidden="false" customHeight="fals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8" hidden="false" customHeight="fals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8" hidden="false" customHeight="fals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6.1" hidden="false" customHeight="false" outlineLevel="0" collapsed="false">
      <c r="B100" s="159" t="str">
        <f aca="false">Calculator!A21</f>
        <v>10m</v>
      </c>
      <c r="C100" s="160" t="n">
        <f aca="false">Calculator!D21</f>
        <v>28.85</v>
      </c>
      <c r="D100" s="161" t="str">
        <f aca="false">Calculator!E21</f>
        <v>YES</v>
      </c>
      <c r="E100" s="162" t="n">
        <f aca="false">Calculator!F21</f>
        <v>4.93934142114385</v>
      </c>
      <c r="F100" s="160" t="n">
        <f aca="false">IF(AND(D100="YES",$C$83&gt;=Calculator!G21),MOD($C$83/E100,1),"—")</f>
        <v>0.811157894736835</v>
      </c>
      <c r="G100" s="163" t="n">
        <f aca="false">IF(AND(D100="YES",$C$83&gt;=Calculator!G21),ROUND(50*POWER(80,COS(PI()*MOD($C$83/E100,1))^2),0),"—")</f>
        <v>1017</v>
      </c>
      <c r="H100" s="164" t="n">
        <f aca="false">IF(AND(D100="YES",$C$83&gt;=Calculator!G21),ROUND(1500*SIN(2*PI()*MOD($C$83/E100,1)),1),"—")</f>
        <v>-1390.6</v>
      </c>
      <c r="I100" s="156" t="n">
        <f aca="false">IF(D100&lt;&gt;"YES","—",IF(OR($C$84="Capacitor (Series C)",$C$84="Capacitor"),ROUND(-159155/(C100*$C$85),1),IF(OR($C$84="Inductor (Series L)",$C$84="Inductor"),ROUND(2*PI()*C100*$C$85,1),"—")))</f>
        <v>1450.2</v>
      </c>
      <c r="J100" s="164" t="n">
        <f aca="false">IF(AND(D100="YES",ISNUMBER(H100),ISNUMBER(I100)),ROUND(H100+I100,1),"—")</f>
        <v>59.6</v>
      </c>
      <c r="K100" s="162" t="n">
        <f aca="false">IF(AND(D100="YES",ISNUMBER(G100),ISNUMBER(H100)),(1+SQRT((G100/$C$86-$C$87)^2+(H100/$C$86)^2)/SQRT((G100/$C$86+$C$87)^2+(H100/$C$86)^2))/(1-SQRT((G100/$C$86-$C$87)^2+(H100/$C$86)^2)/SQRT((G100/$C$86+$C$87)^2+(H100/$C$86)^2)),"—")</f>
        <v>3.60022873633354</v>
      </c>
      <c r="L100" s="165" t="n">
        <f aca="false">IF(AND(D100="YES",ISNUMBER(G100),ISNUMBER(J100)),(1+SQRT((G100/$C$86-$C$87)^2+(J100/$C$86)^2)/SQRT((G100/$C$86+$C$87)^2+(J100/$C$86)^2))/(1-SQRT((G100/$C$86-$C$87)^2+(J100/$C$86)^2)/SQRT((G100/$C$86+$C$87)^2+(J100/$C$86)^2)),"—")</f>
        <v>1.06066119994709</v>
      </c>
      <c r="M100" s="162" t="n">
        <f aca="false">IF(AND(ISNUMBER(K100),ISNUMBER(L100)),ROUND(L100-K100,2),"—")</f>
        <v>-2.54</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 EXCELLENT — comp brings VSWR &lt; 1.5</v>
      </c>
    </row>
    <row r="101" s="1" customFormat="true" ht="13.8" hidden="false" customHeight="fals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false" outlineLevel="0" collapsed="false"/>
    <row r="103" s="1" customFormat="true" ht="87.65"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false" outlineLevel="0" collapsed="false"/>
    <row r="105" s="1" customFormat="true" ht="26.1"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false" outlineLevel="0" collapsed="false"/>
    <row r="107" s="1" customFormat="true" ht="13.5" hidden="false" customHeight="false" outlineLevel="0" collapsed="false"/>
    <row r="108" s="1" customFormat="true" ht="13.5" hidden="false" customHeight="false" outlineLevel="0" collapsed="false"/>
    <row r="109" s="1" customFormat="true" ht="13.5" hidden="false" customHeight="false" outlineLevel="0" collapsed="false"/>
    <row r="110" s="1" customFormat="true" ht="13.5" hidden="false" customHeight="false" outlineLevel="0" collapsed="false"/>
    <row r="111" s="1" customFormat="true" ht="13.5" hidden="false" customHeight="false" outlineLevel="0" collapsed="false"/>
    <row r="112" s="1" customFormat="true" ht="13.5" hidden="false" customHeight="false" outlineLevel="0" collapsed="false"/>
    <row r="113" s="1" customFormat="true" ht="13.5" hidden="false" customHeight="false" outlineLevel="0" collapsed="false"/>
    <row r="114" s="1" customFormat="true" ht="13.5" hidden="false" customHeight="false" outlineLevel="0" collapsed="false"/>
    <row r="115" s="1" customFormat="true" ht="13.5" hidden="false" customHeight="false" outlineLevel="0" collapsed="false"/>
    <row r="116" s="1" customFormat="true" ht="13.5" hidden="false" customHeight="false" outlineLevel="0" collapsed="false"/>
    <row r="117" s="1" customFormat="true" ht="13.5" hidden="false" customHeight="false" outlineLevel="0" collapsed="false"/>
    <row r="118" s="1" customFormat="true" ht="13.5" hidden="false" customHeight="false" outlineLevel="0" collapsed="false"/>
    <row r="119" s="1" customFormat="true" ht="13.5" hidden="false" customHeight="false" outlineLevel="0" collapsed="false"/>
    <row r="120" s="1" customFormat="true" ht="13.5" hidden="false" customHeight="false" outlineLevel="0" collapsed="false"/>
    <row r="121" s="1" customFormat="true" ht="13.5" hidden="false" customHeight="false" outlineLevel="0" collapsed="false"/>
    <row r="122" s="1" customFormat="true" ht="13.5" hidden="false" customHeight="false" outlineLevel="0" collapsed="false"/>
    <row r="123" s="1" customFormat="true" ht="13.5" hidden="false" customHeight="false" outlineLevel="0" collapsed="false"/>
    <row r="124" s="1" customFormat="true" ht="13.5" hidden="false" customHeight="false" outlineLevel="0" collapsed="false"/>
    <row r="125" s="1" customFormat="true" ht="13.5" hidden="false" customHeight="false" outlineLevel="0" collapsed="false"/>
    <row r="126" s="1" customFormat="true" ht="13.5" hidden="false" customHeight="false" outlineLevel="0" collapsed="false"/>
    <row r="127" s="1" customFormat="true" ht="13.5" hidden="false" customHeight="false" outlineLevel="0" collapsed="false"/>
    <row r="128" s="1" customFormat="true" ht="13.5" hidden="false" customHeight="false" outlineLevel="0" collapsed="false"/>
    <row r="129" s="1" customFormat="true" ht="13.5" hidden="false" customHeight="false" outlineLevel="0" collapsed="false"/>
    <row r="130" s="1" customFormat="true" ht="13.5" hidden="false" customHeight="false" outlineLevel="0" collapsed="false"/>
    <row r="131" s="1" customFormat="true" ht="13.5" hidden="false" customHeight="false" outlineLevel="0" collapsed="false"/>
    <row r="132" s="1" customFormat="true" ht="13.5" hidden="false" customHeight="false" outlineLevel="0" collapsed="false"/>
    <row r="133" s="1" customFormat="true" ht="13.5" hidden="false" customHeight="false" outlineLevel="0" collapsed="false"/>
    <row r="134" s="1" customFormat="true" ht="13.5" hidden="false" customHeight="false" outlineLevel="0" collapsed="false"/>
    <row r="135" s="1" customFormat="true" ht="13.5" hidden="false" customHeight="false" outlineLevel="0" collapsed="false"/>
    <row r="136" s="1" customFormat="true" ht="13.5" hidden="false" customHeight="false" outlineLevel="0" collapsed="false"/>
    <row r="137" s="1" customFormat="true" ht="13.5" hidden="false" customHeight="false" outlineLevel="0" collapsed="false"/>
    <row r="138" s="1" customFormat="true" ht="13.5" hidden="false" customHeight="false" outlineLevel="0" collapsed="false"/>
    <row r="139" s="1" customFormat="true" ht="13.5" hidden="false" customHeight="false" outlineLevel="0" collapsed="false"/>
    <row r="140" s="1" customFormat="true" ht="13.5" hidden="false" customHeight="false" outlineLevel="0" collapsed="false"/>
    <row r="141" s="1" customFormat="true" ht="13.5" hidden="false" customHeight="false" outlineLevel="0" collapsed="false"/>
    <row r="142" s="1" customFormat="true" ht="13.5" hidden="false" customHeight="false" outlineLevel="0" collapsed="false"/>
    <row r="143" s="1" customFormat="true" ht="13.5" hidden="false" customHeight="false" outlineLevel="0" collapsed="false"/>
    <row r="144" s="1" customFormat="true" ht="13.5" hidden="false" customHeight="false" outlineLevel="0" collapsed="false"/>
    <row r="145" s="1" customFormat="true" ht="13.5" hidden="false" customHeight="false" outlineLevel="0" collapsed="false"/>
    <row r="146" s="1" customFormat="true" ht="13.5" hidden="false" customHeight="false" outlineLevel="0" collapsed="false"/>
    <row r="147" s="1" customFormat="true" ht="13.5" hidden="false" customHeight="false" outlineLevel="0" collapsed="false"/>
    <row r="148" s="1" customFormat="true" ht="13.5" hidden="false" customHeight="false" outlineLevel="0" collapsed="false"/>
    <row r="149" s="1" customFormat="true" ht="13.5" hidden="false" customHeight="false" outlineLevel="0" collapsed="false"/>
    <row r="150" s="1" customFormat="true" ht="13.5" hidden="false" customHeight="false" outlineLevel="0" collapsed="false"/>
    <row r="151" s="1" customFormat="true" ht="13.5" hidden="false" customHeight="false" outlineLevel="0" collapsed="false"/>
    <row r="152" s="1" customFormat="true" ht="13.5" hidden="false" customHeight="false" outlineLevel="0" collapsed="false"/>
    <row r="153" s="1" customFormat="true" ht="13.5" hidden="false" customHeight="false" outlineLevel="0" collapsed="false"/>
    <row r="154" s="1" customFormat="true" ht="13.5" hidden="false" customHeight="false" outlineLevel="0" collapsed="false"/>
    <row r="155" s="1" customFormat="true" ht="13.5" hidden="false" customHeight="false" outlineLevel="0" collapsed="false"/>
    <row r="156" s="1" customFormat="true" ht="13.5" hidden="false" customHeight="false" outlineLevel="0" collapsed="false"/>
    <row r="157" s="1" customFormat="true" ht="13.5" hidden="false" customHeight="false" outlineLevel="0" collapsed="false"/>
    <row r="158" s="1" customFormat="true" ht="13.5" hidden="false" customHeight="false" outlineLevel="0" collapsed="false"/>
    <row r="159" s="1" customFormat="true" ht="13.5" hidden="false" customHeight="false" outlineLevel="0" collapsed="false"/>
    <row r="160" s="1" customFormat="true" ht="13.5" hidden="false" customHeight="false" outlineLevel="0" collapsed="false"/>
    <row r="161" s="1" customFormat="true" ht="13.5" hidden="false" customHeight="false" outlineLevel="0" collapsed="false"/>
    <row r="162" s="1" customFormat="true" ht="13.5" hidden="false" customHeight="false" outlineLevel="0" collapsed="false"/>
    <row r="163" s="1" customFormat="true" ht="13.5" hidden="false" customHeight="false" outlineLevel="0" collapsed="false"/>
    <row r="164" s="1" customFormat="true" ht="13.5" hidden="false" customHeight="false" outlineLevel="0" collapsed="false"/>
    <row r="165" s="1" customFormat="true" ht="13.5" hidden="false" customHeight="false" outlineLevel="0" collapsed="false"/>
    <row r="166" s="1" customFormat="true" ht="13.5" hidden="false" customHeight="false" outlineLevel="0" collapsed="false"/>
    <row r="167" s="1" customFormat="true" ht="13.5" hidden="false" customHeight="false" outlineLevel="0" collapsed="false"/>
    <row r="168" s="1" customFormat="true" ht="13.5" hidden="false" customHeight="false" outlineLevel="0" collapsed="false"/>
    <row r="169" s="1" customFormat="true" ht="13.5" hidden="false" customHeight="false" outlineLevel="0" collapsed="false"/>
    <row r="170" s="1" customFormat="true" ht="13.5" hidden="false" customHeight="false" outlineLevel="0" collapsed="false"/>
    <row r="171" s="1" customFormat="true" ht="13.5" hidden="false" customHeight="false" outlineLevel="0" collapsed="false"/>
    <row r="172" s="1" customFormat="true" ht="13.5" hidden="false" customHeight="false" outlineLevel="0" collapsed="false"/>
    <row r="173" s="1" customFormat="true" ht="13.5" hidden="false" customHeight="false" outlineLevel="0" collapsed="false"/>
    <row r="174" s="1" customFormat="true" ht="13.5" hidden="false" customHeight="false" outlineLevel="0" collapsed="false"/>
    <row r="175" s="1" customFormat="true" ht="13.5" hidden="false" customHeight="false" outlineLevel="0" collapsed="false"/>
    <row r="176" s="1" customFormat="true" ht="13.5" hidden="false" customHeight="false" outlineLevel="0" collapsed="false"/>
    <row r="177" s="1" customFormat="true" ht="13.5" hidden="false" customHeight="false" outlineLevel="0" collapsed="false"/>
    <row r="178" s="1" customFormat="true" ht="13.5" hidden="false" customHeight="false" outlineLevel="0" collapsed="false"/>
    <row r="179" s="1" customFormat="true" ht="13.5" hidden="false" customHeight="false" outlineLevel="0" collapsed="false"/>
    <row r="180" s="1" customFormat="true" ht="13.5" hidden="false" customHeight="false" outlineLevel="0" collapsed="false"/>
    <row r="181" s="1" customFormat="true" ht="13.5" hidden="false" customHeight="false" outlineLevel="0" collapsed="false"/>
    <row r="182" s="1" customFormat="true" ht="13.5" hidden="false" customHeight="false" outlineLevel="0" collapsed="false"/>
    <row r="183" s="1" customFormat="true" ht="13.5" hidden="false" customHeight="false" outlineLevel="0" collapsed="false"/>
    <row r="184" s="1" customFormat="true" ht="13.5" hidden="false" customHeight="false" outlineLevel="0" collapsed="false"/>
    <row r="185" s="1" customFormat="true" ht="13.5" hidden="false" customHeight="false" outlineLevel="0" collapsed="false"/>
    <row r="186" s="1" customFormat="true" ht="13.5" hidden="false" customHeight="false" outlineLevel="0" collapsed="false"/>
    <row r="187" s="1" customFormat="true" ht="13.5" hidden="false" customHeight="false" outlineLevel="0" collapsed="false"/>
    <row r="188" s="1" customFormat="true" ht="13.5" hidden="false" customHeight="false" outlineLevel="0" collapsed="false"/>
    <row r="189" s="1" customFormat="true" ht="13.5" hidden="false" customHeight="false" outlineLevel="0" collapsed="false"/>
    <row r="190" s="1" customFormat="true" ht="13.5" hidden="false" customHeight="false" outlineLevel="0" collapsed="false"/>
    <row r="191" s="1" customFormat="true" ht="13.5" hidden="false" customHeight="false" outlineLevel="0" collapsed="false"/>
    <row r="192" s="1" customFormat="true" ht="13.5" hidden="false" customHeight="false" outlineLevel="0" collapsed="false"/>
    <row r="193" s="1" customFormat="true" ht="13.5" hidden="false" customHeight="false" outlineLevel="0" collapsed="false"/>
    <row r="194" s="1" customFormat="true" ht="13.5" hidden="false" customHeight="false" outlineLevel="0" collapsed="false"/>
    <row r="195" s="1" customFormat="true" ht="13.5" hidden="false" customHeight="false" outlineLevel="0" collapsed="false"/>
    <row r="196" s="1" customFormat="true" ht="13.5" hidden="false" customHeight="false" outlineLevel="0" collapsed="false"/>
    <row r="197" s="1" customFormat="true" ht="13.5" hidden="false" customHeight="false" outlineLevel="0" collapsed="false"/>
    <row r="198" s="1" customFormat="true" ht="13.5" hidden="false" customHeight="false" outlineLevel="0" collapsed="false"/>
    <row r="199" s="1" customFormat="true" ht="13.5" hidden="false" customHeight="false" outlineLevel="0" collapsed="false"/>
    <row r="200" s="1" customFormat="true" ht="13.5" hidden="false" customHeight="false" outlineLevel="0" collapsed="false"/>
    <row r="201" s="1" customFormat="true" ht="13.5" hidden="false" customHeight="false" outlineLevel="0" collapsed="false"/>
    <row r="202" s="1" customFormat="true" ht="13.5" hidden="false" customHeight="false" outlineLevel="0" collapsed="false"/>
    <row r="203" s="1" customFormat="true" ht="13.5" hidden="false" customHeight="false" outlineLevel="0" collapsed="false"/>
    <row r="204" s="1" customFormat="true" ht="13.5" hidden="false" customHeight="false" outlineLevel="0" collapsed="false"/>
    <row r="205" s="1" customFormat="true" ht="13.5" hidden="false" customHeight="false" outlineLevel="0" collapsed="false"/>
    <row r="206" s="1" customFormat="true" ht="13.5" hidden="false" customHeight="false" outlineLevel="0" collapsed="false"/>
    <row r="207" s="1" customFormat="true" ht="13.5" hidden="false" customHeight="false" outlineLevel="0" collapsed="false"/>
    <row r="208" s="1" customFormat="true" ht="13.5" hidden="false" customHeight="false" outlineLevel="0" collapsed="false"/>
    <row r="209" s="1" customFormat="true" ht="13.5" hidden="false" customHeight="false" outlineLevel="0" collapsed="false"/>
    <row r="210" s="1" customFormat="true" ht="13.5" hidden="false" customHeight="false" outlineLevel="0" collapsed="false"/>
    <row r="211" s="1" customFormat="true" ht="13.5" hidden="false" customHeight="false" outlineLevel="0" collapsed="false"/>
    <row r="212" s="1" customFormat="true" ht="13.5" hidden="false" customHeight="false" outlineLevel="0" collapsed="false"/>
    <row r="213" s="1" customFormat="true" ht="13.5" hidden="false" customHeight="false" outlineLevel="0" collapsed="false"/>
    <row r="214" s="1" customFormat="true" ht="13.5" hidden="false" customHeight="false" outlineLevel="0" collapsed="false"/>
    <row r="215" s="1" customFormat="true" ht="13.5" hidden="false" customHeight="false" outlineLevel="0" collapsed="false"/>
    <row r="216" s="1" customFormat="true" ht="13.5" hidden="false" customHeight="false" outlineLevel="0" collapsed="false"/>
    <row r="217" s="1" customFormat="true" ht="13.5" hidden="false" customHeight="false" outlineLevel="0" collapsed="false"/>
    <row r="218" s="1" customFormat="true" ht="13.5" hidden="false" customHeight="false" outlineLevel="0" collapsed="false"/>
    <row r="219" s="1" customFormat="true" ht="13.5" hidden="false" customHeight="false" outlineLevel="0" collapsed="false"/>
    <row r="220" s="1" customFormat="true" ht="13.5" hidden="false" customHeight="false" outlineLevel="0" collapsed="false"/>
    <row r="221" s="1" customFormat="true" ht="13.5" hidden="false" customHeight="false" outlineLevel="0" collapsed="false"/>
    <row r="222" s="1" customFormat="true" ht="13.5" hidden="false" customHeight="false" outlineLevel="0" collapsed="false"/>
    <row r="223" s="1" customFormat="true" ht="13.5" hidden="false" customHeight="false" outlineLevel="0" collapsed="false"/>
    <row r="224" s="1" customFormat="true" ht="13.5" hidden="false" customHeight="false" outlineLevel="0" collapsed="false"/>
    <row r="225" s="1" customFormat="true" ht="13.5" hidden="false" customHeight="false" outlineLevel="0" collapsed="false"/>
    <row r="226" s="1" customFormat="true" ht="13.5" hidden="false" customHeight="false" outlineLevel="0" collapsed="false"/>
    <row r="227" s="1" customFormat="true" ht="13.5" hidden="false" customHeight="false" outlineLevel="0" collapsed="false"/>
    <row r="228" s="1" customFormat="true" ht="13.5" hidden="false" customHeight="false" outlineLevel="0" collapsed="false"/>
    <row r="229" s="1" customFormat="true" ht="13.5" hidden="false" customHeight="false" outlineLevel="0" collapsed="false"/>
    <row r="230" s="1" customFormat="true" ht="13.5" hidden="false" customHeight="false" outlineLevel="0" collapsed="false"/>
    <row r="231" s="1" customFormat="true" ht="13.5" hidden="false" customHeight="false" outlineLevel="0" collapsed="false"/>
    <row r="232" s="1" customFormat="true" ht="13.5" hidden="false" customHeight="false" outlineLevel="0" collapsed="false"/>
    <row r="233" s="1" customFormat="true" ht="13.5" hidden="false" customHeight="false" outlineLevel="0" collapsed="false"/>
    <row r="234" s="1" customFormat="true" ht="13.5" hidden="false" customHeight="false" outlineLevel="0" collapsed="false"/>
    <row r="235" s="1" customFormat="true" ht="13.5" hidden="false" customHeight="false" outlineLevel="0" collapsed="false"/>
    <row r="236" s="1" customFormat="true" ht="13.5" hidden="false" customHeight="false" outlineLevel="0" collapsed="false"/>
    <row r="237" s="1" customFormat="true" ht="13.5" hidden="false" customHeight="false" outlineLevel="0" collapsed="false"/>
    <row r="238" s="1" customFormat="true" ht="13.5" hidden="false" customHeight="false" outlineLevel="0" collapsed="false"/>
    <row r="239" s="1" customFormat="true" ht="13.5" hidden="false" customHeight="false" outlineLevel="0" collapsed="false"/>
    <row r="240" s="1" customFormat="true" ht="13.5" hidden="false" customHeight="false" outlineLevel="0" collapsed="false"/>
    <row r="241" s="1" customFormat="true" ht="13.5" hidden="false" customHeight="false" outlineLevel="0" collapsed="false"/>
    <row r="242" s="1" customFormat="true" ht="13.5" hidden="false" customHeight="false" outlineLevel="0" collapsed="false"/>
    <row r="243" s="1" customFormat="true" ht="13.5" hidden="false" customHeight="false" outlineLevel="0" collapsed="false"/>
    <row r="244" s="1" customFormat="true" ht="13.5" hidden="false" customHeight="false" outlineLevel="0" collapsed="false"/>
    <row r="245" s="1" customFormat="true" ht="13.5" hidden="false" customHeight="false" outlineLevel="0" collapsed="false"/>
    <row r="246" s="1" customFormat="true" ht="13.5" hidden="false" customHeight="false" outlineLevel="0" collapsed="false"/>
    <row r="247" s="1" customFormat="true" ht="13.5" hidden="false" customHeight="false" outlineLevel="0" collapsed="false"/>
    <row r="248" s="1" customFormat="true" ht="13.5" hidden="false" customHeight="false" outlineLevel="0" collapsed="false"/>
    <row r="249" s="1" customFormat="true" ht="13.5" hidden="false" customHeight="false" outlineLevel="0" collapsed="false"/>
    <row r="250" s="1" customFormat="true" ht="13.5" hidden="false" customHeight="false" outlineLevel="0" collapsed="false"/>
    <row r="251" s="1" customFormat="true" ht="13.5" hidden="false" customHeight="false" outlineLevel="0" collapsed="false"/>
    <row r="252" s="1" customFormat="true" ht="13.5" hidden="false" customHeight="false" outlineLevel="0" collapsed="false"/>
    <row r="253" s="1" customFormat="true" ht="13.5" hidden="false" customHeight="false" outlineLevel="0" collapsed="false"/>
    <row r="254" s="1" customFormat="true" ht="13.5" hidden="false" customHeight="false" outlineLevel="0" collapsed="false"/>
    <row r="255" s="1" customFormat="true" ht="13.5" hidden="false" customHeight="false" outlineLevel="0" collapsed="false"/>
    <row r="256" s="1" customFormat="true" ht="13.5" hidden="false" customHeight="false" outlineLevel="0" collapsed="false"/>
    <row r="257" s="1" customFormat="true" ht="13.5" hidden="false" customHeight="false" outlineLevel="0" collapsed="false"/>
    <row r="258" s="1" customFormat="true" ht="13.5" hidden="false" customHeight="false" outlineLevel="0" collapsed="false"/>
    <row r="259" s="1" customFormat="true" ht="13.5" hidden="false" customHeight="false" outlineLevel="0" collapsed="false"/>
    <row r="260" s="1" customFormat="true" ht="13.5" hidden="false" customHeight="false" outlineLevel="0" collapsed="false"/>
    <row r="261" s="1" customFormat="true" ht="13.5" hidden="false" customHeight="false" outlineLevel="0" collapsed="false"/>
    <row r="262" s="1" customFormat="true" ht="13.5" hidden="false" customHeight="false" outlineLevel="0" collapsed="false"/>
    <row r="263" s="1" customFormat="true" ht="13.5" hidden="false" customHeight="false" outlineLevel="0" collapsed="false"/>
    <row r="264" s="1" customFormat="true" ht="13.5" hidden="false" customHeight="false" outlineLevel="0" collapsed="false"/>
    <row r="265" s="1" customFormat="true" ht="13.5" hidden="false" customHeight="false" outlineLevel="0" collapsed="false"/>
    <row r="266" s="1" customFormat="true" ht="13.5" hidden="false" customHeight="false" outlineLevel="0" collapsed="false"/>
    <row r="267" s="1" customFormat="true" ht="13.5" hidden="false" customHeight="false" outlineLevel="0" collapsed="false"/>
    <row r="268" s="1" customFormat="true" ht="13.5" hidden="false" customHeight="false" outlineLevel="0" collapsed="false"/>
    <row r="269" s="1" customFormat="true" ht="13.5" hidden="false" customHeight="false" outlineLevel="0" collapsed="false"/>
    <row r="270" s="1" customFormat="true" ht="13.5" hidden="false" customHeight="false" outlineLevel="0" collapsed="false"/>
    <row r="271" s="1" customFormat="true" ht="13.5" hidden="false" customHeight="false" outlineLevel="0" collapsed="false"/>
    <row r="272" s="1" customFormat="true" ht="13.5" hidden="false" customHeight="false" outlineLevel="0" collapsed="false"/>
    <row r="273" s="1" customFormat="true" ht="13.5" hidden="false" customHeight="false" outlineLevel="0" collapsed="false"/>
    <row r="274" s="1" customFormat="true" ht="13.5" hidden="false" customHeight="false" outlineLevel="0" collapsed="false"/>
    <row r="275" s="1" customFormat="true" ht="13.5" hidden="false" customHeight="false" outlineLevel="0" collapsed="false"/>
    <row r="276" s="1" customFormat="true" ht="13.5" hidden="false" customHeight="false" outlineLevel="0" collapsed="false"/>
    <row r="277" s="1" customFormat="true" ht="13.5" hidden="false" customHeight="false" outlineLevel="0" collapsed="false"/>
    <row r="278" s="1" customFormat="true" ht="13.5" hidden="false" customHeight="false" outlineLevel="0" collapsed="false"/>
    <row r="279" s="1" customFormat="true" ht="13.5" hidden="false" customHeight="false" outlineLevel="0" collapsed="false"/>
    <row r="280" s="1" customFormat="true" ht="13.5" hidden="false" customHeight="false" outlineLevel="0" collapsed="false"/>
    <row r="281" s="1" customFormat="true" ht="13.5" hidden="false" customHeight="false" outlineLevel="0" collapsed="false"/>
    <row r="282" s="1" customFormat="true" ht="13.5" hidden="false" customHeight="false" outlineLevel="0" collapsed="false"/>
    <row r="283" s="1" customFormat="true" ht="13.5" hidden="false" customHeight="false" outlineLevel="0" collapsed="false"/>
    <row r="284" s="1" customFormat="true" ht="13.5" hidden="false" customHeight="false" outlineLevel="0" collapsed="false"/>
    <row r="285" s="1" customFormat="true" ht="13.5" hidden="false" customHeight="false" outlineLevel="0" collapsed="false"/>
    <row r="286" s="1" customFormat="true" ht="13.5" hidden="false" customHeight="false" outlineLevel="0" collapsed="false"/>
    <row r="287" s="1" customFormat="true" ht="13.5" hidden="false" customHeight="false" outlineLevel="0" collapsed="false"/>
    <row r="288" s="1" customFormat="true" ht="13.5" hidden="false" customHeight="false" outlineLevel="0" collapsed="false"/>
    <row r="289" s="1" customFormat="true" ht="13.5" hidden="false" customHeight="false" outlineLevel="0" collapsed="false"/>
    <row r="290" s="1" customFormat="true" ht="13.5" hidden="false" customHeight="false" outlineLevel="0" collapsed="false"/>
    <row r="291" s="1" customFormat="true" ht="13.5" hidden="false" customHeight="false" outlineLevel="0" collapsed="false"/>
    <row r="292" s="1" customFormat="true" ht="13.5" hidden="false" customHeight="false" outlineLevel="0" collapsed="false"/>
    <row r="293" s="1" customFormat="true" ht="13.5" hidden="false" customHeight="false" outlineLevel="0" collapsed="false"/>
    <row r="294" s="1" customFormat="true" ht="13.5" hidden="false" customHeight="false" outlineLevel="0" collapsed="false"/>
    <row r="295" s="1" customFormat="true" ht="13.5" hidden="false" customHeight="false" outlineLevel="0" collapsed="false"/>
    <row r="296" s="1" customFormat="true" ht="13.5" hidden="false" customHeight="false" outlineLevel="0" collapsed="false"/>
    <row r="297" s="1" customFormat="true" ht="13.5" hidden="false" customHeight="false" outlineLevel="0" collapsed="false"/>
    <row r="298" s="1" customFormat="true" ht="13.5" hidden="false" customHeight="false" outlineLevel="0" collapsed="false"/>
    <row r="299" s="1" customFormat="true" ht="13.5" hidden="false" customHeight="false" outlineLevel="0" collapsed="false"/>
    <row r="300" s="1" customFormat="true" ht="13.5" hidden="false" customHeight="false" outlineLevel="0" collapsed="false"/>
    <row r="301" s="1" customFormat="true" ht="13.5" hidden="false" customHeight="false" outlineLevel="0" collapsed="false"/>
    <row r="302" s="1" customFormat="true" ht="13.5" hidden="false" customHeight="false" outlineLevel="0" collapsed="false"/>
    <row r="303" s="1" customFormat="true" ht="13.5" hidden="false" customHeight="false" outlineLevel="0" collapsed="false"/>
    <row r="304" s="1" customFormat="true" ht="13.5" hidden="false" customHeight="false" outlineLevel="0" collapsed="false"/>
    <row r="305" s="1" customFormat="true" ht="13.5" hidden="false" customHeight="false" outlineLevel="0" collapsed="false"/>
    <row r="306" s="1" customFormat="true" ht="13.5" hidden="false" customHeight="false" outlineLevel="0" collapsed="false"/>
    <row r="307" s="1" customFormat="true" ht="13.5" hidden="false" customHeight="false" outlineLevel="0" collapsed="false"/>
    <row r="308" s="1" customFormat="true" ht="13.5" hidden="false" customHeight="false" outlineLevel="0" collapsed="false"/>
    <row r="309" s="1" customFormat="true" ht="13.5" hidden="false" customHeight="false" outlineLevel="0" collapsed="false"/>
    <row r="310" s="1" customFormat="true" ht="13.5" hidden="false" customHeight="false" outlineLevel="0" collapsed="false"/>
    <row r="311" s="1" customFormat="true" ht="13.5" hidden="false" customHeight="false" outlineLevel="0" collapsed="false"/>
    <row r="312" s="1" customFormat="true" ht="13.5" hidden="false" customHeight="false" outlineLevel="0" collapsed="false"/>
    <row r="313" s="1" customFormat="true" ht="13.5" hidden="false" customHeight="false" outlineLevel="0" collapsed="false"/>
    <row r="314" s="1" customFormat="true" ht="13.5" hidden="false" customHeight="false" outlineLevel="0" collapsed="false"/>
    <row r="315" s="1" customFormat="true" ht="13.5" hidden="false" customHeight="false" outlineLevel="0" collapsed="false"/>
    <row r="316" s="1" customFormat="true" ht="13.5" hidden="false" customHeight="false" outlineLevel="0" collapsed="false"/>
    <row r="317" s="1" customFormat="true" ht="13.5" hidden="false" customHeight="false" outlineLevel="0" collapsed="false"/>
    <row r="318" s="1" customFormat="true" ht="13.5" hidden="false" customHeight="false" outlineLevel="0" collapsed="false"/>
    <row r="319" s="1" customFormat="true" ht="13.5" hidden="false" customHeight="false" outlineLevel="0" collapsed="false"/>
    <row r="320" s="1" customFormat="true" ht="13.5" hidden="false" customHeight="false" outlineLevel="0" collapsed="false"/>
    <row r="321" s="1" customFormat="true" ht="13.5" hidden="false" customHeight="false" outlineLevel="0" collapsed="false"/>
    <row r="322" s="1" customFormat="true" ht="13.5" hidden="false" customHeight="false" outlineLevel="0" collapsed="false"/>
    <row r="323" s="1" customFormat="true" ht="13.5" hidden="false" customHeight="false" outlineLevel="0" collapsed="false"/>
    <row r="324" s="1" customFormat="true" ht="13.5" hidden="false" customHeight="false" outlineLevel="0" collapsed="false"/>
    <row r="325" s="1" customFormat="true" ht="13.5" hidden="false" customHeight="false" outlineLevel="0" collapsed="false"/>
    <row r="326" s="1" customFormat="true" ht="13.5" hidden="false" customHeight="false" outlineLevel="0" collapsed="false"/>
    <row r="327" s="1" customFormat="true" ht="13.5" hidden="false" customHeight="false" outlineLevel="0" collapsed="false"/>
    <row r="328" s="1" customFormat="true" ht="13.5" hidden="false" customHeight="false" outlineLevel="0" collapsed="false"/>
    <row r="329" s="1" customFormat="true" ht="13.5" hidden="false" customHeight="false" outlineLevel="0" collapsed="false"/>
    <row r="330" s="1" customFormat="true" ht="13.5" hidden="false" customHeight="false" outlineLevel="0" collapsed="false"/>
    <row r="331" s="1" customFormat="true" ht="13.5" hidden="false" customHeight="false" outlineLevel="0" collapsed="false"/>
    <row r="332" s="1" customFormat="true" ht="13.5" hidden="false" customHeight="false" outlineLevel="0" collapsed="false"/>
    <row r="333" s="1" customFormat="true" ht="13.5" hidden="false" customHeight="false" outlineLevel="0" collapsed="false"/>
    <row r="334" s="1" customFormat="true" ht="13.5" hidden="false" customHeight="false" outlineLevel="0" collapsed="false"/>
    <row r="335" s="1" customFormat="true" ht="13.5" hidden="false" customHeight="false" outlineLevel="0" collapsed="false"/>
    <row r="336" s="1" customFormat="true" ht="13.5" hidden="false" customHeight="false" outlineLevel="0" collapsed="false"/>
    <row r="337" s="1" customFormat="true" ht="13.5" hidden="false" customHeight="false" outlineLevel="0" collapsed="false"/>
    <row r="338" s="1" customFormat="true" ht="13.5" hidden="false" customHeight="false" outlineLevel="0" collapsed="false"/>
    <row r="339" s="1" customFormat="true" ht="13.5" hidden="false" customHeight="false" outlineLevel="0" collapsed="false"/>
    <row r="340" s="1" customFormat="true" ht="13.5" hidden="false" customHeight="false" outlineLevel="0" collapsed="false"/>
    <row r="341" s="1" customFormat="true" ht="13.5" hidden="false" customHeight="false" outlineLevel="0" collapsed="false"/>
    <row r="342" s="1" customFormat="true" ht="13.5" hidden="false" customHeight="false" outlineLevel="0" collapsed="false"/>
    <row r="343" s="1" customFormat="true" ht="13.5" hidden="false" customHeight="false" outlineLevel="0" collapsed="false"/>
    <row r="344" s="1" customFormat="true" ht="13.5" hidden="false" customHeight="false" outlineLevel="0" collapsed="false"/>
    <row r="345" s="1" customFormat="true" ht="13.5" hidden="false" customHeight="false" outlineLevel="0" collapsed="false"/>
    <row r="346" s="1" customFormat="true" ht="13.5" hidden="false" customHeight="false" outlineLevel="0" collapsed="false"/>
    <row r="347" s="1" customFormat="true" ht="13.5" hidden="false" customHeight="false" outlineLevel="0" collapsed="false"/>
    <row r="348" s="1" customFormat="true" ht="13.5" hidden="false" customHeight="false" outlineLevel="0" collapsed="false"/>
    <row r="349" s="1" customFormat="true" ht="13.5" hidden="false" customHeight="false" outlineLevel="0" collapsed="false"/>
    <row r="350" s="1" customFormat="true" ht="13.5" hidden="false" customHeight="false" outlineLevel="0" collapsed="false"/>
    <row r="351" s="1" customFormat="true" ht="13.5" hidden="false" customHeight="false" outlineLevel="0" collapsed="false"/>
    <row r="352" s="1" customFormat="true" ht="13.5" hidden="false" customHeight="false" outlineLevel="0" collapsed="false"/>
    <row r="353" s="1" customFormat="true" ht="13.5" hidden="false" customHeight="false" outlineLevel="0" collapsed="false"/>
    <row r="354" s="1" customFormat="true" ht="13.5" hidden="false" customHeight="false" outlineLevel="0" collapsed="false"/>
    <row r="355" s="1" customFormat="true" ht="13.5" hidden="false" customHeight="false" outlineLevel="0" collapsed="false"/>
    <row r="356" s="1" customFormat="true" ht="13.5" hidden="false" customHeight="false" outlineLevel="0" collapsed="false"/>
    <row r="357" s="1" customFormat="true" ht="13.5" hidden="false" customHeight="false" outlineLevel="0" collapsed="false"/>
    <row r="358" s="1" customFormat="true" ht="13.5" hidden="false" customHeight="false" outlineLevel="0" collapsed="false"/>
    <row r="359" s="1" customFormat="true" ht="13.5" hidden="false" customHeight="false" outlineLevel="0" collapsed="false"/>
    <row r="360" s="1" customFormat="true" ht="13.5" hidden="false" customHeight="false" outlineLevel="0" collapsed="false"/>
    <row r="361" s="1" customFormat="true" ht="13.5" hidden="false" customHeight="false" outlineLevel="0" collapsed="false"/>
    <row r="362" s="1" customFormat="true" ht="13.5" hidden="false" customHeight="false" outlineLevel="0" collapsed="false"/>
    <row r="363" s="1" customFormat="true" ht="13.5" hidden="false" customHeight="false" outlineLevel="0" collapsed="false"/>
    <row r="364" s="1" customFormat="true" ht="13.5" hidden="false" customHeight="false" outlineLevel="0" collapsed="false"/>
    <row r="365" s="1" customFormat="true" ht="13.5" hidden="false" customHeight="false" outlineLevel="0" collapsed="false"/>
    <row r="366" s="1" customFormat="true" ht="13.5" hidden="false" customHeight="false" outlineLevel="0" collapsed="false"/>
    <row r="367" s="1" customFormat="true" ht="13.5" hidden="false" customHeight="false" outlineLevel="0" collapsed="false"/>
    <row r="368" s="1" customFormat="true" ht="13.5" hidden="false" customHeight="false" outlineLevel="0" collapsed="false"/>
    <row r="369" s="1" customFormat="true" ht="13.5" hidden="false" customHeight="false" outlineLevel="0" collapsed="false"/>
    <row r="370" s="1" customFormat="true" ht="13.5" hidden="false" customHeight="false" outlineLevel="0" collapsed="false"/>
    <row r="371" s="1" customFormat="true" ht="13.5" hidden="false" customHeight="false" outlineLevel="0" collapsed="false"/>
    <row r="372" s="1" customFormat="true" ht="13.5" hidden="false" customHeight="false" outlineLevel="0" collapsed="false"/>
    <row r="373" s="1" customFormat="true" ht="13.5" hidden="false" customHeight="false" outlineLevel="0" collapsed="false"/>
    <row r="374" s="1" customFormat="true" ht="13.5" hidden="false" customHeight="false" outlineLevel="0" collapsed="false"/>
    <row r="375" s="1" customFormat="true" ht="13.5" hidden="false" customHeight="false" outlineLevel="0" collapsed="false"/>
    <row r="376" s="1" customFormat="true" ht="13.5" hidden="false" customHeight="false" outlineLevel="0" collapsed="false"/>
    <row r="377" s="1" customFormat="true" ht="13.5" hidden="false" customHeight="false" outlineLevel="0" collapsed="false"/>
    <row r="378" s="1" customFormat="true" ht="13.5" hidden="false" customHeight="false" outlineLevel="0" collapsed="false"/>
    <row r="379" s="1" customFormat="true" ht="13.5" hidden="false" customHeight="false" outlineLevel="0" collapsed="false"/>
    <row r="380" s="1" customFormat="true" ht="13.5" hidden="false" customHeight="false" outlineLevel="0" collapsed="false"/>
    <row r="381" s="1" customFormat="true" ht="13.5" hidden="false" customHeight="false" outlineLevel="0" collapsed="false"/>
    <row r="382" s="1" customFormat="true" ht="13.5" hidden="false" customHeight="false" outlineLevel="0" collapsed="false"/>
    <row r="383" s="1" customFormat="true" ht="13.5" hidden="false" customHeight="false" outlineLevel="0" collapsed="false"/>
    <row r="384" s="1" customFormat="true" ht="13.5" hidden="false" customHeight="false" outlineLevel="0" collapsed="false"/>
    <row r="385" s="1" customFormat="true" ht="13.5" hidden="false" customHeight="false" outlineLevel="0" collapsed="false"/>
    <row r="386" s="1" customFormat="true" ht="13.5" hidden="false" customHeight="false" outlineLevel="0" collapsed="false"/>
    <row r="387" s="1" customFormat="true" ht="13.5" hidden="false" customHeight="false" outlineLevel="0" collapsed="false"/>
    <row r="388" s="1" customFormat="true" ht="13.5" hidden="false" customHeight="false" outlineLevel="0" collapsed="false"/>
    <row r="389" s="1" customFormat="true" ht="13.5" hidden="false" customHeight="false" outlineLevel="0" collapsed="false"/>
    <row r="390" s="1" customFormat="true" ht="13.5" hidden="false" customHeight="false" outlineLevel="0" collapsed="false"/>
    <row r="391" s="1" customFormat="true" ht="13.5" hidden="false" customHeight="false" outlineLevel="0" collapsed="false"/>
    <row r="392" s="1" customFormat="true" ht="13.5" hidden="false" customHeight="false" outlineLevel="0" collapsed="false"/>
    <row r="393" s="1" customFormat="true" ht="13.5" hidden="false" customHeight="false" outlineLevel="0" collapsed="false"/>
    <row r="394" s="1" customFormat="true" ht="13.5" hidden="false" customHeight="false" outlineLevel="0" collapsed="false"/>
    <row r="395" s="1" customFormat="true" ht="13.5" hidden="false" customHeight="false" outlineLevel="0" collapsed="false"/>
    <row r="396" s="1" customFormat="true" ht="13.5" hidden="false" customHeight="false" outlineLevel="0" collapsed="false"/>
    <row r="397" s="1" customFormat="true" ht="13.5" hidden="false" customHeight="false" outlineLevel="0" collapsed="false"/>
    <row r="398" s="1" customFormat="true" ht="13.5" hidden="false" customHeight="false" outlineLevel="0" collapsed="false"/>
    <row r="399" s="1" customFormat="true" ht="13.5" hidden="false" customHeight="false" outlineLevel="0" collapsed="false"/>
    <row r="400" s="1" customFormat="true" ht="13.5" hidden="false" customHeight="false" outlineLevel="0" collapsed="false"/>
    <row r="401" s="1" customFormat="true" ht="13.5" hidden="false" customHeight="false" outlineLevel="0" collapsed="false"/>
    <row r="402" s="1" customFormat="true" ht="13.5" hidden="false" customHeight="false" outlineLevel="0" collapsed="false"/>
    <row r="403" s="1" customFormat="true" ht="13.5" hidden="false" customHeight="false" outlineLevel="0" collapsed="false"/>
    <row r="404" s="1" customFormat="true" ht="13.5" hidden="false" customHeight="false" outlineLevel="0" collapsed="false"/>
    <row r="405" s="1" customFormat="true" ht="13.5" hidden="false" customHeight="false" outlineLevel="0" collapsed="false"/>
    <row r="406" s="1" customFormat="true" ht="13.5" hidden="false" customHeight="false" outlineLevel="0" collapsed="false"/>
    <row r="407" s="1" customFormat="true" ht="13.5" hidden="false" customHeight="false" outlineLevel="0" collapsed="false"/>
    <row r="408" s="1" customFormat="true" ht="13.5" hidden="false" customHeight="false" outlineLevel="0" collapsed="false"/>
    <row r="409" s="1" customFormat="true" ht="13.5" hidden="false" customHeight="false" outlineLevel="0" collapsed="false"/>
    <row r="410" s="1" customFormat="true" ht="13.5" hidden="false" customHeight="false" outlineLevel="0" collapsed="false"/>
    <row r="411" s="1" customFormat="true" ht="13.5" hidden="false" customHeight="false" outlineLevel="0" collapsed="false"/>
    <row r="412" s="1" customFormat="true" ht="13.5" hidden="false" customHeight="false" outlineLevel="0" collapsed="false"/>
    <row r="413" s="1" customFormat="true" ht="13.5" hidden="false" customHeight="false" outlineLevel="0" collapsed="false"/>
    <row r="414" s="1" customFormat="true" ht="13.5" hidden="false" customHeight="false" outlineLevel="0" collapsed="false"/>
    <row r="415" s="1" customFormat="true" ht="13.5" hidden="false" customHeight="false" outlineLevel="0" collapsed="false"/>
    <row r="416" s="1" customFormat="true" ht="13.5" hidden="false" customHeight="false" outlineLevel="0" collapsed="false"/>
    <row r="417" s="1" customFormat="true" ht="13.5" hidden="false" customHeight="false" outlineLevel="0" collapsed="false"/>
    <row r="418" s="1" customFormat="true" ht="13.5" hidden="false" customHeight="false" outlineLevel="0" collapsed="false"/>
    <row r="419" s="1" customFormat="true" ht="13.5" hidden="false" customHeight="false" outlineLevel="0" collapsed="false"/>
    <row r="420" s="1" customFormat="true" ht="13.5" hidden="false" customHeight="false" outlineLevel="0" collapsed="false"/>
    <row r="421" s="1" customFormat="true" ht="13.5" hidden="false" customHeight="false" outlineLevel="0" collapsed="false"/>
    <row r="422" s="1" customFormat="true" ht="13.5" hidden="false" customHeight="false" outlineLevel="0" collapsed="false"/>
    <row r="423" s="1" customFormat="true" ht="13.5" hidden="false" customHeight="false" outlineLevel="0" collapsed="false"/>
    <row r="424" s="1" customFormat="true" ht="13.5" hidden="false" customHeight="false" outlineLevel="0" collapsed="false"/>
    <row r="425" s="1" customFormat="true" ht="13.5" hidden="false" customHeight="false" outlineLevel="0" collapsed="false"/>
    <row r="426" s="1" customFormat="true" ht="13.5" hidden="false" customHeight="false" outlineLevel="0" collapsed="false"/>
    <row r="427" s="1" customFormat="true" ht="13.5" hidden="false" customHeight="false" outlineLevel="0" collapsed="false"/>
    <row r="428" s="1" customFormat="true" ht="13.5" hidden="false" customHeight="false" outlineLevel="0" collapsed="false"/>
    <row r="429" s="1" customFormat="true" ht="13.5" hidden="false" customHeight="false" outlineLevel="0" collapsed="false"/>
    <row r="430" s="1" customFormat="true" ht="13.5" hidden="false" customHeight="false" outlineLevel="0" collapsed="false"/>
    <row r="431" s="1" customFormat="true" ht="13.5" hidden="false" customHeight="false" outlineLevel="0" collapsed="false"/>
    <row r="432" s="1" customFormat="true" ht="13.5" hidden="false" customHeight="false" outlineLevel="0" collapsed="false"/>
    <row r="433" s="1" customFormat="true" ht="13.5" hidden="false" customHeight="false" outlineLevel="0" collapsed="false"/>
    <row r="434" s="1" customFormat="true" ht="13.5" hidden="false" customHeight="false" outlineLevel="0" collapsed="false"/>
    <row r="435" s="1" customFormat="true" ht="13.5" hidden="false" customHeight="false" outlineLevel="0" collapsed="false"/>
    <row r="436" s="1" customFormat="true" ht="13.5" hidden="false" customHeight="false" outlineLevel="0" collapsed="false"/>
    <row r="437" s="1" customFormat="true" ht="13.5" hidden="false" customHeight="false" outlineLevel="0" collapsed="false"/>
    <row r="438" s="1" customFormat="true" ht="13.5" hidden="false" customHeight="false" outlineLevel="0" collapsed="false"/>
    <row r="439" s="1" customFormat="true" ht="13.5" hidden="false" customHeight="false" outlineLevel="0" collapsed="false"/>
    <row r="440" s="1" customFormat="true" ht="13.5" hidden="false" customHeight="false" outlineLevel="0" collapsed="false"/>
    <row r="441" s="1" customFormat="true" ht="13.5" hidden="false" customHeight="false" outlineLevel="0" collapsed="false"/>
    <row r="442" s="1" customFormat="true" ht="13.5" hidden="false" customHeight="false" outlineLevel="0" collapsed="false"/>
    <row r="443" s="1" customFormat="true" ht="13.5" hidden="false" customHeight="false" outlineLevel="0" collapsed="false"/>
    <row r="444" s="1" customFormat="true" ht="13.5" hidden="false" customHeight="false" outlineLevel="0" collapsed="false"/>
    <row r="445" s="1" customFormat="true" ht="13.5" hidden="false" customHeight="false" outlineLevel="0" collapsed="false"/>
    <row r="446" s="1" customFormat="true" ht="13.5" hidden="false" customHeight="false" outlineLevel="0" collapsed="false"/>
    <row r="447" s="1" customFormat="true" ht="13.5" hidden="false" customHeight="false" outlineLevel="0" collapsed="false"/>
    <row r="448" s="1" customFormat="true" ht="13.5" hidden="false" customHeight="false" outlineLevel="0" collapsed="false"/>
    <row r="449" s="1" customFormat="true" ht="13.5" hidden="false" customHeight="false" outlineLevel="0" collapsed="false"/>
    <row r="450" s="1" customFormat="true" ht="13.5" hidden="false" customHeight="false" outlineLevel="0" collapsed="false"/>
    <row r="451" s="1" customFormat="true" ht="13.5" hidden="false" customHeight="false" outlineLevel="0" collapsed="false"/>
    <row r="452" s="1" customFormat="true" ht="13.5" hidden="false" customHeight="false" outlineLevel="0" collapsed="false"/>
    <row r="453" s="1" customFormat="true" ht="13.5" hidden="false" customHeight="false" outlineLevel="0" collapsed="false"/>
    <row r="454" s="1" customFormat="true" ht="13.5" hidden="false" customHeight="false" outlineLevel="0" collapsed="false"/>
    <row r="455" s="1" customFormat="true" ht="13.5" hidden="false" customHeight="false" outlineLevel="0" collapsed="false"/>
    <row r="456" s="1" customFormat="true" ht="13.5" hidden="false" customHeight="false" outlineLevel="0" collapsed="false"/>
    <row r="457" s="1" customFormat="true" ht="13.5" hidden="false" customHeight="false" outlineLevel="0" collapsed="false"/>
    <row r="458" s="1" customFormat="true" ht="13.5" hidden="false" customHeight="false" outlineLevel="0" collapsed="false"/>
    <row r="459" s="1" customFormat="true" ht="13.5" hidden="false" customHeight="false" outlineLevel="0" collapsed="false"/>
    <row r="460" s="1" customFormat="true" ht="13.5" hidden="false" customHeight="false" outlineLevel="0" collapsed="false"/>
    <row r="461" s="1" customFormat="true" ht="13.5" hidden="false" customHeight="false" outlineLevel="0" collapsed="false"/>
    <row r="462" s="1" customFormat="true" ht="13.5" hidden="false" customHeight="false" outlineLevel="0" collapsed="false"/>
    <row r="463" s="1" customFormat="true" ht="13.5" hidden="false" customHeight="false" outlineLevel="0" collapsed="false"/>
    <row r="464" s="1" customFormat="true" ht="13.5" hidden="false" customHeight="false" outlineLevel="0" collapsed="false"/>
    <row r="465" s="1" customFormat="true" ht="13.5" hidden="false" customHeight="false" outlineLevel="0" collapsed="false"/>
    <row r="466" s="1" customFormat="true" ht="13.5" hidden="false" customHeight="false" outlineLevel="0" collapsed="false"/>
    <row r="467" s="1" customFormat="true" ht="13.5" hidden="false" customHeight="false" outlineLevel="0" collapsed="false"/>
    <row r="468" s="1" customFormat="true" ht="13.5" hidden="false" customHeight="false" outlineLevel="0" collapsed="false"/>
    <row r="469" s="1" customFormat="true" ht="13.5" hidden="false" customHeight="false" outlineLevel="0" collapsed="false"/>
    <row r="470" s="1" customFormat="true" ht="13.5" hidden="false" customHeight="false" outlineLevel="0" collapsed="false"/>
    <row r="471" s="1" customFormat="true" ht="13.5" hidden="false" customHeight="false" outlineLevel="0" collapsed="false"/>
    <row r="472" s="1" customFormat="true" ht="13.5" hidden="false" customHeight="false" outlineLevel="0" collapsed="false"/>
    <row r="473" s="1" customFormat="true" ht="13.5" hidden="false" customHeight="false" outlineLevel="0" collapsed="false"/>
    <row r="474" s="1" customFormat="true" ht="13.5" hidden="false" customHeight="false" outlineLevel="0" collapsed="false"/>
    <row r="475" s="1" customFormat="true" ht="13.5" hidden="false" customHeight="false" outlineLevel="0" collapsed="false"/>
    <row r="476" s="1" customFormat="true" ht="13.5" hidden="false" customHeight="false" outlineLevel="0" collapsed="false"/>
    <row r="477" s="1" customFormat="true" ht="13.5" hidden="false" customHeight="false" outlineLevel="0" collapsed="false"/>
    <row r="478" s="1" customFormat="true" ht="13.5" hidden="false" customHeight="false" outlineLevel="0" collapsed="false"/>
    <row r="479" s="1" customFormat="true" ht="13.5" hidden="false" customHeight="false" outlineLevel="0" collapsed="false"/>
    <row r="480" s="1" customFormat="true" ht="13.5" hidden="false" customHeight="false" outlineLevel="0" collapsed="false"/>
    <row r="481" s="1" customFormat="true" ht="13.5" hidden="false" customHeight="false" outlineLevel="0" collapsed="false"/>
    <row r="482" s="1" customFormat="true" ht="13.5" hidden="false" customHeight="false" outlineLevel="0" collapsed="false"/>
    <row r="483" s="1" customFormat="true" ht="13.5" hidden="false" customHeight="false" outlineLevel="0" collapsed="false"/>
    <row r="484" s="1" customFormat="true" ht="13.5" hidden="false" customHeight="false" outlineLevel="0" collapsed="false"/>
    <row r="485" s="1" customFormat="true" ht="13.5" hidden="false" customHeight="false" outlineLevel="0" collapsed="false"/>
    <row r="486" s="1" customFormat="true" ht="13.5" hidden="false" customHeight="false" outlineLevel="0" collapsed="false"/>
    <row r="487" s="1" customFormat="true" ht="13.5" hidden="false" customHeight="false" outlineLevel="0" collapsed="false"/>
    <row r="488" s="1" customFormat="true" ht="13.5" hidden="false" customHeight="false" outlineLevel="0" collapsed="false"/>
    <row r="489" s="1" customFormat="true" ht="13.5" hidden="false" customHeight="false" outlineLevel="0" collapsed="false"/>
    <row r="490" s="1" customFormat="true" ht="13.5" hidden="false" customHeight="false" outlineLevel="0" collapsed="false"/>
    <row r="491" s="1" customFormat="true" ht="13.5" hidden="false" customHeight="false" outlineLevel="0" collapsed="false"/>
    <row r="492" s="1" customFormat="true" ht="13.5" hidden="false" customHeight="false" outlineLevel="0" collapsed="false"/>
    <row r="493" s="1" customFormat="true" ht="13.5" hidden="false" customHeight="false" outlineLevel="0" collapsed="false"/>
    <row r="494" s="1" customFormat="true" ht="13.5" hidden="false" customHeight="false" outlineLevel="0" collapsed="false"/>
    <row r="495" s="1" customFormat="true" ht="13.5" hidden="false" customHeight="false" outlineLevel="0" collapsed="false"/>
    <row r="496" s="1" customFormat="true" ht="13.5" hidden="false" customHeight="false" outlineLevel="0" collapsed="false"/>
    <row r="497" s="1" customFormat="true" ht="13.5" hidden="false" customHeight="false" outlineLevel="0" collapsed="false"/>
    <row r="498" s="1" customFormat="true" ht="13.5" hidden="false" customHeight="false" outlineLevel="0" collapsed="false"/>
    <row r="499" s="1" customFormat="true" ht="13.5" hidden="false" customHeight="false" outlineLevel="0" collapsed="false"/>
    <row r="500" s="1" customFormat="true" ht="13.5" hidden="false" customHeight="false" outlineLevel="0" collapsed="false"/>
    <row r="501" s="1" customFormat="true" ht="13.5" hidden="false" customHeight="false" outlineLevel="0" collapsed="false"/>
    <row r="502" s="1" customFormat="true" ht="13.5" hidden="false" customHeight="false" outlineLevel="0" collapsed="false"/>
    <row r="503" s="1" customFormat="true" ht="13.5" hidden="false" customHeight="false" outlineLevel="0" collapsed="false"/>
    <row r="504" s="1" customFormat="true" ht="13.5" hidden="false" customHeight="false" outlineLevel="0" collapsed="false"/>
    <row r="505" s="1" customFormat="true" ht="13.5" hidden="false" customHeight="false" outlineLevel="0" collapsed="false"/>
    <row r="506" s="1" customFormat="true" ht="13.5" hidden="false" customHeight="false" outlineLevel="0" collapsed="false"/>
    <row r="507" s="1" customFormat="true" ht="13.5" hidden="false" customHeight="false" outlineLevel="0" collapsed="false"/>
    <row r="508" s="1" customFormat="true" ht="13.5" hidden="false" customHeight="false" outlineLevel="0" collapsed="false"/>
    <row r="509" s="1" customFormat="true" ht="13.5" hidden="false" customHeight="false" outlineLevel="0" collapsed="false"/>
    <row r="510" s="1" customFormat="true" ht="13.5" hidden="false" customHeight="false" outlineLevel="0" collapsed="false"/>
    <row r="511" s="1" customFormat="true" ht="13.5" hidden="false" customHeight="false" outlineLevel="0" collapsed="false"/>
    <row r="512" s="1" customFormat="true" ht="13.5" hidden="false" customHeight="false" outlineLevel="0" collapsed="false"/>
    <row r="513" s="1" customFormat="true" ht="13.5" hidden="false" customHeight="false" outlineLevel="0" collapsed="false"/>
    <row r="514" s="1" customFormat="true" ht="13.5" hidden="false" customHeight="false" outlineLevel="0" collapsed="false"/>
    <row r="515" s="1" customFormat="true" ht="13.5" hidden="false" customHeight="false" outlineLevel="0" collapsed="false"/>
    <row r="516" s="1" customFormat="true" ht="13.5" hidden="false" customHeight="false" outlineLevel="0" collapsed="false"/>
    <row r="517" s="1" customFormat="true" ht="13.5" hidden="false" customHeight="false" outlineLevel="0" collapsed="false"/>
    <row r="518" s="1" customFormat="true" ht="13.5" hidden="false" customHeight="false" outlineLevel="0" collapsed="false"/>
    <row r="519" s="1" customFormat="true" ht="13.5" hidden="false" customHeight="false" outlineLevel="0" collapsed="false"/>
    <row r="520" s="1" customFormat="true" ht="13.5" hidden="false" customHeight="false" outlineLevel="0" collapsed="false"/>
    <row r="521" s="1" customFormat="true" ht="13.5" hidden="false" customHeight="false" outlineLevel="0" collapsed="false"/>
    <row r="522" s="1" customFormat="true" ht="13.5" hidden="false" customHeight="false" outlineLevel="0" collapsed="false"/>
    <row r="523" s="1" customFormat="true" ht="13.5" hidden="false" customHeight="false" outlineLevel="0" collapsed="false"/>
    <row r="524" s="1" customFormat="true" ht="13.5" hidden="false" customHeight="false" outlineLevel="0" collapsed="false"/>
    <row r="525" s="1" customFormat="true" ht="13.5" hidden="false" customHeight="false" outlineLevel="0" collapsed="false"/>
    <row r="526" s="1" customFormat="true" ht="13.5" hidden="false" customHeight="false" outlineLevel="0" collapsed="false"/>
    <row r="527" s="1" customFormat="true" ht="13.5" hidden="false" customHeight="false" outlineLevel="0" collapsed="false"/>
    <row r="528" s="1" customFormat="true" ht="13.5" hidden="false" customHeight="false" outlineLevel="0" collapsed="false"/>
    <row r="529" s="1" customFormat="true" ht="13.5" hidden="false" customHeight="false" outlineLevel="0" collapsed="false"/>
    <row r="530" s="1" customFormat="true" ht="13.5" hidden="false" customHeight="false" outlineLevel="0" collapsed="false"/>
    <row r="531" s="1" customFormat="true" ht="13.5" hidden="false" customHeight="false" outlineLevel="0" collapsed="false"/>
    <row r="532" s="1" customFormat="true" ht="13.5" hidden="false" customHeight="false" outlineLevel="0" collapsed="false"/>
    <row r="533" s="1" customFormat="true" ht="13.5" hidden="false" customHeight="false" outlineLevel="0" collapsed="false"/>
    <row r="534" s="1" customFormat="true" ht="13.5" hidden="false" customHeight="false" outlineLevel="0" collapsed="false"/>
    <row r="535" s="1" customFormat="true" ht="13.5" hidden="false" customHeight="false" outlineLevel="0" collapsed="false"/>
    <row r="536" s="1" customFormat="true" ht="13.5" hidden="false" customHeight="false" outlineLevel="0" collapsed="false"/>
    <row r="537" s="1" customFormat="true" ht="13.5" hidden="false" customHeight="false" outlineLevel="0" collapsed="false"/>
    <row r="538" s="1" customFormat="true" ht="13.5" hidden="false" customHeight="false" outlineLevel="0" collapsed="false"/>
    <row r="539" s="1" customFormat="true" ht="13.5" hidden="false" customHeight="false" outlineLevel="0" collapsed="false"/>
    <row r="540" s="1" customFormat="true" ht="13.5" hidden="false" customHeight="false" outlineLevel="0" collapsed="false"/>
    <row r="541" s="1" customFormat="true" ht="13.5" hidden="false" customHeight="false" outlineLevel="0" collapsed="false"/>
    <row r="542" s="1" customFormat="true" ht="13.5" hidden="false" customHeight="false" outlineLevel="0" collapsed="false"/>
    <row r="543" s="1" customFormat="true" ht="13.5" hidden="false" customHeight="false" outlineLevel="0" collapsed="false"/>
    <row r="544" s="1" customFormat="true" ht="13.5" hidden="false" customHeight="false" outlineLevel="0" collapsed="false"/>
    <row r="545" s="1" customFormat="true" ht="13.5" hidden="false" customHeight="false" outlineLevel="0" collapsed="false"/>
    <row r="546" s="1" customFormat="true" ht="13.5" hidden="false" customHeight="false" outlineLevel="0" collapsed="false"/>
    <row r="547" s="1" customFormat="true" ht="13.5" hidden="false" customHeight="false" outlineLevel="0" collapsed="false"/>
    <row r="548" s="1" customFormat="true" ht="13.5" hidden="false" customHeight="false" outlineLevel="0" collapsed="false"/>
    <row r="549" s="1" customFormat="true" ht="13.5" hidden="false" customHeight="false" outlineLevel="0" collapsed="false"/>
    <row r="550" s="1" customFormat="true" ht="13.5" hidden="false" customHeight="false" outlineLevel="0" collapsed="false"/>
    <row r="551" s="1" customFormat="true" ht="13.5" hidden="false" customHeight="false" outlineLevel="0" collapsed="false"/>
    <row r="552" s="1" customFormat="true" ht="13.5" hidden="false" customHeight="false" outlineLevel="0" collapsed="false"/>
    <row r="553" s="1" customFormat="true" ht="13.5" hidden="false" customHeight="false" outlineLevel="0" collapsed="false"/>
    <row r="554" s="1" customFormat="true" ht="13.5" hidden="false" customHeight="false" outlineLevel="0" collapsed="false"/>
    <row r="555" s="1" customFormat="true" ht="13.5" hidden="false" customHeight="false" outlineLevel="0" collapsed="false"/>
    <row r="556" s="1" customFormat="true" ht="13.5" hidden="false" customHeight="false" outlineLevel="0" collapsed="false"/>
    <row r="557" s="1" customFormat="true" ht="13.5" hidden="false" customHeight="false" outlineLevel="0" collapsed="false"/>
    <row r="558" s="1" customFormat="true" ht="13.5" hidden="false" customHeight="false" outlineLevel="0" collapsed="false"/>
    <row r="559" s="1" customFormat="true" ht="13.5" hidden="false" customHeight="false" outlineLevel="0" collapsed="false"/>
    <row r="560" s="1" customFormat="true" ht="13.5" hidden="false" customHeight="false" outlineLevel="0" collapsed="false"/>
    <row r="561" s="1" customFormat="true" ht="13.5" hidden="false" customHeight="false" outlineLevel="0" collapsed="false"/>
    <row r="562" s="1" customFormat="true" ht="13.5" hidden="false" customHeight="false" outlineLevel="0" collapsed="false"/>
    <row r="563" s="1" customFormat="true" ht="13.5" hidden="false" customHeight="false" outlineLevel="0" collapsed="false"/>
    <row r="564" s="1" customFormat="true" ht="13.5" hidden="false" customHeight="false" outlineLevel="0" collapsed="false"/>
    <row r="565" s="1" customFormat="true" ht="13.5" hidden="false" customHeight="false" outlineLevel="0" collapsed="false"/>
    <row r="566" s="1" customFormat="true" ht="13.5" hidden="false" customHeight="false" outlineLevel="0" collapsed="false"/>
    <row r="567" s="1" customFormat="true" ht="13.5" hidden="false" customHeight="false" outlineLevel="0" collapsed="false"/>
    <row r="568" s="1" customFormat="true" ht="13.5" hidden="false" customHeight="false" outlineLevel="0" collapsed="false"/>
    <row r="569" s="1" customFormat="true" ht="13.5" hidden="false" customHeight="false" outlineLevel="0" collapsed="false"/>
    <row r="570" s="1" customFormat="true" ht="13.5" hidden="false" customHeight="false" outlineLevel="0" collapsed="false"/>
    <row r="571" s="1" customFormat="true" ht="13.5" hidden="false" customHeight="false" outlineLevel="0" collapsed="false"/>
    <row r="572" s="1" customFormat="true" ht="13.5" hidden="false" customHeight="false" outlineLevel="0" collapsed="false"/>
    <row r="573" s="1" customFormat="true" ht="13.5" hidden="false" customHeight="false" outlineLevel="0" collapsed="false"/>
    <row r="574" s="1" customFormat="true" ht="13.5" hidden="false" customHeight="false" outlineLevel="0" collapsed="false"/>
    <row r="575" s="1" customFormat="true" ht="13.5" hidden="false" customHeight="false" outlineLevel="0" collapsed="false"/>
    <row r="576" s="1" customFormat="true" ht="13.5" hidden="false" customHeight="false" outlineLevel="0" collapsed="false"/>
    <row r="577" s="1" customFormat="true" ht="13.5" hidden="false" customHeight="false" outlineLevel="0" collapsed="false"/>
    <row r="578" s="1" customFormat="true" ht="13.5" hidden="false" customHeight="false" outlineLevel="0" collapsed="false"/>
    <row r="579" s="1" customFormat="true" ht="13.5" hidden="false" customHeight="false" outlineLevel="0" collapsed="false"/>
    <row r="580" s="1" customFormat="true" ht="13.5" hidden="false" customHeight="false" outlineLevel="0" collapsed="false"/>
    <row r="581" s="1" customFormat="true" ht="13.5" hidden="false" customHeight="false" outlineLevel="0" collapsed="false"/>
    <row r="582" s="1" customFormat="true" ht="13.5" hidden="false" customHeight="false" outlineLevel="0" collapsed="false"/>
    <row r="583" s="1" customFormat="true" ht="13.5" hidden="false" customHeight="false" outlineLevel="0" collapsed="false"/>
    <row r="584" s="1" customFormat="true" ht="13.5" hidden="false" customHeight="false" outlineLevel="0" collapsed="false"/>
    <row r="585" s="1" customFormat="true" ht="13.5" hidden="false" customHeight="false" outlineLevel="0" collapsed="false"/>
    <row r="586" s="1" customFormat="true" ht="13.5" hidden="false" customHeight="false" outlineLevel="0" collapsed="false"/>
    <row r="587" s="1" customFormat="true" ht="13.5" hidden="false" customHeight="false" outlineLevel="0" collapsed="false"/>
    <row r="588" s="1" customFormat="true" ht="13.5" hidden="false" customHeight="false" outlineLevel="0" collapsed="false"/>
    <row r="589" s="1" customFormat="true" ht="13.5" hidden="false" customHeight="false" outlineLevel="0" collapsed="false"/>
    <row r="590" s="1" customFormat="true" ht="13.5" hidden="false" customHeight="false" outlineLevel="0" collapsed="false"/>
    <row r="591" s="1" customFormat="true" ht="13.5" hidden="false" customHeight="false" outlineLevel="0" collapsed="false"/>
    <row r="592" s="1" customFormat="true" ht="13.5" hidden="false" customHeight="false" outlineLevel="0" collapsed="false"/>
    <row r="593" s="1" customFormat="true" ht="13.5" hidden="false" customHeight="false" outlineLevel="0" collapsed="false"/>
    <row r="594" s="1" customFormat="true" ht="13.5" hidden="false" customHeight="false" outlineLevel="0" collapsed="false"/>
    <row r="595" s="1" customFormat="true" ht="13.5" hidden="false" customHeight="false" outlineLevel="0" collapsed="false"/>
    <row r="596" s="1" customFormat="true" ht="13.5" hidden="false" customHeight="false" outlineLevel="0" collapsed="false"/>
    <row r="597" s="1" customFormat="true" ht="13.5" hidden="false" customHeight="false" outlineLevel="0" collapsed="false"/>
    <row r="598" s="1" customFormat="true" ht="13.5" hidden="false" customHeight="false" outlineLevel="0" collapsed="false"/>
    <row r="599" s="1" customFormat="true" ht="13.5" hidden="false" customHeight="false" outlineLevel="0" collapsed="false"/>
    <row r="600" s="1" customFormat="true" ht="13.5" hidden="false" customHeight="false" outlineLevel="0" collapsed="false"/>
    <row r="601" s="1" customFormat="true" ht="13.5" hidden="false" customHeight="false" outlineLevel="0" collapsed="false"/>
    <row r="602" s="1" customFormat="true" ht="13.5" hidden="false" customHeight="false" outlineLevel="0" collapsed="false"/>
    <row r="603" s="1" customFormat="true" ht="13.5" hidden="false" customHeight="false" outlineLevel="0" collapsed="false"/>
    <row r="604" s="1" customFormat="true" ht="13.5" hidden="false" customHeight="false" outlineLevel="0" collapsed="false"/>
    <row r="605" s="1" customFormat="true" ht="13.5" hidden="false" customHeight="false" outlineLevel="0" collapsed="false"/>
    <row r="606" s="1" customFormat="true" ht="13.5" hidden="false" customHeight="false" outlineLevel="0" collapsed="false"/>
    <row r="607" s="1" customFormat="true" ht="13.5" hidden="false" customHeight="false" outlineLevel="0" collapsed="false"/>
    <row r="608" s="1" customFormat="true" ht="13.5" hidden="false" customHeight="false" outlineLevel="0" collapsed="false"/>
    <row r="609" s="1" customFormat="true" ht="13.5" hidden="false" customHeight="false" outlineLevel="0" collapsed="false"/>
    <row r="610" s="1" customFormat="true" ht="13.5" hidden="false" customHeight="false" outlineLevel="0" collapsed="false"/>
    <row r="611" s="1" customFormat="true" ht="13.5" hidden="false" customHeight="false" outlineLevel="0" collapsed="false"/>
    <row r="612" s="1" customFormat="true" ht="13.5" hidden="false" customHeight="false" outlineLevel="0" collapsed="false"/>
    <row r="613" s="1" customFormat="true" ht="13.5" hidden="false" customHeight="false" outlineLevel="0" collapsed="false"/>
    <row r="614" s="1" customFormat="true" ht="13.5" hidden="false" customHeight="false" outlineLevel="0" collapsed="false"/>
    <row r="615" s="1" customFormat="true" ht="13.5" hidden="false" customHeight="false" outlineLevel="0" collapsed="false"/>
    <row r="616" s="1" customFormat="true" ht="13.5" hidden="false" customHeight="false" outlineLevel="0" collapsed="false"/>
    <row r="617" s="1" customFormat="true" ht="13.5" hidden="false" customHeight="false" outlineLevel="0" collapsed="false"/>
    <row r="618" s="1" customFormat="true" ht="13.5" hidden="false" customHeight="false" outlineLevel="0" collapsed="false"/>
    <row r="619" s="1" customFormat="true" ht="13.5" hidden="false" customHeight="false" outlineLevel="0" collapsed="false"/>
    <row r="620" s="1" customFormat="true" ht="13.5" hidden="false" customHeight="false" outlineLevel="0" collapsed="false"/>
    <row r="621" s="1" customFormat="true" ht="13.5" hidden="false" customHeight="false" outlineLevel="0" collapsed="false"/>
    <row r="622" s="1" customFormat="true" ht="13.5" hidden="false" customHeight="false" outlineLevel="0" collapsed="false"/>
    <row r="623" s="1" customFormat="true" ht="13.5" hidden="false" customHeight="false" outlineLevel="0" collapsed="false"/>
    <row r="624" s="1" customFormat="true" ht="13.5" hidden="false" customHeight="false" outlineLevel="0" collapsed="false"/>
    <row r="625" s="1" customFormat="true" ht="13.5" hidden="false" customHeight="false" outlineLevel="0" collapsed="false"/>
    <row r="626" s="1" customFormat="true" ht="13.5" hidden="false" customHeight="false" outlineLevel="0" collapsed="false"/>
    <row r="627" s="1" customFormat="true" ht="13.5" hidden="false" customHeight="false" outlineLevel="0" collapsed="false"/>
    <row r="628" s="1" customFormat="true" ht="13.5" hidden="false" customHeight="false" outlineLevel="0" collapsed="false"/>
    <row r="629" s="1" customFormat="true" ht="13.5" hidden="false" customHeight="false" outlineLevel="0" collapsed="false"/>
    <row r="630" s="1" customFormat="true" ht="13.5" hidden="false" customHeight="false" outlineLevel="0" collapsed="false"/>
    <row r="631" s="1" customFormat="true" ht="13.5" hidden="false" customHeight="false" outlineLevel="0" collapsed="false"/>
    <row r="632" s="1" customFormat="true" ht="13.5" hidden="false" customHeight="false" outlineLevel="0" collapsed="false"/>
    <row r="633" s="1" customFormat="true" ht="13.5" hidden="false" customHeight="false" outlineLevel="0" collapsed="false"/>
    <row r="634" s="1" customFormat="true" ht="13.5" hidden="false" customHeight="false" outlineLevel="0" collapsed="false"/>
    <row r="635" s="1" customFormat="true" ht="13.5" hidden="false" customHeight="false" outlineLevel="0" collapsed="false"/>
    <row r="636" s="1" customFormat="true" ht="13.5" hidden="false" customHeight="false" outlineLevel="0" collapsed="false"/>
    <row r="637" s="1" customFormat="true" ht="13.5" hidden="false" customHeight="false" outlineLevel="0" collapsed="false"/>
    <row r="638" s="1" customFormat="true" ht="13.5" hidden="false" customHeight="false" outlineLevel="0" collapsed="false"/>
    <row r="639" s="1" customFormat="true" ht="13.5" hidden="false" customHeight="false" outlineLevel="0" collapsed="false"/>
    <row r="640" s="1" customFormat="true" ht="13.5" hidden="false" customHeight="false" outlineLevel="0" collapsed="false"/>
    <row r="641" s="1" customFormat="true" ht="13.5" hidden="false" customHeight="false" outlineLevel="0" collapsed="false"/>
    <row r="642" s="1" customFormat="true" ht="13.5" hidden="false" customHeight="false" outlineLevel="0" collapsed="false"/>
    <row r="643" s="1" customFormat="true" ht="13.5" hidden="false" customHeight="false" outlineLevel="0" collapsed="false"/>
    <row r="644" s="1" customFormat="true" ht="13.5" hidden="false" customHeight="false" outlineLevel="0" collapsed="false"/>
    <row r="645" s="1" customFormat="true" ht="13.5" hidden="false" customHeight="false" outlineLevel="0" collapsed="false"/>
    <row r="646" s="1" customFormat="true" ht="13.5" hidden="false" customHeight="false" outlineLevel="0" collapsed="false"/>
    <row r="647" s="1" customFormat="true" ht="13.5" hidden="false" customHeight="false" outlineLevel="0" collapsed="false"/>
    <row r="648" s="1" customFormat="true" ht="13.5" hidden="false" customHeight="false" outlineLevel="0" collapsed="false"/>
    <row r="649" s="1" customFormat="true" ht="13.5" hidden="false" customHeight="false" outlineLevel="0" collapsed="false"/>
    <row r="650" s="1" customFormat="true" ht="13.5" hidden="false" customHeight="false" outlineLevel="0" collapsed="false"/>
    <row r="651" s="1" customFormat="true" ht="13.5" hidden="false" customHeight="false" outlineLevel="0" collapsed="false"/>
    <row r="652" s="1" customFormat="true" ht="13.5" hidden="false" customHeight="false" outlineLevel="0" collapsed="false"/>
    <row r="653" s="1" customFormat="true" ht="13.5" hidden="false" customHeight="false" outlineLevel="0" collapsed="false"/>
    <row r="654" s="1" customFormat="true" ht="13.5" hidden="false" customHeight="false" outlineLevel="0" collapsed="false"/>
    <row r="655" s="1" customFormat="true" ht="13.5" hidden="false" customHeight="false" outlineLevel="0" collapsed="false"/>
    <row r="656" s="1" customFormat="true" ht="13.5" hidden="false" customHeight="false" outlineLevel="0" collapsed="false"/>
    <row r="657" s="1" customFormat="true" ht="13.5" hidden="false" customHeight="false" outlineLevel="0" collapsed="false"/>
    <row r="658" s="1" customFormat="true" ht="13.5" hidden="false" customHeight="false" outlineLevel="0" collapsed="false"/>
    <row r="659" s="1" customFormat="true" ht="13.5" hidden="false" customHeight="false" outlineLevel="0" collapsed="false"/>
    <row r="660" s="1" customFormat="true" ht="13.5" hidden="false" customHeight="false" outlineLevel="0" collapsed="false"/>
    <row r="661" s="1" customFormat="true" ht="13.5" hidden="false" customHeight="false" outlineLevel="0" collapsed="false"/>
    <row r="662" s="1" customFormat="true" ht="13.5" hidden="false" customHeight="false" outlineLevel="0" collapsed="false"/>
    <row r="663" s="1" customFormat="true" ht="13.5" hidden="false" customHeight="false" outlineLevel="0" collapsed="false"/>
    <row r="664" s="1" customFormat="true" ht="13.5" hidden="false" customHeight="false" outlineLevel="0" collapsed="false"/>
    <row r="665" s="1" customFormat="true" ht="13.5" hidden="false" customHeight="false" outlineLevel="0" collapsed="false"/>
    <row r="666" s="1" customFormat="true" ht="13.5" hidden="false" customHeight="false" outlineLevel="0" collapsed="false"/>
    <row r="667" s="1" customFormat="true" ht="13.5" hidden="false" customHeight="false" outlineLevel="0" collapsed="false"/>
    <row r="668" s="1" customFormat="true" ht="13.5" hidden="false" customHeight="false" outlineLevel="0" collapsed="false"/>
    <row r="669" s="1" customFormat="true" ht="13.5" hidden="false" customHeight="false" outlineLevel="0" collapsed="false"/>
    <row r="670" s="1" customFormat="true" ht="13.5" hidden="false" customHeight="false" outlineLevel="0" collapsed="false"/>
    <row r="671" s="1" customFormat="true" ht="13.5" hidden="false" customHeight="false" outlineLevel="0" collapsed="false"/>
    <row r="672" s="1" customFormat="true" ht="13.5" hidden="false" customHeight="false" outlineLevel="0" collapsed="false"/>
    <row r="673" s="1" customFormat="true" ht="13.5" hidden="false" customHeight="false" outlineLevel="0" collapsed="false"/>
    <row r="674" s="1" customFormat="true" ht="13.5" hidden="false" customHeight="false" outlineLevel="0" collapsed="false"/>
    <row r="675" s="1" customFormat="true" ht="13.5" hidden="false" customHeight="false" outlineLevel="0" collapsed="false"/>
    <row r="676" s="1" customFormat="true" ht="13.5" hidden="false" customHeight="false" outlineLevel="0" collapsed="false"/>
    <row r="677" s="1" customFormat="true" ht="13.5" hidden="false" customHeight="false" outlineLevel="0" collapsed="false"/>
    <row r="678" s="1" customFormat="true" ht="13.5" hidden="false" customHeight="false" outlineLevel="0" collapsed="false"/>
    <row r="679" s="1" customFormat="true" ht="13.5" hidden="false" customHeight="false" outlineLevel="0" collapsed="false"/>
    <row r="680" s="1" customFormat="true" ht="13.5" hidden="false" customHeight="false" outlineLevel="0" collapsed="false"/>
    <row r="681" s="1" customFormat="true" ht="13.5" hidden="false" customHeight="false" outlineLevel="0" collapsed="false"/>
    <row r="682" s="1" customFormat="true" ht="13.5" hidden="false" customHeight="false" outlineLevel="0" collapsed="false"/>
    <row r="683" s="1" customFormat="true" ht="13.5" hidden="false" customHeight="false" outlineLevel="0" collapsed="false"/>
    <row r="684" s="1" customFormat="true" ht="13.5" hidden="false" customHeight="false" outlineLevel="0" collapsed="false"/>
    <row r="685" s="1" customFormat="true" ht="13.5" hidden="false" customHeight="false" outlineLevel="0" collapsed="false"/>
    <row r="686" s="1" customFormat="true" ht="13.5" hidden="false" customHeight="false" outlineLevel="0" collapsed="false"/>
    <row r="687" s="1" customFormat="true" ht="13.5" hidden="false" customHeight="false" outlineLevel="0" collapsed="false"/>
    <row r="688" s="1" customFormat="true" ht="13.5" hidden="false" customHeight="false" outlineLevel="0" collapsed="false"/>
    <row r="689" s="1" customFormat="true" ht="13.5" hidden="false" customHeight="false" outlineLevel="0" collapsed="false"/>
    <row r="690" s="1" customFormat="true" ht="13.5" hidden="false" customHeight="false" outlineLevel="0" collapsed="false"/>
    <row r="691" s="1" customFormat="true" ht="13.5" hidden="false" customHeight="false" outlineLevel="0" collapsed="false"/>
    <row r="692" s="1" customFormat="true" ht="13.5" hidden="false" customHeight="false" outlineLevel="0" collapsed="false"/>
    <row r="693" s="1" customFormat="true" ht="13.5" hidden="false" customHeight="false" outlineLevel="0" collapsed="false"/>
    <row r="694" s="1" customFormat="true" ht="13.5" hidden="false" customHeight="false" outlineLevel="0" collapsed="false"/>
    <row r="695" s="1" customFormat="true" ht="13.5" hidden="false" customHeight="false" outlineLevel="0" collapsed="false"/>
    <row r="696" s="1" customFormat="true" ht="13.5" hidden="false" customHeight="false" outlineLevel="0" collapsed="false"/>
    <row r="697" s="1" customFormat="true" ht="13.5" hidden="false" customHeight="false" outlineLevel="0" collapsed="false"/>
    <row r="698" s="1" customFormat="true" ht="13.5" hidden="false" customHeight="false" outlineLevel="0" collapsed="false"/>
    <row r="699" s="1" customFormat="true" ht="13.5" hidden="false" customHeight="false" outlineLevel="0" collapsed="false"/>
    <row r="700" s="1" customFormat="true" ht="13.5" hidden="false" customHeight="false" outlineLevel="0" collapsed="false"/>
    <row r="701" s="1" customFormat="true" ht="13.5" hidden="false" customHeight="false" outlineLevel="0" collapsed="false"/>
    <row r="702" s="1" customFormat="true" ht="13.5" hidden="false" customHeight="false" outlineLevel="0" collapsed="false"/>
    <row r="703" s="1" customFormat="true" ht="13.5" hidden="false" customHeight="false" outlineLevel="0" collapsed="false"/>
    <row r="704" s="1" customFormat="true" ht="13.5" hidden="false" customHeight="false" outlineLevel="0" collapsed="false"/>
    <row r="705" s="1" customFormat="true" ht="13.5" hidden="false" customHeight="false" outlineLevel="0" collapsed="false"/>
    <row r="706" s="1" customFormat="true" ht="13.5" hidden="false" customHeight="false" outlineLevel="0" collapsed="false"/>
    <row r="707" s="1" customFormat="true" ht="13.5" hidden="false" customHeight="false" outlineLevel="0" collapsed="false"/>
    <row r="708" s="1" customFormat="true" ht="13.5" hidden="false" customHeight="false" outlineLevel="0" collapsed="false"/>
    <row r="709" s="1" customFormat="true" ht="13.5" hidden="false" customHeight="false" outlineLevel="0" collapsed="false"/>
    <row r="710" s="1" customFormat="true" ht="13.5" hidden="false" customHeight="false" outlineLevel="0" collapsed="false"/>
    <row r="711" s="1" customFormat="true" ht="13.5" hidden="false" customHeight="false" outlineLevel="0" collapsed="false"/>
    <row r="712" s="1" customFormat="true" ht="13.5" hidden="false" customHeight="false" outlineLevel="0" collapsed="false"/>
    <row r="713" s="1" customFormat="true" ht="13.5" hidden="false" customHeight="false" outlineLevel="0" collapsed="false"/>
    <row r="714" s="1" customFormat="true" ht="13.5" hidden="false" customHeight="false" outlineLevel="0" collapsed="false"/>
    <row r="715" s="1" customFormat="true" ht="13.5" hidden="false" customHeight="false" outlineLevel="0" collapsed="false"/>
    <row r="716" s="1" customFormat="true" ht="13.5" hidden="false" customHeight="false" outlineLevel="0" collapsed="false"/>
    <row r="717" s="1" customFormat="true" ht="13.5" hidden="false" customHeight="false" outlineLevel="0" collapsed="false"/>
    <row r="718" s="1" customFormat="true" ht="13.5" hidden="false" customHeight="false" outlineLevel="0" collapsed="false"/>
    <row r="719" s="1" customFormat="true" ht="13.5" hidden="false" customHeight="false" outlineLevel="0" collapsed="false"/>
    <row r="720" s="1" customFormat="true" ht="13.5" hidden="false" customHeight="false" outlineLevel="0" collapsed="false"/>
    <row r="721" s="1" customFormat="true" ht="13.5" hidden="false" customHeight="false" outlineLevel="0" collapsed="false"/>
    <row r="722" s="1" customFormat="true" ht="13.5" hidden="false" customHeight="false" outlineLevel="0" collapsed="false"/>
    <row r="723" s="1" customFormat="true" ht="13.5" hidden="false" customHeight="false" outlineLevel="0" collapsed="false"/>
    <row r="724" s="1" customFormat="true" ht="13.5" hidden="false" customHeight="false" outlineLevel="0" collapsed="false"/>
    <row r="725" s="1" customFormat="true" ht="13.5" hidden="false" customHeight="false" outlineLevel="0" collapsed="false"/>
    <row r="726" s="1" customFormat="true" ht="13.5" hidden="false" customHeight="false" outlineLevel="0" collapsed="false"/>
    <row r="727" s="1" customFormat="true" ht="13.5" hidden="false" customHeight="false" outlineLevel="0" collapsed="false"/>
    <row r="728" s="1" customFormat="true" ht="13.5" hidden="false" customHeight="false" outlineLevel="0" collapsed="false"/>
    <row r="729" s="1" customFormat="true" ht="13.5" hidden="false" customHeight="false" outlineLevel="0" collapsed="false"/>
    <row r="730" s="1" customFormat="true" ht="13.5" hidden="false" customHeight="false" outlineLevel="0" collapsed="false"/>
    <row r="731" s="1" customFormat="true" ht="13.5" hidden="false" customHeight="false" outlineLevel="0" collapsed="false"/>
    <row r="732" s="1" customFormat="true" ht="13.5" hidden="false" customHeight="false" outlineLevel="0" collapsed="false"/>
    <row r="733" s="1" customFormat="true" ht="13.5" hidden="false" customHeight="false" outlineLevel="0" collapsed="false"/>
    <row r="734" s="1" customFormat="true" ht="13.5" hidden="false" customHeight="false" outlineLevel="0" collapsed="false"/>
    <row r="735" s="1" customFormat="true" ht="13.5" hidden="false" customHeight="false" outlineLevel="0" collapsed="false"/>
    <row r="736" s="1" customFormat="true" ht="13.5" hidden="false" customHeight="false" outlineLevel="0" collapsed="false"/>
    <row r="737" s="1" customFormat="true" ht="13.5" hidden="false" customHeight="false" outlineLevel="0" collapsed="false"/>
    <row r="738" s="1" customFormat="true" ht="13.5" hidden="false" customHeight="false" outlineLevel="0" collapsed="false"/>
    <row r="739" s="1" customFormat="true" ht="13.5" hidden="false" customHeight="false" outlineLevel="0" collapsed="false"/>
    <row r="740" s="1" customFormat="true" ht="13.5" hidden="false" customHeight="false" outlineLevel="0" collapsed="false"/>
    <row r="741" s="1" customFormat="true" ht="13.5" hidden="false" customHeight="false" outlineLevel="0" collapsed="false"/>
    <row r="742" s="1" customFormat="true" ht="13.5" hidden="false" customHeight="false" outlineLevel="0" collapsed="false"/>
    <row r="743" s="1" customFormat="true" ht="13.5" hidden="false" customHeight="false" outlineLevel="0" collapsed="false"/>
    <row r="744" s="1" customFormat="true" ht="13.5" hidden="false" customHeight="false" outlineLevel="0" collapsed="false"/>
    <row r="745" s="1" customFormat="true" ht="13.5" hidden="false" customHeight="false" outlineLevel="0" collapsed="false"/>
    <row r="746" s="1" customFormat="true" ht="13.5" hidden="false" customHeight="false" outlineLevel="0" collapsed="false"/>
    <row r="747" s="1" customFormat="true" ht="13.5" hidden="false" customHeight="false" outlineLevel="0" collapsed="false"/>
    <row r="748" s="1" customFormat="true" ht="13.5" hidden="false" customHeight="false" outlineLevel="0" collapsed="false"/>
    <row r="749" s="1" customFormat="true" ht="13.5" hidden="false" customHeight="false" outlineLevel="0" collapsed="false"/>
    <row r="750" s="1" customFormat="true" ht="13.5" hidden="false" customHeight="false" outlineLevel="0" collapsed="false"/>
    <row r="751" s="1" customFormat="true" ht="13.5" hidden="false" customHeight="false" outlineLevel="0" collapsed="false"/>
    <row r="752" s="1" customFormat="true" ht="13.5" hidden="false" customHeight="false" outlineLevel="0" collapsed="false"/>
    <row r="753" s="1" customFormat="true" ht="13.5" hidden="false" customHeight="false" outlineLevel="0" collapsed="false"/>
    <row r="754" s="1" customFormat="true" ht="13.5" hidden="false" customHeight="false" outlineLevel="0" collapsed="false"/>
    <row r="755" s="1" customFormat="true" ht="13.5" hidden="false" customHeight="false" outlineLevel="0" collapsed="false"/>
    <row r="756" s="1" customFormat="true" ht="13.5" hidden="false" customHeight="false" outlineLevel="0" collapsed="false"/>
    <row r="757" s="1" customFormat="true" ht="13.5" hidden="false" customHeight="false" outlineLevel="0" collapsed="false"/>
    <row r="758" s="1" customFormat="true" ht="13.5" hidden="false" customHeight="false" outlineLevel="0" collapsed="false"/>
    <row r="759" s="1" customFormat="true" ht="13.5" hidden="false" customHeight="false" outlineLevel="0" collapsed="false"/>
    <row r="760" s="1" customFormat="true" ht="13.5" hidden="false" customHeight="false" outlineLevel="0" collapsed="false"/>
    <row r="761" s="1" customFormat="true" ht="13.5" hidden="false" customHeight="false" outlineLevel="0" collapsed="false"/>
    <row r="762" s="1" customFormat="true" ht="13.5" hidden="false" customHeight="false" outlineLevel="0" collapsed="false"/>
    <row r="763" s="1" customFormat="true" ht="13.5" hidden="false" customHeight="false" outlineLevel="0" collapsed="false"/>
    <row r="764" s="1" customFormat="true" ht="13.5" hidden="false" customHeight="false" outlineLevel="0" collapsed="false"/>
    <row r="765" s="1" customFormat="true" ht="13.5" hidden="false" customHeight="false" outlineLevel="0" collapsed="false"/>
    <row r="766" s="1" customFormat="true" ht="13.5" hidden="false" customHeight="false" outlineLevel="0" collapsed="false"/>
    <row r="767" s="1" customFormat="true" ht="13.5" hidden="false" customHeight="false" outlineLevel="0" collapsed="false"/>
    <row r="768" s="1" customFormat="true" ht="13.5" hidden="false" customHeight="false" outlineLevel="0" collapsed="false"/>
    <row r="769" s="1" customFormat="true" ht="13.5" hidden="false" customHeight="false" outlineLevel="0" collapsed="false"/>
    <row r="770" s="1" customFormat="true" ht="13.5" hidden="false" customHeight="false" outlineLevel="0" collapsed="false"/>
    <row r="771" s="1" customFormat="true" ht="13.5" hidden="false" customHeight="false" outlineLevel="0" collapsed="false"/>
    <row r="772" s="1" customFormat="true" ht="13.5" hidden="false" customHeight="false" outlineLevel="0" collapsed="false"/>
    <row r="773" s="1" customFormat="true" ht="13.5" hidden="false" customHeight="false" outlineLevel="0" collapsed="false"/>
    <row r="774" s="1" customFormat="true" ht="13.5" hidden="false" customHeight="false" outlineLevel="0" collapsed="false"/>
    <row r="775" s="1" customFormat="true" ht="13.5" hidden="false" customHeight="false" outlineLevel="0" collapsed="false"/>
    <row r="776" s="1" customFormat="true" ht="13.5" hidden="false" customHeight="false" outlineLevel="0" collapsed="false"/>
    <row r="777" s="1" customFormat="true" ht="13.5" hidden="false" customHeight="false" outlineLevel="0" collapsed="false"/>
    <row r="778" s="1" customFormat="true" ht="13.5" hidden="false" customHeight="false" outlineLevel="0" collapsed="false"/>
    <row r="779" s="1" customFormat="true" ht="13.5" hidden="false" customHeight="false" outlineLevel="0" collapsed="false"/>
    <row r="780" s="1" customFormat="true" ht="13.5" hidden="false" customHeight="false" outlineLevel="0" collapsed="false"/>
    <row r="781" s="1" customFormat="true" ht="13.5" hidden="false" customHeight="false" outlineLevel="0" collapsed="false"/>
    <row r="782" s="1" customFormat="true" ht="13.5" hidden="false" customHeight="false" outlineLevel="0" collapsed="false"/>
    <row r="783" s="1" customFormat="true" ht="13.5" hidden="false" customHeight="false" outlineLevel="0" collapsed="false"/>
    <row r="784" s="1" customFormat="true" ht="13.5" hidden="false" customHeight="false" outlineLevel="0" collapsed="false"/>
    <row r="785" s="1" customFormat="true" ht="13.5" hidden="false" customHeight="false" outlineLevel="0" collapsed="false"/>
    <row r="786" s="1" customFormat="true" ht="13.5" hidden="false" customHeight="false" outlineLevel="0" collapsed="false"/>
    <row r="787" s="1" customFormat="true" ht="13.5" hidden="false" customHeight="false" outlineLevel="0" collapsed="false"/>
    <row r="788" s="1" customFormat="true" ht="13.5" hidden="false" customHeight="false" outlineLevel="0" collapsed="false"/>
    <row r="789" s="1" customFormat="true" ht="13.5" hidden="false" customHeight="false" outlineLevel="0" collapsed="false"/>
    <row r="790" s="1" customFormat="true" ht="13.5" hidden="false" customHeight="false" outlineLevel="0" collapsed="false"/>
    <row r="791" s="1" customFormat="true" ht="13.5" hidden="false" customHeight="false" outlineLevel="0" collapsed="false"/>
    <row r="792" s="1" customFormat="true" ht="13.5" hidden="false" customHeight="false" outlineLevel="0" collapsed="false"/>
    <row r="793" s="1" customFormat="true" ht="13.5" hidden="false" customHeight="false" outlineLevel="0" collapsed="false"/>
    <row r="794" s="1" customFormat="true" ht="13.5" hidden="false" customHeight="false" outlineLevel="0" collapsed="false"/>
    <row r="795" s="1" customFormat="true" ht="13.5" hidden="false" customHeight="false" outlineLevel="0" collapsed="false"/>
    <row r="796" s="1" customFormat="true" ht="13.5" hidden="false" customHeight="false" outlineLevel="0" collapsed="false"/>
    <row r="797" s="1" customFormat="true" ht="13.5" hidden="false" customHeight="false" outlineLevel="0" collapsed="false"/>
    <row r="798" s="1" customFormat="true" ht="13.5" hidden="false" customHeight="false" outlineLevel="0" collapsed="false"/>
    <row r="799" s="1" customFormat="true" ht="13.5" hidden="false" customHeight="false" outlineLevel="0" collapsed="false"/>
    <row r="800" s="1" customFormat="true" ht="13.5" hidden="false" customHeight="false" outlineLevel="0" collapsed="false"/>
    <row r="801" s="1" customFormat="true" ht="13.5" hidden="false" customHeight="false" outlineLevel="0" collapsed="false"/>
    <row r="802" s="1" customFormat="true" ht="13.5" hidden="false" customHeight="false" outlineLevel="0" collapsed="false"/>
    <row r="803" s="1" customFormat="true" ht="13.5" hidden="false" customHeight="false" outlineLevel="0" collapsed="false"/>
    <row r="804" s="1" customFormat="true" ht="13.5" hidden="false" customHeight="false" outlineLevel="0" collapsed="false"/>
    <row r="805" s="1" customFormat="true" ht="13.5" hidden="false" customHeight="false" outlineLevel="0" collapsed="false"/>
    <row r="806" s="1" customFormat="true" ht="13.5" hidden="false" customHeight="false" outlineLevel="0" collapsed="false"/>
    <row r="807" s="1" customFormat="true" ht="13.5" hidden="false" customHeight="false" outlineLevel="0" collapsed="false"/>
    <row r="808" s="1" customFormat="true" ht="13.5" hidden="false" customHeight="false" outlineLevel="0" collapsed="false"/>
    <row r="809" s="1" customFormat="true" ht="13.5" hidden="false" customHeight="false" outlineLevel="0" collapsed="false"/>
    <row r="810" s="1" customFormat="true" ht="13.5" hidden="false" customHeight="false" outlineLevel="0" collapsed="false"/>
    <row r="811" s="1" customFormat="true" ht="13.5" hidden="false" customHeight="false" outlineLevel="0" collapsed="false"/>
    <row r="812" s="1" customFormat="true" ht="13.5" hidden="false" customHeight="false" outlineLevel="0" collapsed="false"/>
    <row r="813" s="1" customFormat="true" ht="13.5" hidden="false" customHeight="false" outlineLevel="0" collapsed="false"/>
    <row r="814" s="1" customFormat="true" ht="13.5" hidden="false" customHeight="false" outlineLevel="0" collapsed="false"/>
    <row r="815" s="1" customFormat="true" ht="13.5" hidden="false" customHeight="false" outlineLevel="0" collapsed="false"/>
    <row r="816" s="1" customFormat="true" ht="13.5" hidden="false" customHeight="false" outlineLevel="0" collapsed="false"/>
    <row r="817" s="1" customFormat="true" ht="13.5" hidden="false" customHeight="false" outlineLevel="0" collapsed="false"/>
    <row r="818" s="1" customFormat="true" ht="13.5" hidden="false" customHeight="false" outlineLevel="0" collapsed="false"/>
    <row r="819" s="1" customFormat="true" ht="13.5" hidden="false" customHeight="false" outlineLevel="0" collapsed="false"/>
    <row r="820" s="1" customFormat="true" ht="13.5" hidden="false" customHeight="false" outlineLevel="0" collapsed="false"/>
    <row r="821" s="1" customFormat="true" ht="13.5" hidden="false" customHeight="false" outlineLevel="0" collapsed="false"/>
    <row r="822" s="1" customFormat="true" ht="13.5" hidden="false" customHeight="false" outlineLevel="0" collapsed="false"/>
    <row r="823" s="1" customFormat="true" ht="13.5" hidden="false" customHeight="false" outlineLevel="0" collapsed="false"/>
    <row r="824" s="1" customFormat="true" ht="13.5" hidden="false" customHeight="false" outlineLevel="0" collapsed="false"/>
    <row r="825" s="1" customFormat="true" ht="13.5" hidden="false" customHeight="false" outlineLevel="0" collapsed="false"/>
    <row r="826" s="1" customFormat="true" ht="13.5" hidden="false" customHeight="false" outlineLevel="0" collapsed="false"/>
    <row r="827" s="1" customFormat="true" ht="13.5" hidden="false" customHeight="false" outlineLevel="0" collapsed="false"/>
    <row r="828" s="1" customFormat="true" ht="13.5" hidden="false" customHeight="false" outlineLevel="0" collapsed="false"/>
    <row r="829" s="1" customFormat="true" ht="13.5" hidden="false" customHeight="false" outlineLevel="0" collapsed="false"/>
    <row r="830" s="1" customFormat="true" ht="13.5" hidden="false" customHeight="false" outlineLevel="0" collapsed="false"/>
    <row r="831" s="1" customFormat="true" ht="13.5" hidden="false" customHeight="false" outlineLevel="0" collapsed="false"/>
    <row r="832" s="1" customFormat="true" ht="13.5" hidden="false" customHeight="false" outlineLevel="0" collapsed="false"/>
    <row r="833" s="1" customFormat="true" ht="13.5" hidden="false" customHeight="false" outlineLevel="0" collapsed="false"/>
    <row r="834" s="1" customFormat="true" ht="13.5" hidden="false" customHeight="false" outlineLevel="0" collapsed="false"/>
    <row r="835" s="1" customFormat="true" ht="13.5" hidden="false" customHeight="false" outlineLevel="0" collapsed="false"/>
    <row r="836" s="1" customFormat="true" ht="13.5" hidden="false" customHeight="false" outlineLevel="0" collapsed="false"/>
    <row r="837" s="1" customFormat="true" ht="13.5" hidden="false" customHeight="false" outlineLevel="0" collapsed="false"/>
    <row r="838" s="1" customFormat="true" ht="13.5" hidden="false" customHeight="false" outlineLevel="0" collapsed="false"/>
    <row r="839" s="1" customFormat="true" ht="13.5" hidden="false" customHeight="false" outlineLevel="0" collapsed="false"/>
    <row r="840" s="1" customFormat="true" ht="13.5" hidden="false" customHeight="false" outlineLevel="0" collapsed="false"/>
    <row r="841" s="1" customFormat="true" ht="13.5" hidden="false" customHeight="false" outlineLevel="0" collapsed="false"/>
    <row r="842" s="1" customFormat="true" ht="13.5" hidden="false" customHeight="false" outlineLevel="0" collapsed="false"/>
    <row r="843" s="1" customFormat="true" ht="13.5" hidden="false" customHeight="false" outlineLevel="0" collapsed="false"/>
    <row r="844" s="1" customFormat="true" ht="13.5" hidden="false" customHeight="false" outlineLevel="0" collapsed="false"/>
    <row r="845" s="1" customFormat="true" ht="13.5" hidden="false" customHeight="false" outlineLevel="0" collapsed="false"/>
    <row r="846" s="1" customFormat="true" ht="13.5" hidden="false" customHeight="false" outlineLevel="0" collapsed="false"/>
    <row r="847" s="1" customFormat="true" ht="13.5" hidden="false" customHeight="false" outlineLevel="0" collapsed="false"/>
    <row r="848" s="1" customFormat="true" ht="13.5" hidden="false" customHeight="false" outlineLevel="0" collapsed="false"/>
    <row r="849" s="1" customFormat="true" ht="13.5" hidden="false" customHeight="false" outlineLevel="0" collapsed="false"/>
    <row r="850" s="1" customFormat="true" ht="13.5" hidden="false" customHeight="false" outlineLevel="0" collapsed="false"/>
    <row r="851" s="1" customFormat="true" ht="13.5" hidden="false" customHeight="false" outlineLevel="0" collapsed="false"/>
    <row r="852" s="1" customFormat="true" ht="13.5" hidden="false" customHeight="false" outlineLevel="0" collapsed="false"/>
    <row r="853" s="1" customFormat="true" ht="13.5" hidden="false" customHeight="false" outlineLevel="0" collapsed="false"/>
    <row r="854" s="1" customFormat="true" ht="13.5" hidden="false" customHeight="false" outlineLevel="0" collapsed="false"/>
    <row r="855" s="1" customFormat="true" ht="13.5" hidden="false" customHeight="false" outlineLevel="0" collapsed="false"/>
    <row r="856" s="1" customFormat="true" ht="13.5" hidden="false" customHeight="false" outlineLevel="0" collapsed="false"/>
    <row r="857" s="1" customFormat="true" ht="13.5" hidden="false" customHeight="false" outlineLevel="0" collapsed="false"/>
    <row r="858" s="1" customFormat="true" ht="13.5" hidden="false" customHeight="false" outlineLevel="0" collapsed="false"/>
    <row r="859" s="1" customFormat="true" ht="13.5" hidden="false" customHeight="false" outlineLevel="0" collapsed="false"/>
    <row r="860" s="1" customFormat="true" ht="13.5" hidden="false" customHeight="false" outlineLevel="0" collapsed="false"/>
    <row r="861" s="1" customFormat="true" ht="13.5" hidden="false" customHeight="false" outlineLevel="0" collapsed="false"/>
    <row r="862" s="1" customFormat="true" ht="13.5" hidden="false" customHeight="false" outlineLevel="0" collapsed="false"/>
    <row r="863" s="1" customFormat="true" ht="13.5" hidden="false" customHeight="false" outlineLevel="0" collapsed="false"/>
    <row r="864" s="1" customFormat="true" ht="13.5" hidden="false" customHeight="false" outlineLevel="0" collapsed="false"/>
    <row r="865" s="1" customFormat="true" ht="13.5" hidden="false" customHeight="false" outlineLevel="0" collapsed="false"/>
    <row r="866" s="1" customFormat="true" ht="13.5" hidden="false" customHeight="false" outlineLevel="0" collapsed="false"/>
    <row r="867" s="1" customFormat="true" ht="13.5" hidden="false" customHeight="false" outlineLevel="0" collapsed="false"/>
    <row r="868" s="1" customFormat="true" ht="13.5" hidden="false" customHeight="false" outlineLevel="0" collapsed="false"/>
    <row r="869" s="1" customFormat="true" ht="13.5" hidden="false" customHeight="false" outlineLevel="0" collapsed="false"/>
    <row r="870" s="1" customFormat="true" ht="13.5" hidden="false" customHeight="false" outlineLevel="0" collapsed="false"/>
    <row r="871" s="1" customFormat="true" ht="13.5" hidden="false" customHeight="false" outlineLevel="0" collapsed="false"/>
    <row r="872" s="1" customFormat="true" ht="13.5" hidden="false" customHeight="false" outlineLevel="0" collapsed="false"/>
    <row r="873" s="1" customFormat="true" ht="13.5" hidden="false" customHeight="false" outlineLevel="0" collapsed="false"/>
    <row r="874" s="1" customFormat="true" ht="13.5" hidden="false" customHeight="false" outlineLevel="0" collapsed="false"/>
    <row r="875" s="1" customFormat="true" ht="13.5" hidden="false" customHeight="false" outlineLevel="0" collapsed="false"/>
    <row r="876" s="1" customFormat="true" ht="13.5" hidden="false" customHeight="false" outlineLevel="0" collapsed="false"/>
    <row r="877" s="1" customFormat="true" ht="13.5" hidden="false" customHeight="false" outlineLevel="0" collapsed="false"/>
    <row r="878" s="1" customFormat="true" ht="13.5" hidden="false" customHeight="false" outlineLevel="0" collapsed="false"/>
    <row r="879" s="1" customFormat="true" ht="13.5" hidden="false" customHeight="false" outlineLevel="0" collapsed="false"/>
    <row r="880" s="1" customFormat="true" ht="13.5" hidden="false" customHeight="false" outlineLevel="0" collapsed="false"/>
    <row r="881" s="1" customFormat="true" ht="13.5" hidden="false" customHeight="false" outlineLevel="0" collapsed="false"/>
    <row r="882" s="1" customFormat="true" ht="13.5" hidden="false" customHeight="false" outlineLevel="0" collapsed="false"/>
    <row r="883" s="1" customFormat="true" ht="13.5" hidden="false" customHeight="false" outlineLevel="0" collapsed="false"/>
    <row r="884" s="1" customFormat="true" ht="13.5" hidden="false" customHeight="false" outlineLevel="0" collapsed="false"/>
    <row r="885" s="1" customFormat="true" ht="13.5" hidden="false" customHeight="false" outlineLevel="0" collapsed="false"/>
    <row r="886" s="1" customFormat="true" ht="13.5" hidden="false" customHeight="false" outlineLevel="0" collapsed="false"/>
    <row r="887" s="1" customFormat="true" ht="13.5" hidden="false" customHeight="false" outlineLevel="0" collapsed="false"/>
    <row r="888" s="1" customFormat="true" ht="13.5" hidden="false" customHeight="false" outlineLevel="0" collapsed="false"/>
    <row r="889" s="1" customFormat="true" ht="13.5" hidden="false" customHeight="false" outlineLevel="0" collapsed="false"/>
    <row r="890" s="1" customFormat="true" ht="13.5" hidden="false" customHeight="false" outlineLevel="0" collapsed="false"/>
    <row r="891" s="1" customFormat="true" ht="13.5" hidden="false" customHeight="false" outlineLevel="0" collapsed="false"/>
    <row r="892" s="1" customFormat="true" ht="13.5" hidden="false" customHeight="false" outlineLevel="0" collapsed="false"/>
    <row r="893" s="1" customFormat="true" ht="13.5" hidden="false" customHeight="false" outlineLevel="0" collapsed="false"/>
    <row r="894" s="1" customFormat="true" ht="13.5" hidden="false" customHeight="false" outlineLevel="0" collapsed="false"/>
    <row r="895" s="1" customFormat="true" ht="13.5" hidden="false" customHeight="false" outlineLevel="0" collapsed="false"/>
    <row r="896" s="1" customFormat="true" ht="13.5" hidden="false" customHeight="false" outlineLevel="0" collapsed="false"/>
    <row r="897" s="1" customFormat="true" ht="13.5" hidden="false" customHeight="false" outlineLevel="0" collapsed="false"/>
    <row r="898" s="1" customFormat="true" ht="13.5" hidden="false" customHeight="false" outlineLevel="0" collapsed="false"/>
    <row r="899" s="1" customFormat="true" ht="13.5" hidden="false" customHeight="false" outlineLevel="0" collapsed="false"/>
    <row r="900" s="1" customFormat="true" ht="13.5" hidden="false" customHeight="false" outlineLevel="0" collapsed="false"/>
    <row r="901" s="1" customFormat="true" ht="13.5" hidden="false" customHeight="false" outlineLevel="0" collapsed="false"/>
    <row r="902" s="1" customFormat="true" ht="13.5" hidden="false" customHeight="false" outlineLevel="0" collapsed="false"/>
    <row r="903" s="1" customFormat="true" ht="13.5" hidden="false" customHeight="false" outlineLevel="0" collapsed="false"/>
    <row r="904" s="1" customFormat="true" ht="13.5" hidden="false" customHeight="false" outlineLevel="0" collapsed="false"/>
    <row r="905" s="1" customFormat="true" ht="13.5" hidden="false" customHeight="false" outlineLevel="0" collapsed="false"/>
    <row r="906" s="1" customFormat="true" ht="13.5" hidden="false" customHeight="false" outlineLevel="0" collapsed="false"/>
    <row r="907" s="1" customFormat="true" ht="13.5" hidden="false" customHeight="false" outlineLevel="0" collapsed="false"/>
    <row r="908" s="1" customFormat="true" ht="13.5" hidden="false" customHeight="false" outlineLevel="0" collapsed="false"/>
    <row r="909" s="1" customFormat="true" ht="13.5" hidden="false" customHeight="false" outlineLevel="0" collapsed="false"/>
    <row r="910" s="1" customFormat="true" ht="13.5" hidden="false" customHeight="false" outlineLevel="0" collapsed="false"/>
    <row r="911" s="1" customFormat="true" ht="13.5" hidden="false" customHeight="false" outlineLevel="0" collapsed="false"/>
    <row r="912" s="1" customFormat="true" ht="13.5" hidden="false" customHeight="false" outlineLevel="0" collapsed="false"/>
    <row r="913" s="1" customFormat="true" ht="13.5" hidden="false" customHeight="false" outlineLevel="0" collapsed="false"/>
    <row r="914" s="1" customFormat="true" ht="13.5" hidden="false" customHeight="false" outlineLevel="0" collapsed="false"/>
    <row r="915" s="1" customFormat="true" ht="13.5" hidden="false" customHeight="false" outlineLevel="0" collapsed="false"/>
    <row r="916" s="1" customFormat="true" ht="13.5" hidden="false" customHeight="false" outlineLevel="0" collapsed="false"/>
    <row r="917" s="1" customFormat="true" ht="13.5" hidden="false" customHeight="false" outlineLevel="0" collapsed="false"/>
    <row r="918" s="1" customFormat="true" ht="13.5" hidden="false" customHeight="false" outlineLevel="0" collapsed="false"/>
    <row r="919" s="1" customFormat="true" ht="13.5" hidden="false" customHeight="false" outlineLevel="0" collapsed="false"/>
    <row r="920" s="1" customFormat="true" ht="13.5" hidden="false" customHeight="false" outlineLevel="0" collapsed="false"/>
    <row r="921" s="1" customFormat="true" ht="13.5" hidden="false" customHeight="false" outlineLevel="0" collapsed="false"/>
    <row r="922" s="1" customFormat="true" ht="13.5" hidden="false" customHeight="false" outlineLevel="0" collapsed="false"/>
    <row r="923" s="1" customFormat="true" ht="13.5" hidden="false" customHeight="false" outlineLevel="0" collapsed="false"/>
    <row r="924" s="1" customFormat="true" ht="13.5" hidden="false" customHeight="false" outlineLevel="0" collapsed="false"/>
    <row r="925" s="1" customFormat="true" ht="13.5" hidden="false" customHeight="false" outlineLevel="0" collapsed="false"/>
    <row r="926" s="1" customFormat="true" ht="13.5" hidden="false" customHeight="false" outlineLevel="0" collapsed="false"/>
    <row r="927" s="1" customFormat="true" ht="13.5" hidden="false" customHeight="false" outlineLevel="0" collapsed="false"/>
    <row r="928" s="1" customFormat="true" ht="13.5" hidden="false" customHeight="false" outlineLevel="0" collapsed="false"/>
    <row r="929" s="1" customFormat="true" ht="13.5" hidden="false" customHeight="false" outlineLevel="0" collapsed="false"/>
    <row r="930" s="1" customFormat="true" ht="13.5" hidden="false" customHeight="false" outlineLevel="0" collapsed="false"/>
    <row r="931" s="1" customFormat="true" ht="13.5" hidden="false" customHeight="false" outlineLevel="0" collapsed="false"/>
    <row r="932" s="1" customFormat="true" ht="13.5" hidden="false" customHeight="false" outlineLevel="0" collapsed="false"/>
    <row r="933" s="1" customFormat="true" ht="13.5" hidden="false" customHeight="false" outlineLevel="0" collapsed="false"/>
    <row r="934" s="1" customFormat="true" ht="13.5" hidden="false" customHeight="false" outlineLevel="0" collapsed="false"/>
    <row r="935" s="1" customFormat="true" ht="13.5" hidden="false" customHeight="false" outlineLevel="0" collapsed="false"/>
    <row r="936" s="1" customFormat="true" ht="13.5" hidden="false" customHeight="false" outlineLevel="0" collapsed="false"/>
    <row r="937" s="1" customFormat="true" ht="13.5" hidden="false" customHeight="false" outlineLevel="0" collapsed="false"/>
    <row r="938" s="1" customFormat="true" ht="13.5" hidden="false" customHeight="false" outlineLevel="0" collapsed="false"/>
    <row r="939" s="1" customFormat="true" ht="13.5" hidden="false" customHeight="false" outlineLevel="0" collapsed="false"/>
    <row r="940" s="1" customFormat="true" ht="13.5" hidden="false" customHeight="false" outlineLevel="0" collapsed="false"/>
    <row r="941" s="1" customFormat="true" ht="13.5" hidden="false" customHeight="false" outlineLevel="0" collapsed="false"/>
    <row r="942" s="1" customFormat="true" ht="13.5" hidden="false" customHeight="false" outlineLevel="0" collapsed="false"/>
    <row r="943" s="1" customFormat="true" ht="13.5" hidden="false" customHeight="false" outlineLevel="0" collapsed="false"/>
    <row r="944" s="1" customFormat="true" ht="13.5" hidden="false" customHeight="false" outlineLevel="0" collapsed="false"/>
    <row r="945" s="1" customFormat="true" ht="13.5" hidden="false" customHeight="false" outlineLevel="0" collapsed="false"/>
    <row r="946" s="1" customFormat="true" ht="13.5" hidden="false" customHeight="false" outlineLevel="0" collapsed="false"/>
    <row r="947" s="1" customFormat="true" ht="13.5" hidden="false" customHeight="false" outlineLevel="0" collapsed="false"/>
    <row r="948" s="1" customFormat="true" ht="13.5" hidden="false" customHeight="false" outlineLevel="0" collapsed="false"/>
    <row r="949" s="1" customFormat="true" ht="13.5" hidden="false" customHeight="false" outlineLevel="0" collapsed="false"/>
    <row r="950" s="1" customFormat="true" ht="13.5" hidden="false" customHeight="false" outlineLevel="0" collapsed="false"/>
    <row r="951" s="1" customFormat="true" ht="13.5" hidden="false" customHeight="false" outlineLevel="0" collapsed="false"/>
    <row r="952" s="1" customFormat="true" ht="13.5" hidden="false" customHeight="false" outlineLevel="0" collapsed="false"/>
    <row r="953" s="1" customFormat="true" ht="13.5" hidden="false" customHeight="false" outlineLevel="0" collapsed="false"/>
    <row r="954" s="1" customFormat="true" ht="13.5" hidden="false" customHeight="false" outlineLevel="0" collapsed="false"/>
    <row r="955" s="1" customFormat="true" ht="13.5" hidden="false" customHeight="false" outlineLevel="0" collapsed="false"/>
    <row r="956" s="1" customFormat="true" ht="13.5" hidden="false" customHeight="false" outlineLevel="0" collapsed="false"/>
    <row r="957" s="1" customFormat="true" ht="13.5" hidden="false" customHeight="false" outlineLevel="0" collapsed="false"/>
    <row r="958" s="1" customFormat="true" ht="13.5" hidden="false" customHeight="false" outlineLevel="0" collapsed="false"/>
    <row r="959" s="1" customFormat="true" ht="13.5" hidden="false" customHeight="false" outlineLevel="0" collapsed="false"/>
    <row r="960" s="1" customFormat="true" ht="13.5" hidden="false" customHeight="false" outlineLevel="0" collapsed="false"/>
    <row r="961" s="1" customFormat="true" ht="13.5" hidden="false" customHeight="false" outlineLevel="0" collapsed="false"/>
    <row r="962" s="1" customFormat="true" ht="13.5" hidden="false" customHeight="false" outlineLevel="0" collapsed="false"/>
    <row r="963" s="1" customFormat="true" ht="13.5" hidden="false" customHeight="false" outlineLevel="0" collapsed="false"/>
    <row r="964" s="1" customFormat="true" ht="13.5" hidden="false" customHeight="false" outlineLevel="0" collapsed="false"/>
    <row r="965" s="1" customFormat="true" ht="13.5" hidden="false" customHeight="false" outlineLevel="0" collapsed="false"/>
    <row r="966" s="1" customFormat="true" ht="13.5" hidden="false" customHeight="false" outlineLevel="0" collapsed="false"/>
    <row r="967" s="1" customFormat="true" ht="13.5" hidden="false" customHeight="false" outlineLevel="0" collapsed="false"/>
    <row r="968" s="1" customFormat="true" ht="13.5" hidden="false" customHeight="false" outlineLevel="0" collapsed="false"/>
    <row r="969" s="1" customFormat="true" ht="13.5" hidden="false" customHeight="false" outlineLevel="0" collapsed="false"/>
    <row r="970" s="1" customFormat="true" ht="13.5" hidden="false" customHeight="false" outlineLevel="0" collapsed="false"/>
    <row r="971" s="1" customFormat="true" ht="13.5" hidden="false" customHeight="false" outlineLevel="0" collapsed="false"/>
    <row r="972" s="1" customFormat="true" ht="13.5" hidden="false" customHeight="false" outlineLevel="0" collapsed="false"/>
    <row r="973" s="1" customFormat="true" ht="13.5" hidden="false" customHeight="false" outlineLevel="0" collapsed="false"/>
    <row r="974" s="1" customFormat="true" ht="13.5" hidden="false" customHeight="false" outlineLevel="0" collapsed="false"/>
    <row r="975" s="1" customFormat="true" ht="13.5" hidden="false" customHeight="false" outlineLevel="0" collapsed="false"/>
    <row r="976" s="1" customFormat="true" ht="13.5" hidden="false" customHeight="false" outlineLevel="0" collapsed="false"/>
    <row r="977" s="1" customFormat="true" ht="13.5" hidden="false" customHeight="false" outlineLevel="0" collapsed="false"/>
    <row r="978" s="1" customFormat="true" ht="13.5" hidden="false" customHeight="false" outlineLevel="0" collapsed="false"/>
    <row r="979" s="1" customFormat="true" ht="13.5" hidden="false" customHeight="false" outlineLevel="0" collapsed="false"/>
    <row r="980" s="1" customFormat="true" ht="13.5" hidden="false" customHeight="false" outlineLevel="0" collapsed="false"/>
    <row r="981" s="1" customFormat="true" ht="13.5" hidden="false" customHeight="false" outlineLevel="0" collapsed="false"/>
    <row r="982" s="1" customFormat="true" ht="13.5" hidden="false" customHeight="false" outlineLevel="0" collapsed="false"/>
    <row r="983" s="1" customFormat="true" ht="13.5" hidden="false" customHeight="false" outlineLevel="0" collapsed="false"/>
    <row r="984" s="1" customFormat="true" ht="13.5" hidden="false" customHeight="false" outlineLevel="0" collapsed="false"/>
    <row r="985" s="1" customFormat="true" ht="13.5" hidden="false" customHeight="false" outlineLevel="0" collapsed="false"/>
    <row r="986" s="1" customFormat="true" ht="13.5" hidden="false" customHeight="false" outlineLevel="0" collapsed="false"/>
    <row r="987" s="1" customFormat="true" ht="13.5" hidden="false" customHeight="false" outlineLevel="0" collapsed="false"/>
    <row r="988" s="1" customFormat="true" ht="13.5" hidden="false" customHeight="false" outlineLevel="0" collapsed="false"/>
    <row r="989" s="1" customFormat="true" ht="13.5" hidden="false" customHeight="false" outlineLevel="0" collapsed="false"/>
    <row r="990" s="1" customFormat="true" ht="13.5" hidden="false" customHeight="false" outlineLevel="0" collapsed="false"/>
    <row r="991" s="1" customFormat="true" ht="13.5" hidden="false" customHeight="false" outlineLevel="0" collapsed="false"/>
    <row r="992" s="1" customFormat="true" ht="13.5" hidden="false" customHeight="false" outlineLevel="0" collapsed="false"/>
    <row r="993" s="1" customFormat="true" ht="13.5" hidden="false" customHeight="false" outlineLevel="0" collapsed="false"/>
    <row r="994" s="1" customFormat="true" ht="13.5" hidden="false" customHeight="false" outlineLevel="0" collapsed="false"/>
    <row r="995" s="1" customFormat="true" ht="13.5" hidden="false" customHeight="false" outlineLevel="0" collapsed="false"/>
    <row r="996" s="1" customFormat="true" ht="13.5" hidden="false" customHeight="false" outlineLevel="0" collapsed="false"/>
    <row r="997" s="1" customFormat="true" ht="13.5" hidden="false" customHeight="false" outlineLevel="0" collapsed="false"/>
    <row r="998" s="1" customFormat="true" ht="13.5" hidden="false" customHeight="false" outlineLevel="0" collapsed="false"/>
    <row r="999" s="1" customFormat="true" ht="13.5" hidden="false" customHeight="false" outlineLevel="0" collapsed="false"/>
    <row r="1000" s="1" customFormat="true" ht="13.5" hidden="false" customHeight="false" outlineLevel="0" collapsed="false"/>
    <row r="1001" s="1" customFormat="true" ht="13.5" hidden="false" customHeight="false" outlineLevel="0" collapsed="false"/>
    <row r="1002" s="1" customFormat="true" ht="13.5" hidden="false" customHeight="false" outlineLevel="0" collapsed="false"/>
    <row r="1003" s="1" customFormat="true" ht="13.5" hidden="false" customHeight="false" outlineLevel="0" collapsed="false"/>
    <row r="1004" s="1" customFormat="true" ht="13.5" hidden="false" customHeight="false" outlineLevel="0" collapsed="false"/>
    <row r="1005" s="1" customFormat="true" ht="13.5" hidden="false" customHeight="false" outlineLevel="0" collapsed="false"/>
    <row r="1006" s="1" customFormat="true" ht="13.5" hidden="false" customHeight="false" outlineLevel="0" collapsed="false"/>
    <row r="1007" s="1" customFormat="true" ht="13.5" hidden="false" customHeight="false" outlineLevel="0" collapsed="false"/>
    <row r="1008" s="1" customFormat="true" ht="13.5" hidden="false" customHeight="false" outlineLevel="0" collapsed="false"/>
    <row r="1009" s="1" customFormat="true" ht="13.5" hidden="false" customHeight="false" outlineLevel="0" collapsed="false"/>
    <row r="1010" s="1" customFormat="true" ht="13.5" hidden="false" customHeight="false" outlineLevel="0" collapsed="false"/>
    <row r="1011" s="1" customFormat="true" ht="13.5" hidden="false" customHeight="false" outlineLevel="0" collapsed="false"/>
    <row r="1012" s="1" customFormat="true" ht="13.5" hidden="false" customHeight="false" outlineLevel="0" collapsed="false"/>
    <row r="1013" s="1" customFormat="true" ht="13.5" hidden="false" customHeight="false" outlineLevel="0" collapsed="false"/>
    <row r="1014" s="1" customFormat="true" ht="13.5" hidden="false" customHeight="false" outlineLevel="0" collapsed="false"/>
    <row r="1015" s="1" customFormat="true" ht="13.5" hidden="false" customHeight="false" outlineLevel="0" collapsed="false"/>
    <row r="1016" s="1" customFormat="true" ht="13.5" hidden="false" customHeight="false" outlineLevel="0" collapsed="false"/>
    <row r="1017" s="1" customFormat="true" ht="13.5" hidden="false" customHeight="false" outlineLevel="0" collapsed="false"/>
    <row r="1018" s="1" customFormat="true" ht="13.5" hidden="false" customHeight="false" outlineLevel="0" collapsed="false"/>
    <row r="1019" s="1" customFormat="true" ht="13.5" hidden="false" customHeight="false" outlineLevel="0" collapsed="false"/>
    <row r="1020" s="1" customFormat="true" ht="13.5" hidden="false" customHeight="false" outlineLevel="0" collapsed="false"/>
    <row r="1021" s="1" customFormat="true" ht="13.5" hidden="false" customHeight="false" outlineLevel="0" collapsed="false"/>
    <row r="1022" s="1" customFormat="true" ht="13.5" hidden="false" customHeight="false" outlineLevel="0" collapsed="false"/>
    <row r="1023" s="1" customFormat="true" ht="13.5" hidden="false" customHeight="false" outlineLevel="0" collapsed="false"/>
    <row r="1024" s="1" customFormat="true" ht="13.5" hidden="false" customHeight="false" outlineLevel="0" collapsed="false"/>
    <row r="1025" s="1" customFormat="true" ht="13.5" hidden="false" customHeight="false" outlineLevel="0" collapsed="false"/>
    <row r="1026" s="1" customFormat="true" ht="13.5" hidden="false" customHeight="false" outlineLevel="0" collapsed="false"/>
    <row r="1027" s="1" customFormat="true" ht="13.5" hidden="false" customHeight="false" outlineLevel="0" collapsed="false"/>
    <row r="1028" s="1" customFormat="true" ht="13.5" hidden="false" customHeight="false" outlineLevel="0" collapsed="false"/>
    <row r="1029" s="1" customFormat="true" ht="13.5" hidden="false" customHeight="false" outlineLevel="0" collapsed="false"/>
    <row r="1030" s="1" customFormat="true" ht="13.5" hidden="false" customHeight="false" outlineLevel="0" collapsed="false"/>
    <row r="1031" s="1" customFormat="true" ht="13.5" hidden="false" customHeight="false" outlineLevel="0" collapsed="false"/>
    <row r="1032" s="1" customFormat="true" ht="13.5" hidden="false" customHeight="false" outlineLevel="0" collapsed="false"/>
    <row r="1033" s="1" customFormat="true" ht="13.5" hidden="false" customHeight="false" outlineLevel="0" collapsed="false"/>
    <row r="1034" s="1" customFormat="true" ht="13.5" hidden="false" customHeight="false" outlineLevel="0" collapsed="false"/>
    <row r="1035" s="1" customFormat="true" ht="13.5" hidden="false" customHeight="false" outlineLevel="0" collapsed="false"/>
    <row r="1036" s="1" customFormat="true" ht="13.5" hidden="false" customHeight="false" outlineLevel="0" collapsed="false"/>
    <row r="1037" s="1" customFormat="true" ht="13.5" hidden="false" customHeight="false" outlineLevel="0" collapsed="false"/>
    <row r="1038" s="1" customFormat="true" ht="13.5" hidden="false" customHeight="false" outlineLevel="0" collapsed="false"/>
    <row r="1039" s="1" customFormat="true" ht="13.5" hidden="false" customHeight="false" outlineLevel="0" collapsed="false"/>
    <row r="1040" s="1" customFormat="true" ht="13.5" hidden="false" customHeight="false" outlineLevel="0" collapsed="false"/>
    <row r="1041" s="1" customFormat="true" ht="13.5" hidden="false" customHeight="false" outlineLevel="0" collapsed="false"/>
    <row r="1042" s="1" customFormat="true" ht="13.5" hidden="false" customHeight="false" outlineLevel="0" collapsed="false"/>
    <row r="1043" s="1" customFormat="true" ht="13.5" hidden="false" customHeight="false" outlineLevel="0" collapsed="false"/>
    <row r="1044" s="1" customFormat="true" ht="13.5" hidden="false" customHeight="false" outlineLevel="0" collapsed="false"/>
    <row r="1045" s="1" customFormat="true" ht="13.5" hidden="false" customHeight="false" outlineLevel="0" collapsed="false"/>
    <row r="1046" s="1" customFormat="true" ht="13.5" hidden="false" customHeight="false" outlineLevel="0" collapsed="false"/>
    <row r="1047" s="1" customFormat="true" ht="13.5" hidden="false" customHeight="false" outlineLevel="0" collapsed="false"/>
    <row r="1048" s="1" customFormat="true" ht="13.5" hidden="false" customHeight="false" outlineLevel="0" collapsed="false"/>
    <row r="1049" s="1" customFormat="true" ht="13.5" hidden="false" customHeight="false" outlineLevel="0" collapsed="false"/>
    <row r="1050" s="1" customFormat="true" ht="13.5" hidden="false" customHeight="false" outlineLevel="0" collapsed="false"/>
    <row r="1051" s="1" customFormat="true" ht="13.5" hidden="false" customHeight="false" outlineLevel="0" collapsed="false"/>
    <row r="1052" s="1" customFormat="true" ht="13.5" hidden="false" customHeight="false" outlineLevel="0" collapsed="false"/>
    <row r="1053" s="1" customFormat="true" ht="13.5" hidden="false" customHeight="false" outlineLevel="0" collapsed="false"/>
    <row r="1054" s="1" customFormat="true" ht="13.5" hidden="false" customHeight="false" outlineLevel="0" collapsed="false"/>
    <row r="1055" s="1" customFormat="true" ht="13.5" hidden="false" customHeight="false" outlineLevel="0" collapsed="false"/>
    <row r="1056" s="1" customFormat="true" ht="13.5" hidden="false" customHeight="false" outlineLevel="0" collapsed="false"/>
    <row r="1057" s="1" customFormat="true" ht="13.5" hidden="false" customHeight="false" outlineLevel="0" collapsed="false"/>
    <row r="1058" s="1" customFormat="true" ht="13.5" hidden="false" customHeight="false" outlineLevel="0" collapsed="false"/>
    <row r="1059" s="1" customFormat="true" ht="13.5" hidden="false" customHeight="false" outlineLevel="0" collapsed="false"/>
    <row r="1060" s="1" customFormat="true" ht="13.5" hidden="false" customHeight="false" outlineLevel="0" collapsed="false"/>
    <row r="1061" s="1" customFormat="true" ht="13.5" hidden="false" customHeight="false" outlineLevel="0" collapsed="false"/>
    <row r="1062" s="1" customFormat="true" ht="13.5" hidden="false" customHeight="false" outlineLevel="0" collapsed="false"/>
    <row r="1063" s="1" customFormat="true" ht="13.5" hidden="false" customHeight="false" outlineLevel="0" collapsed="false"/>
    <row r="1064" s="1" customFormat="true" ht="13.5" hidden="false" customHeight="false" outlineLevel="0" collapsed="false"/>
    <row r="1065" s="1" customFormat="true" ht="13.5" hidden="false" customHeight="false" outlineLevel="0" collapsed="false"/>
    <row r="1066" s="1" customFormat="true" ht="13.5" hidden="false" customHeight="false" outlineLevel="0" collapsed="false"/>
    <row r="1067" s="1" customFormat="true" ht="13.5" hidden="false" customHeight="false" outlineLevel="0" collapsed="false"/>
    <row r="1068" s="1" customFormat="true" ht="13.5" hidden="false" customHeight="false" outlineLevel="0" collapsed="false"/>
    <row r="1069" s="1" customFormat="true" ht="13.5" hidden="false" customHeight="false" outlineLevel="0" collapsed="false"/>
    <row r="1070" s="1" customFormat="true" ht="13.5" hidden="false" customHeight="false" outlineLevel="0" collapsed="false"/>
    <row r="1071" s="1" customFormat="true" ht="13.5" hidden="false" customHeight="false" outlineLevel="0" collapsed="false"/>
    <row r="1072" s="1" customFormat="true" ht="13.5" hidden="false" customHeight="false" outlineLevel="0" collapsed="false"/>
    <row r="1073" s="1" customFormat="true" ht="13.5" hidden="false" customHeight="false" outlineLevel="0" collapsed="false"/>
    <row r="1074" s="1" customFormat="true" ht="13.5" hidden="false" customHeight="false" outlineLevel="0" collapsed="false"/>
    <row r="1075" s="1" customFormat="true" ht="13.5" hidden="false" customHeight="false" outlineLevel="0" collapsed="false"/>
    <row r="1076" s="1" customFormat="true" ht="13.5" hidden="false" customHeight="false" outlineLevel="0" collapsed="false"/>
    <row r="1077" s="1" customFormat="true" ht="13.5" hidden="false" customHeight="false" outlineLevel="0" collapsed="false"/>
    <row r="1078" s="1" customFormat="true" ht="13.5" hidden="false" customHeight="false" outlineLevel="0" collapsed="false"/>
    <row r="1079" s="1" customFormat="true" ht="13.5" hidden="false" customHeight="false" outlineLevel="0" collapsed="false"/>
    <row r="1080" s="1" customFormat="true" ht="13.5" hidden="false" customHeight="false" outlineLevel="0" collapsed="false"/>
    <row r="1081" s="1" customFormat="true" ht="13.5" hidden="false" customHeight="false" outlineLevel="0" collapsed="false"/>
    <row r="1082" s="1" customFormat="true" ht="13.5" hidden="false" customHeight="false" outlineLevel="0" collapsed="false"/>
    <row r="1083" s="1" customFormat="true" ht="13.5" hidden="false" customHeight="false" outlineLevel="0" collapsed="false"/>
    <row r="1084" s="1" customFormat="true" ht="13.5" hidden="false" customHeight="false" outlineLevel="0" collapsed="false"/>
    <row r="1085" s="1" customFormat="true" ht="13.5" hidden="false" customHeight="false" outlineLevel="0" collapsed="false"/>
    <row r="1086" s="1" customFormat="true" ht="13.5" hidden="false" customHeight="false" outlineLevel="0" collapsed="false"/>
    <row r="1087" s="1" customFormat="true" ht="13.5" hidden="false" customHeight="false" outlineLevel="0" collapsed="false"/>
    <row r="1088" s="1" customFormat="true" ht="13.5" hidden="false" customHeight="false" outlineLevel="0" collapsed="false"/>
    <row r="1089" s="1" customFormat="true" ht="13.5" hidden="false" customHeight="false" outlineLevel="0" collapsed="false"/>
    <row r="1090" s="1" customFormat="true" ht="13.5" hidden="false" customHeight="false" outlineLevel="0" collapsed="false"/>
    <row r="1091" s="1" customFormat="true" ht="13.5" hidden="false" customHeight="false" outlineLevel="0" collapsed="false"/>
    <row r="1092" s="1" customFormat="true" ht="13.5" hidden="false" customHeight="false" outlineLevel="0" collapsed="false"/>
    <row r="1093" s="1" customFormat="true" ht="13.5" hidden="false" customHeight="false" outlineLevel="0" collapsed="false"/>
    <row r="1094" s="1" customFormat="true" ht="13.5" hidden="false" customHeight="false" outlineLevel="0" collapsed="false"/>
    <row r="1095" s="1" customFormat="true" ht="13.5" hidden="false" customHeight="false" outlineLevel="0" collapsed="false"/>
    <row r="1096" s="1" customFormat="true" ht="13.5" hidden="false" customHeight="false" outlineLevel="0" collapsed="false"/>
    <row r="1097" s="1" customFormat="true" ht="13.5" hidden="false" customHeight="false" outlineLevel="0" collapsed="false"/>
    <row r="1098" s="1" customFormat="true" ht="13.5" hidden="false" customHeight="false" outlineLevel="0" collapsed="false"/>
    <row r="1099" s="1" customFormat="true" ht="13.5" hidden="false" customHeight="false" outlineLevel="0" collapsed="false"/>
    <row r="1100" s="1" customFormat="true" ht="13.5" hidden="false" customHeight="false" outlineLevel="0" collapsed="false"/>
    <row r="1101" s="1" customFormat="true" ht="13.5" hidden="false" customHeight="false" outlineLevel="0" collapsed="false"/>
    <row r="1102" s="1" customFormat="true" ht="13.5" hidden="false" customHeight="fals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15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I22" activeCellId="0" sqref="I22"/>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2.68"/>
    <col collapsed="false" customWidth="false" hidden="false" outlineLevel="0" max="16384" min="8" style="102" width="11.53"/>
  </cols>
  <sheetData>
    <row r="1" customFormat="false" ht="12.75" hidden="false" customHeight="fals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8" hidden="false" customHeight="true" outlineLevel="0" collapsed="false">
      <c r="A3" s="1"/>
      <c r="B3" s="170" t="s">
        <v>1</v>
      </c>
      <c r="C3" s="170"/>
      <c r="D3" s="170"/>
      <c r="E3" s="170"/>
      <c r="F3" s="170"/>
      <c r="G3" s="170"/>
      <c r="H3" s="170"/>
      <c r="I3" s="170"/>
      <c r="J3" s="1"/>
    </row>
    <row r="5" customFormat="false" ht="13.8" hidden="false" customHeight="true" outlineLevel="0" collapsed="false">
      <c r="A5" s="1"/>
      <c r="B5" s="104" t="s">
        <v>104</v>
      </c>
      <c r="C5" s="105" t="n">
        <v>33.4</v>
      </c>
      <c r="D5" s="144" t="s">
        <v>105</v>
      </c>
      <c r="E5" s="144"/>
      <c r="F5" s="144"/>
      <c r="G5" s="144"/>
      <c r="H5" s="144"/>
      <c r="I5" s="144"/>
      <c r="J5" s="1"/>
    </row>
    <row r="6" customFormat="false" ht="12.75" hidden="false" customHeight="false" outlineLevel="0" collapsed="false">
      <c r="A6" s="1"/>
      <c r="B6" s="1"/>
      <c r="C6" s="1"/>
      <c r="D6" s="1"/>
      <c r="E6" s="1"/>
      <c r="F6" s="1"/>
      <c r="G6" s="1"/>
      <c r="H6" s="1"/>
      <c r="I6" s="1"/>
      <c r="J6" s="1"/>
    </row>
    <row r="7" customFormat="false" ht="13.5" hidden="false" customHeight="true" outlineLevel="0" collapsed="false">
      <c r="A7" s="1"/>
      <c r="B7" s="171" t="s">
        <v>236</v>
      </c>
      <c r="C7" s="171"/>
      <c r="D7" s="171"/>
      <c r="E7" s="171"/>
      <c r="F7" s="171"/>
      <c r="G7" s="171"/>
      <c r="H7" s="171"/>
      <c r="I7" s="171"/>
      <c r="J7" s="1"/>
    </row>
    <row r="8" customFormat="false" ht="13.5" hidden="false" customHeight="true" outlineLevel="0" collapsed="false">
      <c r="A8" s="1"/>
      <c r="B8" s="172" t="s">
        <v>77</v>
      </c>
      <c r="C8" s="172" t="s">
        <v>237</v>
      </c>
      <c r="D8" s="172" t="s">
        <v>153</v>
      </c>
      <c r="E8" s="172" t="s">
        <v>238</v>
      </c>
      <c r="F8" s="172"/>
      <c r="G8" s="172"/>
      <c r="H8" s="172"/>
      <c r="I8" s="172"/>
      <c r="J8" s="1"/>
    </row>
    <row r="9" customFormat="false" ht="13.5" hidden="false" customHeight="true" outlineLevel="0" collapsed="false">
      <c r="A9" s="1"/>
      <c r="B9" s="173" t="s">
        <v>239</v>
      </c>
      <c r="C9" s="174" t="n">
        <v>50</v>
      </c>
      <c r="D9" s="75" t="s">
        <v>176</v>
      </c>
      <c r="E9" s="175" t="s">
        <v>240</v>
      </c>
      <c r="F9" s="175"/>
      <c r="G9" s="175"/>
      <c r="H9" s="175"/>
      <c r="I9" s="176"/>
      <c r="J9" s="1"/>
    </row>
    <row r="10" customFormat="false" ht="13.5" hidden="false" customHeight="true" outlineLevel="0" collapsed="false">
      <c r="A10" s="1"/>
      <c r="B10" s="173" t="s">
        <v>241</v>
      </c>
      <c r="C10" s="174" t="n">
        <v>1</v>
      </c>
      <c r="D10" s="75" t="s">
        <v>122</v>
      </c>
      <c r="E10" s="175" t="s">
        <v>242</v>
      </c>
      <c r="F10" s="175"/>
      <c r="G10" s="175"/>
      <c r="H10" s="175"/>
      <c r="I10" s="176"/>
      <c r="J10" s="1"/>
    </row>
    <row r="11" customFormat="false" ht="13.5" hidden="false" customHeight="true" outlineLevel="0" collapsed="false">
      <c r="A11" s="1"/>
      <c r="B11" s="173" t="s">
        <v>243</v>
      </c>
      <c r="C11" s="174" t="n">
        <v>16</v>
      </c>
      <c r="D11" s="75" t="s">
        <v>122</v>
      </c>
      <c r="E11" s="175" t="s">
        <v>244</v>
      </c>
      <c r="F11" s="175"/>
      <c r="G11" s="175"/>
      <c r="H11" s="175"/>
      <c r="I11" s="176"/>
      <c r="J11" s="1"/>
    </row>
    <row r="12" customFormat="false" ht="13.5" hidden="false" customHeight="true" outlineLevel="0" collapsed="false">
      <c r="A12" s="1"/>
      <c r="B12" s="173" t="s">
        <v>245</v>
      </c>
      <c r="C12" s="177" t="n">
        <f aca="false">COUNTIF(Calculator!E12:E22,"YES")</f>
        <v>3</v>
      </c>
      <c r="D12" s="178" t="s">
        <v>246</v>
      </c>
      <c r="E12" s="175" t="s">
        <v>247</v>
      </c>
      <c r="F12" s="175"/>
      <c r="G12" s="175"/>
      <c r="H12" s="175"/>
      <c r="I12" s="176"/>
      <c r="J12" s="1"/>
    </row>
    <row r="13" customFormat="false" ht="13.5" hidden="false" customHeight="true" outlineLevel="0" collapsed="false">
      <c r="A13" s="1"/>
      <c r="B13" s="173" t="s">
        <v>248</v>
      </c>
      <c r="C13" s="174" t="n">
        <v>75</v>
      </c>
      <c r="D13" s="179" t="n">
        <f aca="false">IFERROR(MAX(CEILING(5/MIN(D61:D71),1),CEILING((5*C119*(C108/25.4)+SQRT(C119*(25*C119*(C108/25.4)^2+C115^2*(9*C115-10*(C108/25.4)+10*(C10/25.4)))))/(C115^2*MAX(D61:D71)),1)),5)</f>
        <v>77</v>
      </c>
      <c r="E13" s="180" t="s">
        <v>249</v>
      </c>
      <c r="F13" s="180"/>
      <c r="G13" s="180"/>
      <c r="H13" s="180"/>
      <c r="I13" s="180"/>
      <c r="J13" s="1"/>
    </row>
    <row r="14" customFormat="false" ht="13.5" hidden="false" customHeight="false" outlineLevel="0" collapsed="false">
      <c r="A14" s="1"/>
      <c r="B14" s="173" t="s">
        <v>250</v>
      </c>
      <c r="C14" s="174" t="n">
        <v>0</v>
      </c>
      <c r="D14" s="179"/>
      <c r="E14" s="181"/>
      <c r="F14" s="181"/>
      <c r="G14" s="181"/>
      <c r="H14" s="181"/>
      <c r="I14" s="181"/>
      <c r="J14" s="1"/>
    </row>
    <row r="15" customFormat="false" ht="12.75" hidden="false" customHeight="false" outlineLevel="0" collapsed="false">
      <c r="A15" s="1"/>
      <c r="B15" s="1"/>
      <c r="C15" s="1"/>
      <c r="D15" s="1"/>
      <c r="E15" s="1"/>
      <c r="F15" s="1"/>
      <c r="G15" s="1"/>
      <c r="H15" s="1"/>
      <c r="I15" s="1"/>
      <c r="J15" s="1"/>
    </row>
    <row r="16" customFormat="false" ht="13.5" hidden="false" customHeight="true" outlineLevel="0" collapsed="false">
      <c r="A16" s="1"/>
      <c r="B16" s="171" t="s">
        <v>251</v>
      </c>
      <c r="C16" s="171"/>
      <c r="D16" s="171"/>
      <c r="E16" s="171"/>
      <c r="F16" s="182"/>
      <c r="G16" s="182"/>
      <c r="H16" s="182"/>
      <c r="I16" s="182"/>
      <c r="J16" s="1"/>
    </row>
    <row r="17" customFormat="false" ht="38.25" hidden="false" customHeight="false" outlineLevel="0" collapsed="false">
      <c r="A17" s="1"/>
      <c r="B17" s="172" t="s">
        <v>252</v>
      </c>
      <c r="C17" s="172" t="s">
        <v>253</v>
      </c>
      <c r="D17" s="172" t="s">
        <v>254</v>
      </c>
      <c r="E17" s="172" t="s">
        <v>255</v>
      </c>
      <c r="F17" s="172" t="s">
        <v>69</v>
      </c>
      <c r="G17" s="72"/>
      <c r="H17" s="182"/>
      <c r="I17" s="72"/>
      <c r="J17" s="1"/>
    </row>
    <row r="18" customFormat="false" ht="13.5" hidden="false" customHeight="false" outlineLevel="0" collapsed="false">
      <c r="A18" s="1"/>
      <c r="B18" s="183" t="n">
        <v>1</v>
      </c>
      <c r="C18" s="174" t="n">
        <f aca="false" t="array" ref="C18:C18">IFERROR(INDEX(Calculator!$D$12:$D$22,SMALL(IF(Calculator!$E$12:$E$22="YES",ROW(Calculator!$D$12:$D$22)-ROW(Calculator!$D$12)+1),1),1),"")</f>
        <v>7.15</v>
      </c>
      <c r="D18" s="184" t="n">
        <f aca="false">IF(C18="","",IFERROR(ROUND(50*POWER(80,COS(PI()*MOD($C$5/INDEX(Calculator!$F$12:$F$22,MATCH(C18,Calculator!$D$12:$D$22,0)),1))^2),0),""))</f>
        <v>167</v>
      </c>
      <c r="E18" s="185" t="n">
        <f aca="false">IF(C18="","",IFERROR(ROUND(1500*SIN(2*PI()*MOD($C$5/INDEX(Calculator!$F$12:$F$22,MATCH(C18,Calculator!$D$12:$D$22,0)),1)),0),""))</f>
        <v>-1340</v>
      </c>
      <c r="F18" s="183" t="str">
        <f aca="false">IF(ROW()-17&lt;=$C$12,"YES","NO")</f>
        <v>YES</v>
      </c>
      <c r="G18" s="186"/>
      <c r="H18" s="75"/>
      <c r="I18" s="76"/>
      <c r="J18" s="1"/>
    </row>
    <row r="19" customFormat="false" ht="13.5" hidden="false" customHeight="false" outlineLevel="0" collapsed="false">
      <c r="A19" s="1"/>
      <c r="B19" s="183" t="n">
        <v>2</v>
      </c>
      <c r="C19" s="174" t="n">
        <f aca="false" t="array" ref="C19:C19">IFERROR(INDEX(Calculator!$D$12:$D$22,SMALL(IF(Calculator!$E$12:$E$22="YES",ROW(Calculator!$D$12:$D$22)-ROW(Calculator!$D$12)+1),2),1),"")</f>
        <v>14.175</v>
      </c>
      <c r="D19" s="184" t="n">
        <f aca="false">IF(C19="","",IFERROR(ROUND(50*POWER(80,COS(PI()*MOD($C$5/INDEX(Calculator!$F$12:$F$22,MATCH(C19,Calculator!$D$12:$D$22,0)),1))^2),0),""))</f>
        <v>171</v>
      </c>
      <c r="E19" s="185" t="n">
        <f aca="false">IF(C19="","",IFERROR(ROUND(1500*SIN(2*PI()*MOD($C$5/INDEX(Calculator!$F$12:$F$22,MATCH(C19,Calculator!$D$12:$D$22,0)),1)),0),""))</f>
        <v>1347</v>
      </c>
      <c r="F19" s="183" t="str">
        <f aca="false">IF(ROW()-17&lt;=$C$12,"YES","NO")</f>
        <v>YES</v>
      </c>
      <c r="G19" s="186"/>
      <c r="H19" s="75"/>
      <c r="I19" s="76"/>
      <c r="J19" s="1"/>
    </row>
    <row r="20" customFormat="false" ht="13.5" hidden="false" customHeight="false" outlineLevel="0" collapsed="false">
      <c r="A20" s="1"/>
      <c r="B20" s="183" t="n">
        <v>3</v>
      </c>
      <c r="C20" s="174" t="n">
        <f aca="false" t="array" ref="C20:C20">IFERROR(INDEX(Calculator!$D$12:$D$22,SMALL(IF(Calculator!$E$12:$E$22="YES",ROW(Calculator!$D$12:$D$22)-ROW(Calculator!$D$12)+1),3),1),"")</f>
        <v>28.85</v>
      </c>
      <c r="D20" s="184" t="n">
        <f aca="false">IF(C20="","",IFERROR(ROUND(50*POWER(80,COS(PI()*MOD($C$5/INDEX(Calculator!$F$12:$F$22,MATCH(C20,Calculator!$D$12:$D$22,0)),1))^2),0),""))</f>
        <v>528</v>
      </c>
      <c r="E20" s="185" t="n">
        <f aca="false">IF(C20="","",IFERROR(ROUND(1500*SIN(2*PI()*MOD($C$5/INDEX(Calculator!$F$12:$F$22,MATCH(C20,Calculator!$D$12:$D$22,0)),1)),0),""))</f>
        <v>-1496</v>
      </c>
      <c r="F20" s="183" t="str">
        <f aca="false">IF(ROW()-17&lt;=$C$12,"YES","NO")</f>
        <v>YES</v>
      </c>
      <c r="G20" s="186"/>
      <c r="H20" s="75"/>
      <c r="I20" s="76"/>
      <c r="J20" s="1"/>
    </row>
    <row r="21" customFormat="false" ht="13.5" hidden="false" customHeight="false" outlineLevel="0" collapsed="false">
      <c r="A21" s="1"/>
      <c r="B21" s="183" t="n">
        <v>4</v>
      </c>
      <c r="C21" s="174" t="str">
        <f aca="false" t="array" ref="C21:C21">IFERROR(INDEX(Calculator!$D$12:$D$22,SMALL(IF(Calculator!$E$12:$E$22="YES",ROW(Calculator!$D$12:$D$22)-ROW(Calculator!$D$12)+1),4),1),"")</f>
        <v/>
      </c>
      <c r="D21" s="184" t="str">
        <f aca="false">IF(C21="","",IFERROR(ROUND(50*POWER(80,COS(PI()*MOD($C$5/INDEX(Calculator!$F$12:$F$22,MATCH(C21,Calculator!$D$12:$D$22,0)),1))^2),0),""))</f>
        <v/>
      </c>
      <c r="E21" s="185" t="str">
        <f aca="false">IF(C21="","",IFERROR(ROUND(1500*SIN(2*PI()*MOD($C$5/INDEX(Calculator!$F$12:$F$22,MATCH(C21,Calculator!$D$12:$D$22,0)),1)),0),""))</f>
        <v/>
      </c>
      <c r="F21" s="183" t="str">
        <f aca="false">IF(ROW()-17&lt;=$C$12,"YES","NO")</f>
        <v>NO</v>
      </c>
      <c r="G21" s="186"/>
      <c r="H21" s="75"/>
      <c r="I21" s="76"/>
      <c r="J21" s="1"/>
    </row>
    <row r="22" customFormat="false" ht="13.5" hidden="false" customHeight="false" outlineLevel="0" collapsed="false">
      <c r="A22" s="1"/>
      <c r="B22" s="183" t="n">
        <v>5</v>
      </c>
      <c r="C22" s="174" t="str">
        <f aca="false" t="array" ref="C22:C22">IFERROR(INDEX(Calculator!$D$12:$D$22,SMALL(IF(Calculator!$E$12:$E$22="YES",ROW(Calculator!$D$12:$D$22)-ROW(Calculator!$D$12)+1),5),1),"")</f>
        <v/>
      </c>
      <c r="D22" s="184" t="str">
        <f aca="false">IF(C22="","",IFERROR(ROUND(50*POWER(80,COS(PI()*MOD($C$5/INDEX(Calculator!$F$12:$F$22,MATCH(C22,Calculator!$D$12:$D$22,0)),1))^2),0),""))</f>
        <v/>
      </c>
      <c r="E22" s="185" t="str">
        <f aca="false">IF(C22="","",IFERROR(ROUND(1500*SIN(2*PI()*MOD($C$5/INDEX(Calculator!$F$12:$F$22,MATCH(C22,Calculator!$D$12:$D$22,0)),1)),0),""))</f>
        <v/>
      </c>
      <c r="F22" s="183" t="str">
        <f aca="false">IF(ROW()-17&lt;=$C$12,"YES","NO")</f>
        <v>NO</v>
      </c>
      <c r="G22" s="186"/>
      <c r="H22" s="75"/>
      <c r="I22" s="76"/>
      <c r="J22" s="1"/>
    </row>
    <row r="23" customFormat="false" ht="13.5" hidden="false" customHeight="false" outlineLevel="0" collapsed="false">
      <c r="A23" s="1"/>
      <c r="B23" s="183" t="n">
        <v>6</v>
      </c>
      <c r="C23" s="174" t="str">
        <f aca="false" t="array" ref="C23:C23">IFERROR(INDEX(Calculator!$D$12:$D$22,SMALL(IF(Calculator!$E$12:$E$22="YES",ROW(Calculator!$D$12:$D$22)-ROW(Calculator!$D$12)+1),6),1),"")</f>
        <v/>
      </c>
      <c r="D23" s="184" t="str">
        <f aca="false">IF(C23="","",IFERROR(ROUND(50*POWER(80,COS(PI()*MOD($C$5/INDEX(Calculator!$F$12:$F$22,MATCH(C23,Calculator!$D$12:$D$22,0)),1))^2),0),""))</f>
        <v/>
      </c>
      <c r="E23" s="185" t="str">
        <f aca="false">IF(C23="","",IFERROR(ROUND(1500*SIN(2*PI()*MOD($C$5/INDEX(Calculator!$F$12:$F$22,MATCH(C23,Calculator!$D$12:$D$22,0)),1)),0),""))</f>
        <v/>
      </c>
      <c r="F23" s="183" t="str">
        <f aca="false">IF(ROW()-17&lt;=$C$12,"YES","NO")</f>
        <v>NO</v>
      </c>
      <c r="G23" s="186"/>
      <c r="H23" s="75"/>
      <c r="I23" s="76"/>
      <c r="J23" s="1"/>
    </row>
    <row r="24" customFormat="false" ht="13.5" hidden="false" customHeight="false" outlineLevel="0" collapsed="false">
      <c r="A24" s="1"/>
      <c r="B24" s="183" t="n">
        <v>7</v>
      </c>
      <c r="C24" s="174" t="str">
        <f aca="false" t="array" ref="C24:C24">IFERROR(INDEX(Calculator!$D$12:$D$22,SMALL(IF(Calculator!$E$12:$E$22="YES",ROW(Calculator!$D$12:$D$22)-ROW(Calculator!$D$12)+1),7),1),"")</f>
        <v/>
      </c>
      <c r="D24" s="184" t="str">
        <f aca="false">IF(C24="","",IFERROR(ROUND(50*POWER(80,COS(PI()*MOD($C$5/INDEX(Calculator!$F$12:$F$22,MATCH(C24,Calculator!$D$12:$D$22,0)),1))^2),0),""))</f>
        <v/>
      </c>
      <c r="E24" s="185" t="str">
        <f aca="false">IF(C24="","",IFERROR(ROUND(1500*SIN(2*PI()*MOD($C$5/INDEX(Calculator!$F$12:$F$22,MATCH(C24,Calculator!$D$12:$D$22,0)),1)),0),""))</f>
        <v/>
      </c>
      <c r="F24" s="183" t="str">
        <f aca="false">IF(ROW()-17&lt;=$C$12,"YES","NO")</f>
        <v>NO</v>
      </c>
      <c r="G24" s="186"/>
      <c r="H24" s="75"/>
      <c r="I24" s="76"/>
      <c r="J24" s="1"/>
    </row>
    <row r="25" customFormat="false" ht="13.5" hidden="false" customHeight="false" outlineLevel="0" collapsed="false">
      <c r="A25" s="1"/>
      <c r="B25" s="183" t="n">
        <v>8</v>
      </c>
      <c r="C25" s="174" t="str">
        <f aca="false" t="array" ref="C25:C25">IFERROR(INDEX(Calculator!$D$12:$D$22,SMALL(IF(Calculator!$E$12:$E$22="YES",ROW(Calculator!$D$12:$D$22)-ROW(Calculator!$D$12)+1),8),1),"")</f>
        <v/>
      </c>
      <c r="D25" s="184" t="str">
        <f aca="false">IF(C25="","",IFERROR(ROUND(50*POWER(80,COS(PI()*MOD($C$5/INDEX(Calculator!$F$12:$F$22,MATCH(C25,Calculator!$D$12:$D$22,0)),1))^2),0),""))</f>
        <v/>
      </c>
      <c r="E25" s="185" t="str">
        <f aca="false">IF(C25="","",IFERROR(ROUND(1500*SIN(2*PI()*MOD($C$5/INDEX(Calculator!$F$12:$F$22,MATCH(C25,Calculator!$D$12:$D$22,0)),1)),0),""))</f>
        <v/>
      </c>
      <c r="F25" s="183" t="str">
        <f aca="false">IF(ROW()-17&lt;=$C$12,"YES","NO")</f>
        <v>NO</v>
      </c>
      <c r="G25" s="186"/>
      <c r="H25" s="75"/>
      <c r="I25" s="76"/>
      <c r="J25" s="1"/>
    </row>
    <row r="26" customFormat="false" ht="13.5" hidden="false" customHeight="false" outlineLevel="0" collapsed="false">
      <c r="A26" s="1"/>
      <c r="B26" s="183" t="n">
        <v>9</v>
      </c>
      <c r="C26" s="174" t="str">
        <f aca="false" t="array" ref="C26:C26">IFERROR(INDEX(Calculator!$D$12:$D$22,SMALL(IF(Calculator!$E$12:$E$22="YES",ROW(Calculator!$D$12:$D$22)-ROW(Calculator!$D$12)+1),9),1),"")</f>
        <v/>
      </c>
      <c r="D26" s="184" t="str">
        <f aca="false">IF(C26="","",IFERROR(ROUND(50*POWER(80,COS(PI()*MOD($C$5/INDEX(Calculator!$F$12:$F$22,MATCH(C26,Calculator!$D$12:$D$22,0)),1))^2),0),""))</f>
        <v/>
      </c>
      <c r="E26" s="185" t="str">
        <f aca="false">IF(C26="","",IFERROR(ROUND(1500*SIN(2*PI()*MOD($C$5/INDEX(Calculator!$F$12:$F$22,MATCH(C26,Calculator!$D$12:$D$22,0)),1)),0),""))</f>
        <v/>
      </c>
      <c r="F26" s="183" t="str">
        <f aca="false">IF(ROW()-17&lt;=$C$12,"YES","NO")</f>
        <v>NO</v>
      </c>
      <c r="G26" s="186"/>
      <c r="H26" s="75"/>
      <c r="I26" s="76"/>
      <c r="J26" s="1"/>
    </row>
    <row r="27" customFormat="false" ht="13.5" hidden="false" customHeight="false" outlineLevel="0" collapsed="false">
      <c r="A27" s="1"/>
      <c r="B27" s="183" t="n">
        <v>10</v>
      </c>
      <c r="C27" s="174" t="str">
        <f aca="false" t="array" ref="C27:C27">IFERROR(INDEX(Calculator!$D$12:$D$22,SMALL(IF(Calculator!$E$12:$E$22="YES",ROW(Calculator!$D$12:$D$22)-ROW(Calculator!$D$12)+1),10),1),"")</f>
        <v/>
      </c>
      <c r="D27" s="184" t="str">
        <f aca="false">IF(C27="","",IFERROR(ROUND(50*POWER(80,COS(PI()*MOD($C$5/INDEX(Calculator!$F$12:$F$22,MATCH(C27,Calculator!$D$12:$D$22,0)),1))^2),0),""))</f>
        <v/>
      </c>
      <c r="E27" s="185" t="str">
        <f aca="false">IF(C27="","",IFERROR(ROUND(1500*SIN(2*PI()*MOD($C$5/INDEX(Calculator!$F$12:$F$22,MATCH(C27,Calculator!$D$12:$D$22,0)),1)),0),""))</f>
        <v/>
      </c>
      <c r="F27" s="183" t="str">
        <f aca="false">IF(ROW()-17&lt;=$C$12,"YES","NO")</f>
        <v>NO</v>
      </c>
      <c r="G27" s="186"/>
      <c r="H27" s="75"/>
      <c r="I27" s="76"/>
      <c r="J27" s="1"/>
    </row>
    <row r="28" customFormat="false" ht="13.5" hidden="false" customHeight="false" outlineLevel="0" collapsed="false">
      <c r="A28" s="1"/>
      <c r="B28" s="183" t="n">
        <v>11</v>
      </c>
      <c r="C28" s="174" t="str">
        <f aca="false" t="array" ref="C28:C28">IFERROR(INDEX(Calculator!$D$12:$D$22,SMALL(IF(Calculator!$E$12:$E$22="YES",ROW(Calculator!$D$12:$D$22)-ROW(Calculator!$D$12)+1),11),1),"")</f>
        <v/>
      </c>
      <c r="D28" s="184" t="str">
        <f aca="false">IF(C28="","",IFERROR(ROUND(50*POWER(80,COS(PI()*MOD($C$5/INDEX(Calculator!$F$12:$F$22,MATCH(C28,Calculator!$D$12:$D$22,0)),1))^2),0),""))</f>
        <v/>
      </c>
      <c r="E28" s="185" t="str">
        <f aca="false">IF(C28="","",IFERROR(ROUND(1500*SIN(2*PI()*MOD($C$5/INDEX(Calculator!$F$12:$F$22,MATCH(C28,Calculator!$D$12:$D$22,0)),1)),0),""))</f>
        <v/>
      </c>
      <c r="F28" s="183" t="str">
        <f aca="false">IF(ROW()-17&lt;=$C$12,"YES","NO")</f>
        <v>NO</v>
      </c>
      <c r="G28" s="186"/>
      <c r="H28" s="75"/>
      <c r="I28" s="76"/>
      <c r="J28" s="1"/>
    </row>
    <row r="29" customFormat="false" ht="12.75" hidden="false" customHeight="false" outlineLevel="0" collapsed="false">
      <c r="A29" s="1"/>
      <c r="B29" s="1"/>
      <c r="C29" s="1"/>
      <c r="D29" s="1"/>
      <c r="E29" s="1"/>
      <c r="F29" s="1"/>
      <c r="G29" s="1"/>
      <c r="H29" s="1"/>
      <c r="I29" s="1"/>
      <c r="J29" s="1"/>
    </row>
    <row r="30" customFormat="false" ht="13.8" hidden="false" customHeight="true" outlineLevel="0" collapsed="false">
      <c r="A30" s="1"/>
      <c r="B30" s="169" t="s">
        <v>256</v>
      </c>
      <c r="C30" s="169"/>
      <c r="D30" s="169"/>
      <c r="E30" s="182"/>
      <c r="F30" s="182"/>
      <c r="G30" s="182"/>
      <c r="H30" s="182"/>
      <c r="I30" s="182"/>
      <c r="J30" s="182"/>
    </row>
    <row r="31" customFormat="false" ht="26.1" hidden="false" customHeight="true" outlineLevel="0" collapsed="false">
      <c r="A31" s="1"/>
      <c r="B31" s="187" t="s">
        <v>257</v>
      </c>
      <c r="C31" s="187"/>
      <c r="D31" s="187"/>
      <c r="E31" s="182"/>
      <c r="F31" s="182"/>
      <c r="G31" s="182"/>
      <c r="H31" s="182"/>
      <c r="I31" s="182"/>
      <c r="J31" s="182"/>
    </row>
    <row r="32" customFormat="false" ht="12.75" hidden="false" customHeight="false" outlineLevel="0" collapsed="false">
      <c r="A32" s="1"/>
      <c r="B32" s="1"/>
      <c r="C32" s="1"/>
      <c r="D32" s="1"/>
      <c r="E32" s="1"/>
      <c r="F32" s="1"/>
      <c r="G32" s="1"/>
      <c r="H32" s="1"/>
      <c r="I32" s="1"/>
      <c r="J32" s="1"/>
    </row>
    <row r="33" customFormat="false" ht="13.8" hidden="false" customHeight="true" outlineLevel="0" collapsed="false">
      <c r="A33" s="1"/>
      <c r="B33" s="171" t="s">
        <v>258</v>
      </c>
      <c r="C33" s="171"/>
      <c r="D33" s="171"/>
      <c r="E33" s="1"/>
      <c r="F33" s="1"/>
      <c r="G33" s="1"/>
      <c r="H33" s="1"/>
      <c r="I33" s="1"/>
      <c r="J33" s="1"/>
    </row>
    <row r="34" customFormat="false" ht="13.8" hidden="false" customHeight="false" outlineLevel="0" collapsed="false">
      <c r="A34" s="1"/>
      <c r="B34" s="173" t="s">
        <v>259</v>
      </c>
      <c r="C34" s="178" t="n">
        <f aca="false">C9</f>
        <v>50</v>
      </c>
      <c r="D34" s="188" t="s">
        <v>176</v>
      </c>
      <c r="E34" s="1"/>
      <c r="F34" s="1"/>
      <c r="G34" s="1"/>
      <c r="H34" s="1"/>
      <c r="I34" s="1"/>
      <c r="J34" s="1"/>
    </row>
    <row r="35" customFormat="false" ht="13.8" hidden="false" customHeight="false" outlineLevel="0" collapsed="false">
      <c r="A35" s="1"/>
      <c r="B35" s="173" t="s">
        <v>260</v>
      </c>
      <c r="C35" s="178" t="n">
        <f aca="false">C10</f>
        <v>1</v>
      </c>
      <c r="D35" s="188" t="s">
        <v>122</v>
      </c>
      <c r="E35" s="1"/>
      <c r="F35" s="1"/>
      <c r="G35" s="1"/>
      <c r="H35" s="1"/>
      <c r="I35" s="1"/>
      <c r="J35" s="1"/>
    </row>
    <row r="36" customFormat="false" ht="13.8" hidden="false" customHeight="false" outlineLevel="0" collapsed="false">
      <c r="A36" s="1"/>
      <c r="B36" s="173" t="s">
        <v>261</v>
      </c>
      <c r="C36" s="178" t="n">
        <f aca="false">C13</f>
        <v>75</v>
      </c>
      <c r="D36" s="188" t="s">
        <v>262</v>
      </c>
      <c r="E36" s="1"/>
      <c r="F36" s="1"/>
      <c r="G36" s="1"/>
      <c r="H36" s="1"/>
      <c r="I36" s="1"/>
      <c r="J36" s="1"/>
    </row>
    <row r="37" customFormat="false" ht="13.8" hidden="false" customHeight="false" outlineLevel="0" collapsed="false">
      <c r="A37" s="1"/>
      <c r="B37" s="173" t="s">
        <v>263</v>
      </c>
      <c r="C37" s="178" t="n">
        <f aca="false">C12</f>
        <v>3</v>
      </c>
      <c r="D37" s="188" t="s">
        <v>246</v>
      </c>
      <c r="E37" s="1"/>
      <c r="F37" s="1"/>
      <c r="G37" s="1"/>
      <c r="H37" s="1"/>
      <c r="I37" s="1"/>
      <c r="J37" s="1"/>
    </row>
    <row r="38" customFormat="false" ht="13.8" hidden="false" customHeight="false" outlineLevel="0" collapsed="false">
      <c r="A38" s="1"/>
      <c r="B38" s="173" t="s">
        <v>264</v>
      </c>
      <c r="C38" s="189" t="n">
        <f aca="false">I73</f>
        <v>22537.7856968532</v>
      </c>
      <c r="D38" s="188" t="s">
        <v>122</v>
      </c>
      <c r="E38" s="1"/>
      <c r="F38" s="1"/>
      <c r="G38" s="1"/>
      <c r="H38" s="1"/>
      <c r="I38" s="1"/>
      <c r="J38" s="1"/>
    </row>
    <row r="39" customFormat="false" ht="13.8" hidden="false" customHeight="false" outlineLevel="0" collapsed="false">
      <c r="A39" s="1"/>
      <c r="B39" s="173" t="s">
        <v>265</v>
      </c>
      <c r="C39" s="190" t="n">
        <f aca="false">IFERROR(C117,"—")</f>
        <v>117.90011280011</v>
      </c>
      <c r="D39" s="188" t="s">
        <v>158</v>
      </c>
      <c r="E39" s="1"/>
      <c r="F39" s="1"/>
      <c r="G39" s="1"/>
      <c r="H39" s="1"/>
      <c r="I39" s="1"/>
      <c r="J39" s="1"/>
    </row>
    <row r="40" customFormat="false" ht="26.1" hidden="false" customHeight="false" outlineLevel="0" collapsed="false">
      <c r="A40" s="1"/>
      <c r="B40" s="173" t="s">
        <v>266</v>
      </c>
      <c r="C40" s="178" t="str">
        <f aca="false">IFERROR(C120,"—")</f>
        <v>✘ INCREASE TURNS</v>
      </c>
      <c r="D40" s="188"/>
      <c r="E40" s="1"/>
      <c r="F40" s="1"/>
      <c r="G40" s="1"/>
      <c r="H40" s="1"/>
      <c r="I40" s="1"/>
      <c r="J40" s="1"/>
    </row>
    <row r="41" customFormat="false" ht="12.75" hidden="false" customHeight="false" outlineLevel="0" collapsed="false">
      <c r="A41" s="1"/>
      <c r="B41" s="1"/>
      <c r="C41" s="1"/>
      <c r="D41" s="1"/>
      <c r="E41" s="1"/>
      <c r="F41" s="1"/>
      <c r="G41" s="1"/>
      <c r="H41" s="1"/>
      <c r="I41" s="1"/>
      <c r="J41" s="1"/>
    </row>
    <row r="42" customFormat="false" ht="13.5" hidden="false" customHeight="true" outlineLevel="0" collapsed="false">
      <c r="A42" s="1"/>
      <c r="B42" s="171" t="s">
        <v>267</v>
      </c>
      <c r="C42" s="171"/>
      <c r="D42" s="171"/>
      <c r="E42" s="171"/>
      <c r="F42" s="171"/>
      <c r="G42" s="171"/>
      <c r="H42" s="171"/>
      <c r="I42" s="171"/>
      <c r="J42" s="171"/>
    </row>
    <row r="43" customFormat="false" ht="26.1" hidden="false" customHeight="false" outlineLevel="0" collapsed="false">
      <c r="A43" s="1"/>
      <c r="B43" s="172" t="s">
        <v>252</v>
      </c>
      <c r="C43" s="172" t="s">
        <v>268</v>
      </c>
      <c r="D43" s="172" t="s">
        <v>269</v>
      </c>
      <c r="E43" s="172" t="s">
        <v>270</v>
      </c>
      <c r="F43" s="172" t="s">
        <v>271</v>
      </c>
      <c r="G43" s="172" t="s">
        <v>272</v>
      </c>
      <c r="H43" s="172" t="s">
        <v>273</v>
      </c>
      <c r="I43" s="172" t="s">
        <v>274</v>
      </c>
      <c r="J43" s="172" t="s">
        <v>275</v>
      </c>
    </row>
    <row r="44" customFormat="false" ht="13.5" hidden="false" customHeight="false" outlineLevel="0" collapsed="false">
      <c r="A44" s="1"/>
      <c r="B44" s="191" t="n">
        <v>1</v>
      </c>
      <c r="C44" s="178" t="n">
        <f aca="false">C18</f>
        <v>7.15</v>
      </c>
      <c r="D44" s="192" t="n">
        <f aca="false">D80</f>
        <v>1350.36624661608</v>
      </c>
      <c r="E44" s="193" t="n">
        <f aca="false">E80</f>
        <v>-82.896034731078</v>
      </c>
      <c r="F44" s="194" t="n">
        <f aca="false">D61</f>
        <v>5.19685721684958</v>
      </c>
      <c r="G44" s="179" t="n">
        <f aca="false">E61</f>
        <v>390</v>
      </c>
      <c r="H44" s="195" t="n">
        <f aca="false">F80</f>
        <v>16.1099775246472</v>
      </c>
      <c r="I44" s="196" t="n">
        <f aca="false">G80</f>
        <v>1.07971241425015</v>
      </c>
      <c r="J44" s="195" t="n">
        <f aca="false">I80</f>
        <v>77.9881751854661</v>
      </c>
    </row>
    <row r="45" customFormat="false" ht="13.5" hidden="false" customHeight="false" outlineLevel="0" collapsed="false">
      <c r="A45" s="1"/>
      <c r="B45" s="191" t="n">
        <v>2</v>
      </c>
      <c r="C45" s="178" t="n">
        <f aca="false">C19</f>
        <v>14.175</v>
      </c>
      <c r="D45" s="192" t="n">
        <f aca="false">D81</f>
        <v>1357.810737916</v>
      </c>
      <c r="E45" s="193" t="n">
        <f aca="false">E81</f>
        <v>82.7650713560551</v>
      </c>
      <c r="F45" s="194" t="n">
        <f aca="false">D62</f>
        <v>5.21116251505555</v>
      </c>
      <c r="G45" s="179" t="n">
        <f aca="false">E62</f>
        <v>391</v>
      </c>
      <c r="H45" s="195" t="n">
        <f aca="false">F81</f>
        <v>15.8176066544796</v>
      </c>
      <c r="I45" s="196" t="n">
        <f aca="false">G81</f>
        <v>1.0997225738223</v>
      </c>
      <c r="J45" s="195" t="n">
        <f aca="false">I81</f>
        <v>77.6296704675036</v>
      </c>
    </row>
    <row r="46" customFormat="false" ht="13.5" hidden="false" customHeight="false" outlineLevel="0" collapsed="false">
      <c r="A46" s="1"/>
      <c r="B46" s="191" t="n">
        <v>3</v>
      </c>
      <c r="C46" s="178" t="n">
        <f aca="false">C20</f>
        <v>28.85</v>
      </c>
      <c r="D46" s="192" t="n">
        <f aca="false">D82</f>
        <v>1586.44256120416</v>
      </c>
      <c r="E46" s="193" t="n">
        <f aca="false">E82</f>
        <v>-70.5599651718238</v>
      </c>
      <c r="F46" s="194" t="n">
        <f aca="false">D63</f>
        <v>5.6328368717799</v>
      </c>
      <c r="G46" s="179" t="n">
        <f aca="false">E63</f>
        <v>422</v>
      </c>
      <c r="H46" s="195" t="n">
        <f aca="false">F82</f>
        <v>5.83795939621999</v>
      </c>
      <c r="I46" s="196" t="n">
        <f aca="false">G82</f>
        <v>3.00528597025151</v>
      </c>
      <c r="J46" s="195" t="n">
        <f aca="false">I82</f>
        <v>50.0577589869068</v>
      </c>
    </row>
    <row r="47" customFormat="false" ht="13.5" hidden="false" customHeight="false" outlineLevel="0" collapsed="false">
      <c r="A47" s="1"/>
      <c r="B47" s="191" t="n">
        <v>4</v>
      </c>
      <c r="C47" s="178" t="str">
        <f aca="false">C21</f>
        <v/>
      </c>
      <c r="D47" s="192" t="str">
        <f aca="false">D83</f>
        <v/>
      </c>
      <c r="E47" s="193" t="str">
        <f aca="false">E83</f>
        <v/>
      </c>
      <c r="F47" s="194" t="str">
        <f aca="false">D64</f>
        <v/>
      </c>
      <c r="G47" s="179" t="str">
        <f aca="false">E64</f>
        <v/>
      </c>
      <c r="H47" s="195" t="str">
        <f aca="false">F83</f>
        <v/>
      </c>
      <c r="I47" s="196" t="str">
        <f aca="false">G83</f>
        <v/>
      </c>
      <c r="J47" s="195" t="str">
        <f aca="false">I83</f>
        <v/>
      </c>
    </row>
    <row r="48" customFormat="false" ht="13.5" hidden="false" customHeight="false" outlineLevel="0" collapsed="false">
      <c r="A48" s="1"/>
      <c r="B48" s="191" t="n">
        <v>5</v>
      </c>
      <c r="C48" s="178" t="str">
        <f aca="false">C22</f>
        <v/>
      </c>
      <c r="D48" s="178" t="str">
        <f aca="false">D84</f>
        <v/>
      </c>
      <c r="E48" s="178" t="str">
        <f aca="false">E84</f>
        <v/>
      </c>
      <c r="F48" s="178" t="str">
        <f aca="false">D65</f>
        <v/>
      </c>
      <c r="G48" s="178" t="str">
        <f aca="false">E65</f>
        <v/>
      </c>
      <c r="H48" s="178" t="str">
        <f aca="false">F84</f>
        <v/>
      </c>
      <c r="I48" s="178" t="str">
        <f aca="false">G84</f>
        <v/>
      </c>
      <c r="J48" s="178" t="str">
        <f aca="false">I84</f>
        <v/>
      </c>
    </row>
    <row r="49" customFormat="false" ht="13.5" hidden="false" customHeight="false" outlineLevel="0" collapsed="false">
      <c r="A49" s="1"/>
      <c r="B49" s="191" t="n">
        <v>6</v>
      </c>
      <c r="C49" s="178" t="str">
        <f aca="false">C23</f>
        <v/>
      </c>
      <c r="D49" s="178" t="str">
        <f aca="false">D85</f>
        <v/>
      </c>
      <c r="E49" s="178" t="str">
        <f aca="false">E85</f>
        <v/>
      </c>
      <c r="F49" s="178" t="str">
        <f aca="false">D66</f>
        <v/>
      </c>
      <c r="G49" s="178" t="str">
        <f aca="false">E66</f>
        <v/>
      </c>
      <c r="H49" s="178" t="str">
        <f aca="false">F85</f>
        <v/>
      </c>
      <c r="I49" s="178" t="str">
        <f aca="false">G85</f>
        <v/>
      </c>
      <c r="J49" s="178" t="str">
        <f aca="false">I85</f>
        <v/>
      </c>
    </row>
    <row r="50" customFormat="false" ht="13.5" hidden="false" customHeight="false" outlineLevel="0" collapsed="false">
      <c r="A50" s="1"/>
      <c r="B50" s="191" t="n">
        <v>7</v>
      </c>
      <c r="C50" s="178" t="str">
        <f aca="false">C24</f>
        <v/>
      </c>
      <c r="D50" s="178" t="str">
        <f aca="false">D86</f>
        <v/>
      </c>
      <c r="E50" s="178" t="str">
        <f aca="false">E86</f>
        <v/>
      </c>
      <c r="F50" s="178" t="str">
        <f aca="false">D67</f>
        <v/>
      </c>
      <c r="G50" s="178" t="str">
        <f aca="false">E67</f>
        <v/>
      </c>
      <c r="H50" s="178" t="str">
        <f aca="false">F86</f>
        <v/>
      </c>
      <c r="I50" s="178" t="str">
        <f aca="false">G86</f>
        <v/>
      </c>
      <c r="J50" s="178" t="str">
        <f aca="false">I86</f>
        <v/>
      </c>
    </row>
    <row r="51" customFormat="false" ht="13.5" hidden="false" customHeight="false" outlineLevel="0" collapsed="false">
      <c r="A51" s="1"/>
      <c r="B51" s="191" t="n">
        <v>8</v>
      </c>
      <c r="C51" s="178" t="str">
        <f aca="false">C25</f>
        <v/>
      </c>
      <c r="D51" s="178" t="str">
        <f aca="false">D87</f>
        <v/>
      </c>
      <c r="E51" s="178" t="str">
        <f aca="false">E87</f>
        <v/>
      </c>
      <c r="F51" s="178" t="str">
        <f aca="false">D68</f>
        <v/>
      </c>
      <c r="G51" s="178" t="str">
        <f aca="false">E68</f>
        <v/>
      </c>
      <c r="H51" s="178" t="str">
        <f aca="false">F87</f>
        <v/>
      </c>
      <c r="I51" s="178" t="str">
        <f aca="false">G87</f>
        <v/>
      </c>
      <c r="J51" s="178" t="str">
        <f aca="false">I87</f>
        <v/>
      </c>
    </row>
    <row r="52" customFormat="false" ht="13.5" hidden="false" customHeight="false" outlineLevel="0" collapsed="false">
      <c r="A52" s="1"/>
      <c r="B52" s="191" t="n">
        <v>9</v>
      </c>
      <c r="C52" s="178" t="str">
        <f aca="false">C26</f>
        <v/>
      </c>
      <c r="D52" s="178" t="str">
        <f aca="false">D88</f>
        <v/>
      </c>
      <c r="E52" s="178" t="str">
        <f aca="false">E88</f>
        <v/>
      </c>
      <c r="F52" s="178" t="str">
        <f aca="false">D69</f>
        <v/>
      </c>
      <c r="G52" s="178" t="str">
        <f aca="false">E69</f>
        <v/>
      </c>
      <c r="H52" s="178" t="str">
        <f aca="false">F88</f>
        <v/>
      </c>
      <c r="I52" s="178" t="str">
        <f aca="false">G88</f>
        <v/>
      </c>
      <c r="J52" s="178" t="str">
        <f aca="false">I88</f>
        <v/>
      </c>
    </row>
    <row r="53" customFormat="false" ht="13.5" hidden="false" customHeight="false" outlineLevel="0" collapsed="false">
      <c r="A53" s="1"/>
      <c r="B53" s="191" t="n">
        <v>10</v>
      </c>
      <c r="C53" s="178" t="str">
        <f aca="false">C27</f>
        <v/>
      </c>
      <c r="D53" s="178" t="str">
        <f aca="false">D89</f>
        <v/>
      </c>
      <c r="E53" s="178" t="str">
        <f aca="false">E89</f>
        <v/>
      </c>
      <c r="F53" s="178" t="str">
        <f aca="false">D70</f>
        <v/>
      </c>
      <c r="G53" s="178" t="str">
        <f aca="false">E70</f>
        <v/>
      </c>
      <c r="H53" s="178" t="str">
        <f aca="false">F89</f>
        <v/>
      </c>
      <c r="I53" s="178" t="str">
        <f aca="false">G89</f>
        <v/>
      </c>
      <c r="J53" s="178" t="str">
        <f aca="false">I89</f>
        <v/>
      </c>
    </row>
    <row r="54" customFormat="false" ht="13.5" hidden="false" customHeight="false" outlineLevel="0" collapsed="false">
      <c r="A54" s="1"/>
      <c r="B54" s="191" t="n">
        <v>11</v>
      </c>
      <c r="C54" s="178" t="str">
        <f aca="false">C28</f>
        <v/>
      </c>
      <c r="D54" s="178" t="str">
        <f aca="false">D90</f>
        <v/>
      </c>
      <c r="E54" s="178" t="str">
        <f aca="false">E90</f>
        <v/>
      </c>
      <c r="F54" s="178" t="str">
        <f aca="false">D71</f>
        <v/>
      </c>
      <c r="G54" s="178" t="str">
        <f aca="false">E71</f>
        <v/>
      </c>
      <c r="H54" s="178" t="str">
        <f aca="false">F90</f>
        <v/>
      </c>
      <c r="I54" s="178" t="str">
        <f aca="false">G90</f>
        <v/>
      </c>
      <c r="J54" s="178" t="str">
        <f aca="false">I90</f>
        <v/>
      </c>
    </row>
    <row r="55" customFormat="false" ht="12.75" hidden="false" customHeight="false" outlineLevel="0" collapsed="false">
      <c r="A55" s="1"/>
      <c r="B55" s="1"/>
      <c r="C55" s="1"/>
      <c r="D55" s="1"/>
      <c r="E55" s="1"/>
      <c r="F55" s="1"/>
      <c r="G55" s="1"/>
      <c r="H55" s="1"/>
      <c r="I55" s="1"/>
      <c r="J55" s="1"/>
    </row>
    <row r="56" customFormat="false" ht="13.5" hidden="false" customHeight="true" outlineLevel="0" collapsed="false">
      <c r="A56" s="1"/>
      <c r="B56" s="169" t="s">
        <v>276</v>
      </c>
      <c r="C56" s="169"/>
      <c r="D56" s="169"/>
      <c r="E56" s="169"/>
      <c r="F56" s="169"/>
      <c r="G56" s="169"/>
      <c r="H56" s="169"/>
      <c r="I56" s="169"/>
      <c r="J56" s="182"/>
    </row>
    <row r="57" customFormat="false" ht="13.5" hidden="false" customHeight="true" outlineLevel="0" collapsed="false">
      <c r="A57" s="1"/>
      <c r="B57" s="187" t="s">
        <v>277</v>
      </c>
      <c r="C57" s="187"/>
      <c r="D57" s="187"/>
      <c r="E57" s="187"/>
      <c r="F57" s="187"/>
      <c r="G57" s="187"/>
      <c r="H57" s="187"/>
      <c r="I57" s="187"/>
      <c r="J57" s="182"/>
    </row>
    <row r="58" customFormat="false" ht="12.75" hidden="false" customHeight="false" outlineLevel="0" collapsed="false">
      <c r="A58" s="1"/>
      <c r="B58" s="1"/>
      <c r="C58" s="1"/>
      <c r="D58" s="1"/>
      <c r="E58" s="1"/>
      <c r="F58" s="1"/>
      <c r="G58" s="1"/>
      <c r="H58" s="1"/>
      <c r="I58" s="1"/>
      <c r="J58" s="1"/>
    </row>
    <row r="59" customFormat="false" ht="13.5" hidden="false" customHeight="true" outlineLevel="0" collapsed="false">
      <c r="A59" s="1"/>
      <c r="B59" s="171" t="s">
        <v>278</v>
      </c>
      <c r="C59" s="171"/>
      <c r="D59" s="171"/>
      <c r="E59" s="171"/>
      <c r="F59" s="171"/>
      <c r="G59" s="171"/>
      <c r="H59" s="171"/>
      <c r="I59" s="171"/>
      <c r="J59" s="182"/>
    </row>
    <row r="60" customFormat="false" ht="50.7" hidden="false" customHeight="false" outlineLevel="0" collapsed="false">
      <c r="A60" s="1"/>
      <c r="B60" s="172" t="s">
        <v>252</v>
      </c>
      <c r="C60" s="172" t="s">
        <v>268</v>
      </c>
      <c r="D60" s="172" t="s">
        <v>279</v>
      </c>
      <c r="E60" s="172" t="s">
        <v>280</v>
      </c>
      <c r="F60" s="172" t="s">
        <v>281</v>
      </c>
      <c r="G60" s="172" t="s">
        <v>282</v>
      </c>
      <c r="H60" s="172" t="s">
        <v>283</v>
      </c>
      <c r="I60" s="172" t="s">
        <v>284</v>
      </c>
      <c r="J60" s="182"/>
    </row>
    <row r="61" customFormat="false" ht="13.5" hidden="false" customHeight="false" outlineLevel="0" collapsed="false">
      <c r="A61" s="1"/>
      <c r="B61" s="178" t="n">
        <v>1</v>
      </c>
      <c r="C61" s="178" t="n">
        <f aca="false">C18</f>
        <v>7.15</v>
      </c>
      <c r="D61" s="194" t="n">
        <f aca="false">IF(D80&lt;&gt;"",SQRT(D80/MAX($C$9,0.000000001)),"")</f>
        <v>5.19685721684958</v>
      </c>
      <c r="E61" s="179" t="n">
        <f aca="false">IF(D61&lt;&gt;"",MAX(1,ROUND(C13*D61,0)),"")</f>
        <v>390</v>
      </c>
      <c r="F61" s="179" t="n">
        <f aca="false">IF(E61&lt;&gt;"",E61,"")</f>
        <v>390</v>
      </c>
      <c r="G61" s="189" t="n">
        <f aca="false">IF(F61&lt;&gt;"",F61*PI()*($C$11+$C$10),"")</f>
        <v>20828.7592933003</v>
      </c>
      <c r="H61" s="192" t="n">
        <f aca="false">IF(G61&lt;&gt;"",G61*4*0.00000001724*1000000/(PI()*$C$10^2),"")</f>
        <v>457.2048</v>
      </c>
      <c r="I61" s="189" t="n">
        <f aca="false">IF(G61&lt;&gt;"",G61,"")</f>
        <v>20828.7592933003</v>
      </c>
      <c r="J61" s="75"/>
    </row>
    <row r="62" customFormat="false" ht="13.5" hidden="false" customHeight="false" outlineLevel="0" collapsed="false">
      <c r="A62" s="1"/>
      <c r="B62" s="178" t="n">
        <v>2</v>
      </c>
      <c r="C62" s="178" t="n">
        <f aca="false">C19</f>
        <v>14.175</v>
      </c>
      <c r="D62" s="194" t="n">
        <f aca="false">IF(D81&lt;&gt;"",SQRT(D81/MAX($C$9,0.000000001)),"")</f>
        <v>5.21116251505555</v>
      </c>
      <c r="E62" s="179" t="n">
        <f aca="false">IF(D62&lt;&gt;"",MAX(1,ROUND(C13*D62,0)),"")</f>
        <v>391</v>
      </c>
      <c r="F62" s="179" t="n">
        <f aca="false">IF(AND(E62&lt;&gt;"",E61&lt;&gt;""),E62-E61,IF(E62&lt;&gt;"",E62,""))</f>
        <v>1</v>
      </c>
      <c r="G62" s="189" t="n">
        <f aca="false">IF(F62&lt;&gt;"",F62*PI()*($C$11+$C$10),"")</f>
        <v>53.4070751110265</v>
      </c>
      <c r="H62" s="192" t="n">
        <f aca="false">IF(G62&lt;&gt;"",G62*4*0.00000001724*1000000/(PI()*$C$10^2),"")</f>
        <v>1.17232</v>
      </c>
      <c r="I62" s="189" t="n">
        <f aca="false">IF(G62&lt;&gt;"",SUM(G61:G62),"")</f>
        <v>20882.1663684114</v>
      </c>
      <c r="J62" s="75"/>
    </row>
    <row r="63" customFormat="false" ht="13.5" hidden="false" customHeight="false" outlineLevel="0" collapsed="false">
      <c r="A63" s="1"/>
      <c r="B63" s="178" t="n">
        <v>3</v>
      </c>
      <c r="C63" s="178" t="n">
        <f aca="false">C20</f>
        <v>28.85</v>
      </c>
      <c r="D63" s="194" t="n">
        <f aca="false">IF(D82&lt;&gt;"",SQRT(D82/MAX($C$9,0.000000001)),"")</f>
        <v>5.6328368717799</v>
      </c>
      <c r="E63" s="179" t="n">
        <f aca="false">IF(D63&lt;&gt;"",MAX(1,ROUND(C13*D63,0)),"")</f>
        <v>422</v>
      </c>
      <c r="F63" s="179" t="n">
        <f aca="false">IF(AND(E63&lt;&gt;"",E62&lt;&gt;""),E63-E62,IF(E63&lt;&gt;"",E63,""))</f>
        <v>31</v>
      </c>
      <c r="G63" s="189" t="n">
        <f aca="false">IF(F63&lt;&gt;"",F63*PI()*($C$11+$C$10),"")</f>
        <v>1655.61932844182</v>
      </c>
      <c r="H63" s="192" t="n">
        <f aca="false">IF(G63&lt;&gt;"",G63*4*0.00000001724*1000000/(PI()*$C$10^2),"")</f>
        <v>36.34192</v>
      </c>
      <c r="I63" s="189" t="n">
        <f aca="false">IF(G63&lt;&gt;"",SUM(G61:G63),"")</f>
        <v>22537.7856968532</v>
      </c>
      <c r="J63" s="75"/>
    </row>
    <row r="64" customFormat="false" ht="13.5" hidden="false" customHeight="false" outlineLevel="0" collapsed="false">
      <c r="A64" s="1"/>
      <c r="B64" s="178" t="n">
        <v>4</v>
      </c>
      <c r="C64" s="178" t="str">
        <f aca="false">C21</f>
        <v/>
      </c>
      <c r="D64" s="194" t="str">
        <f aca="false">IF(D83&lt;&gt;"",SQRT(D83/MAX($C$9,0.000000001)),"")</f>
        <v/>
      </c>
      <c r="E64" s="179" t="str">
        <f aca="false">IF(D64&lt;&gt;"",MAX(1,ROUND(C13*D64,0)),"")</f>
        <v/>
      </c>
      <c r="F64" s="179" t="str">
        <f aca="false">IF(AND(E64&lt;&gt;"",E63&lt;&gt;""),E64-E63,IF(E64&lt;&gt;"",E64,""))</f>
        <v/>
      </c>
      <c r="G64" s="189" t="str">
        <f aca="false">IF(F64&lt;&gt;"",F64*PI()*($C$11+$C$10),"")</f>
        <v/>
      </c>
      <c r="H64" s="192" t="str">
        <f aca="false">IF(G64&lt;&gt;"",G64*4*0.00000001724*1000000/(PI()*$C$10^2),"")</f>
        <v/>
      </c>
      <c r="I64" s="189" t="str">
        <f aca="false">IF(G64&lt;&gt;"",SUM(G61:G64),"")</f>
        <v/>
      </c>
      <c r="J64" s="75"/>
    </row>
    <row r="65" customFormat="false" ht="13.5" hidden="false" customHeight="false" outlineLevel="0" collapsed="false">
      <c r="A65" s="1"/>
      <c r="B65" s="178" t="n">
        <v>5</v>
      </c>
      <c r="C65" s="178" t="str">
        <f aca="false">C22</f>
        <v/>
      </c>
      <c r="D65" s="194" t="str">
        <f aca="false">IF(D84&lt;&gt;"",SQRT(D84/MAX($C$9,0.000000001)),"")</f>
        <v/>
      </c>
      <c r="E65" s="179" t="str">
        <f aca="false">IF(D65&lt;&gt;"",MAX(1,ROUND(C13*D65,0)),"")</f>
        <v/>
      </c>
      <c r="F65" s="179" t="str">
        <f aca="false">IF(AND(E65&lt;&gt;"",E64&lt;&gt;""),E65-E64,IF(E65&lt;&gt;"",E65,""))</f>
        <v/>
      </c>
      <c r="G65" s="189" t="str">
        <f aca="false">IF(F65&lt;&gt;"",F65*PI()*($C$11+$C$10),"")</f>
        <v/>
      </c>
      <c r="H65" s="192" t="str">
        <f aca="false">IF(G65&lt;&gt;"",G65*4*0.00000001724*1000000/(PI()*$C$10^2),"")</f>
        <v/>
      </c>
      <c r="I65" s="189" t="str">
        <f aca="false">IF(G65&lt;&gt;"",SUM(G61:G65),"")</f>
        <v/>
      </c>
      <c r="J65" s="75"/>
    </row>
    <row r="66" customFormat="false" ht="13.5" hidden="false" customHeight="false" outlineLevel="0" collapsed="false">
      <c r="A66" s="1"/>
      <c r="B66" s="178" t="n">
        <v>6</v>
      </c>
      <c r="C66" s="178" t="str">
        <f aca="false">C23</f>
        <v/>
      </c>
      <c r="D66" s="194" t="str">
        <f aca="false">IF(D85&lt;&gt;"",SQRT(D85/MAX($C$9,0.000000001)),"")</f>
        <v/>
      </c>
      <c r="E66" s="179" t="str">
        <f aca="false">IF(D66&lt;&gt;"",MAX(1,ROUND(C13*D66,0)),"")</f>
        <v/>
      </c>
      <c r="F66" s="179" t="str">
        <f aca="false">IF(AND(E66&lt;&gt;"",E65&lt;&gt;""),E66-E65,IF(E66&lt;&gt;"",E66,""))</f>
        <v/>
      </c>
      <c r="G66" s="189" t="str">
        <f aca="false">IF(F66&lt;&gt;"",F66*PI()*($C$11+$C$10),"")</f>
        <v/>
      </c>
      <c r="H66" s="192" t="str">
        <f aca="false">IF(G66&lt;&gt;"",G66*4*0.00000001724*1000000/(PI()*$C$10^2),"")</f>
        <v/>
      </c>
      <c r="I66" s="189" t="str">
        <f aca="false">IF(G66&lt;&gt;"",SUM(G61:G66),"")</f>
        <v/>
      </c>
      <c r="J66" s="75"/>
    </row>
    <row r="67" customFormat="false" ht="13.5" hidden="false" customHeight="false" outlineLevel="0" collapsed="false">
      <c r="A67" s="1"/>
      <c r="B67" s="178" t="n">
        <v>7</v>
      </c>
      <c r="C67" s="178" t="str">
        <f aca="false">C24</f>
        <v/>
      </c>
      <c r="D67" s="194" t="str">
        <f aca="false">IF(D86&lt;&gt;"",SQRT(D86/MAX($C$9,0.000000001)),"")</f>
        <v/>
      </c>
      <c r="E67" s="179" t="str">
        <f aca="false">IF(D67&lt;&gt;"",MAX(1,ROUND(C13*D67,0)),"")</f>
        <v/>
      </c>
      <c r="F67" s="179" t="str">
        <f aca="false">IF(AND(E67&lt;&gt;"",E66&lt;&gt;""),E67-E66,IF(E67&lt;&gt;"",E67,""))</f>
        <v/>
      </c>
      <c r="G67" s="189" t="str">
        <f aca="false">IF(F67&lt;&gt;"",F67*PI()*($C$11+$C$10),"")</f>
        <v/>
      </c>
      <c r="H67" s="192" t="str">
        <f aca="false">IF(G67&lt;&gt;"",G67*4*0.00000001724*1000000/(PI()*$C$10^2),"")</f>
        <v/>
      </c>
      <c r="I67" s="189" t="str">
        <f aca="false">IF(G67&lt;&gt;"",SUM(G61:G67),"")</f>
        <v/>
      </c>
      <c r="J67" s="75"/>
    </row>
    <row r="68" customFormat="false" ht="13.5" hidden="false" customHeight="false" outlineLevel="0" collapsed="false">
      <c r="A68" s="1"/>
      <c r="B68" s="178" t="n">
        <v>8</v>
      </c>
      <c r="C68" s="178" t="str">
        <f aca="false">C25</f>
        <v/>
      </c>
      <c r="D68" s="194" t="str">
        <f aca="false">IF(D87&lt;&gt;"",SQRT(D87/MAX($C$9,0.000000001)),"")</f>
        <v/>
      </c>
      <c r="E68" s="179" t="str">
        <f aca="false">IF(D68&lt;&gt;"",MAX(1,ROUND(C13*D68,0)),"")</f>
        <v/>
      </c>
      <c r="F68" s="179" t="str">
        <f aca="false">IF(AND(E68&lt;&gt;"",E67&lt;&gt;""),E68-E67,IF(E68&lt;&gt;"",E68,""))</f>
        <v/>
      </c>
      <c r="G68" s="189" t="str">
        <f aca="false">IF(F68&lt;&gt;"",F68*PI()*($C$11+$C$10),"")</f>
        <v/>
      </c>
      <c r="H68" s="192" t="str">
        <f aca="false">IF(G68&lt;&gt;"",G68*4*0.00000001724*1000000/(PI()*$C$10^2),"")</f>
        <v/>
      </c>
      <c r="I68" s="189" t="str">
        <f aca="false">IF(G68&lt;&gt;"",SUM(G61:G68),"")</f>
        <v/>
      </c>
      <c r="J68" s="75"/>
    </row>
    <row r="69" customFormat="false" ht="13.5" hidden="false" customHeight="false" outlineLevel="0" collapsed="false">
      <c r="A69" s="1"/>
      <c r="B69" s="178" t="n">
        <v>9</v>
      </c>
      <c r="C69" s="178" t="str">
        <f aca="false">C26</f>
        <v/>
      </c>
      <c r="D69" s="194" t="str">
        <f aca="false">IF(D88&lt;&gt;"",SQRT(D88/MAX($C$9,0.000000001)),"")</f>
        <v/>
      </c>
      <c r="E69" s="179" t="str">
        <f aca="false">IF(D69&lt;&gt;"",MAX(1,ROUND(C13*D69,0)),"")</f>
        <v/>
      </c>
      <c r="F69" s="179" t="str">
        <f aca="false">IF(AND(E69&lt;&gt;"",E68&lt;&gt;""),E69-E68,IF(E69&lt;&gt;"",E69,""))</f>
        <v/>
      </c>
      <c r="G69" s="189" t="str">
        <f aca="false">IF(F69&lt;&gt;"",F69*PI()*($C$11+$C$10),"")</f>
        <v/>
      </c>
      <c r="H69" s="192" t="str">
        <f aca="false">IF(G69&lt;&gt;"",G69*4*0.00000001724*1000000/(PI()*$C$10^2),"")</f>
        <v/>
      </c>
      <c r="I69" s="189" t="str">
        <f aca="false">IF(G69&lt;&gt;"",SUM(G61:G69),"")</f>
        <v/>
      </c>
      <c r="J69" s="75"/>
    </row>
    <row r="70" customFormat="false" ht="13.5" hidden="false" customHeight="false" outlineLevel="0" collapsed="false">
      <c r="A70" s="1"/>
      <c r="B70" s="178" t="n">
        <v>10</v>
      </c>
      <c r="C70" s="178" t="str">
        <f aca="false">C27</f>
        <v/>
      </c>
      <c r="D70" s="194" t="str">
        <f aca="false">IF(D89&lt;&gt;"",SQRT(D89/MAX($C$9,0.000000001)),"")</f>
        <v/>
      </c>
      <c r="E70" s="179" t="str">
        <f aca="false">IF(D70&lt;&gt;"",MAX(1,ROUND(C13*D70,0)),"")</f>
        <v/>
      </c>
      <c r="F70" s="179" t="str">
        <f aca="false">IF(AND(E70&lt;&gt;"",E69&lt;&gt;""),E70-E69,IF(E70&lt;&gt;"",E70,""))</f>
        <v/>
      </c>
      <c r="G70" s="189" t="str">
        <f aca="false">IF(F70&lt;&gt;"",F70*PI()*($C$11+$C$10),"")</f>
        <v/>
      </c>
      <c r="H70" s="192" t="str">
        <f aca="false">IF(G70&lt;&gt;"",G70*4*0.00000001724*1000000/(PI()*$C$10^2),"")</f>
        <v/>
      </c>
      <c r="I70" s="189" t="str">
        <f aca="false">IF(G70&lt;&gt;"",SUM(G61:G70),"")</f>
        <v/>
      </c>
      <c r="J70" s="75"/>
    </row>
    <row r="71" customFormat="false" ht="13.5" hidden="false" customHeight="false" outlineLevel="0" collapsed="false">
      <c r="A71" s="1"/>
      <c r="B71" s="178" t="n">
        <v>11</v>
      </c>
      <c r="C71" s="178" t="str">
        <f aca="false">C28</f>
        <v/>
      </c>
      <c r="D71" s="194" t="str">
        <f aca="false">IF(D90&lt;&gt;"",SQRT(D90/MAX($C$9,0.000000001)),"")</f>
        <v/>
      </c>
      <c r="E71" s="179" t="str">
        <f aca="false">IF(D71&lt;&gt;"",MAX(1,ROUND(C13*D71,0)),"")</f>
        <v/>
      </c>
      <c r="F71" s="179" t="str">
        <f aca="false">IF(AND(E71&lt;&gt;"",E70&lt;&gt;""),E71-E70,IF(E71&lt;&gt;"",E71,""))</f>
        <v/>
      </c>
      <c r="G71" s="189" t="str">
        <f aca="false">IF(F71&lt;&gt;"",F71*PI()*($C$11+$C$10),"")</f>
        <v/>
      </c>
      <c r="H71" s="192" t="str">
        <f aca="false">IF(G71&lt;&gt;"",G71*4*0.00000001724*1000000/(PI()*$C$10^2),"")</f>
        <v/>
      </c>
      <c r="I71" s="189" t="str">
        <f aca="false">IF(G71&lt;&gt;"",SUM(G61:G71),"")</f>
        <v/>
      </c>
      <c r="J71" s="75"/>
    </row>
    <row r="72" customFormat="false" ht="12.75" hidden="false" customHeight="false" outlineLevel="0" collapsed="false">
      <c r="A72" s="1"/>
      <c r="B72" s="1"/>
      <c r="C72" s="1"/>
      <c r="D72" s="1"/>
      <c r="E72" s="1"/>
      <c r="F72" s="1"/>
      <c r="G72" s="1"/>
      <c r="H72" s="1"/>
      <c r="I72" s="1"/>
      <c r="J72" s="1"/>
    </row>
    <row r="73" customFormat="false" ht="13.5" hidden="false" customHeight="true" outlineLevel="0" collapsed="false">
      <c r="A73" s="1"/>
      <c r="B73" s="197" t="s">
        <v>285</v>
      </c>
      <c r="C73" s="197"/>
      <c r="D73" s="197"/>
      <c r="E73" s="179" t="n">
        <f aca="false">IFERROR(MAX(E61:E71),"")</f>
        <v>422</v>
      </c>
      <c r="F73" s="1"/>
      <c r="G73" s="1"/>
      <c r="H73" s="198" t="n">
        <f aca="false">IFERROR(SUM(H61:H71),"")</f>
        <v>494.71904</v>
      </c>
      <c r="I73" s="199" t="n">
        <f aca="false">IFERROR(MAX(I61:I71),"")</f>
        <v>22537.7856968532</v>
      </c>
      <c r="J73" s="1"/>
    </row>
    <row r="74" customFormat="false" ht="12.75" hidden="false" customHeight="false" outlineLevel="0" collapsed="false">
      <c r="A74" s="1"/>
      <c r="B74" s="1"/>
      <c r="C74" s="1"/>
      <c r="D74" s="1"/>
      <c r="E74" s="1"/>
      <c r="F74" s="1"/>
      <c r="G74" s="1"/>
      <c r="H74" s="1"/>
      <c r="I74" s="1"/>
      <c r="J74" s="1"/>
    </row>
    <row r="75" customFormat="false" ht="13.5" hidden="false" customHeight="true" outlineLevel="0" collapsed="false">
      <c r="A75" s="1"/>
      <c r="B75" s="169" t="s">
        <v>286</v>
      </c>
      <c r="C75" s="169"/>
      <c r="D75" s="169"/>
      <c r="E75" s="169"/>
      <c r="F75" s="169"/>
      <c r="G75" s="169"/>
      <c r="H75" s="169"/>
      <c r="I75" s="169"/>
      <c r="J75" s="1"/>
    </row>
    <row r="76" customFormat="false" ht="13.5" hidden="false" customHeight="true" outlineLevel="0" collapsed="false">
      <c r="A76" s="1"/>
      <c r="B76" s="187" t="s">
        <v>287</v>
      </c>
      <c r="C76" s="187"/>
      <c r="D76" s="187"/>
      <c r="E76" s="187"/>
      <c r="F76" s="187"/>
      <c r="G76" s="187"/>
      <c r="H76" s="187"/>
      <c r="I76" s="187"/>
      <c r="J76" s="1"/>
    </row>
    <row r="77" customFormat="false" ht="12.75" hidden="false" customHeight="false" outlineLevel="0" collapsed="false">
      <c r="A77" s="1"/>
      <c r="B77" s="1"/>
      <c r="C77" s="1"/>
      <c r="D77" s="1"/>
      <c r="E77" s="1"/>
      <c r="F77" s="1"/>
      <c r="G77" s="1"/>
      <c r="H77" s="1"/>
      <c r="I77" s="1"/>
      <c r="J77" s="1"/>
    </row>
    <row r="78" customFormat="false" ht="13.5" hidden="false" customHeight="true" outlineLevel="0" collapsed="false">
      <c r="A78" s="1"/>
      <c r="B78" s="171" t="s">
        <v>288</v>
      </c>
      <c r="C78" s="171"/>
      <c r="D78" s="171"/>
      <c r="E78" s="171"/>
      <c r="F78" s="171"/>
      <c r="G78" s="171"/>
      <c r="H78" s="171"/>
      <c r="I78" s="171"/>
      <c r="J78" s="1"/>
    </row>
    <row r="79" customFormat="false" ht="38.25" hidden="false" customHeight="false" outlineLevel="0" collapsed="false">
      <c r="A79" s="1"/>
      <c r="B79" s="172" t="s">
        <v>252</v>
      </c>
      <c r="C79" s="172" t="s">
        <v>268</v>
      </c>
      <c r="D79" s="172" t="s">
        <v>289</v>
      </c>
      <c r="E79" s="172" t="s">
        <v>270</v>
      </c>
      <c r="F79" s="172" t="s">
        <v>290</v>
      </c>
      <c r="G79" s="172" t="s">
        <v>291</v>
      </c>
      <c r="H79" s="172" t="s">
        <v>292</v>
      </c>
      <c r="I79" s="172" t="s">
        <v>293</v>
      </c>
      <c r="J79" s="1"/>
    </row>
    <row r="80" customFormat="false" ht="13.5" hidden="false" customHeight="false" outlineLevel="0" collapsed="false">
      <c r="A80" s="1"/>
      <c r="B80" s="191" t="n">
        <v>1</v>
      </c>
      <c r="C80" s="178" t="n">
        <f aca="false">C18</f>
        <v>7.15</v>
      </c>
      <c r="D80" s="192" t="n">
        <f aca="false">IF(AND(ISNUMBER(D18),D18&gt;0),SQRT(D18^2+IF(ISNUMBER(E18),E18,0)^2),"")</f>
        <v>1350.36624661608</v>
      </c>
      <c r="E80" s="193" t="n">
        <f aca="false">IF(AND(ISNUMBER(D18),D18&gt;0),IFERROR(DEGREES(ATAN2(D18,IF(ISNUMBER(E18),E18,0))),""),"")</f>
        <v>-82.896034731078</v>
      </c>
      <c r="F80" s="195" t="n">
        <f aca="false">IF(D80&lt;&gt;"",IFERROR((1+SQRT(((IF(ISNUMBER(D18),D18/MAX((D80/C9),0.000000001),C9)-C9)^2+(IF(ISNUMBER(E18),E18/MAX((D80/C9),0.000000001),0))^2)/((IF(ISNUMBER(D18),D18/MAX((D80/C9),0.000000001),C9)+C9)^2+(IF(ISNUMBER(E18),E18/MAX((D80/C9),0.000000001),0))^2)))/(1-SQRT(((IF(ISNUMBER(D18),D18/MAX((D80/C9),0.000000001),C9)-C9)^2+(IF(ISNUMBER(E18),E18/MAX((D80/C9),0.000000001),0))^2)/((IF(ISNUMBER(D18),D18/MAX((D80/C9),0.000000001),C9)+C9)^2+(IF(ISNUMBER(E18),E18/MAX((D80/C9),0.000000001),0))^2))),999),"")</f>
        <v>16.1099775246472</v>
      </c>
      <c r="G80" s="196" t="n">
        <f aca="false">IF(D80&lt;&gt;"",IFERROR(-20*LOG10(MAX(SQRT(((IF(ISNUMBER(D18),D18/MAX((D80/C9),0.000000001),C9)-C9)^2+(IF(ISNUMBER(E18),E18/MAX((D80/C9),0.000000001),0))^2)/((IF(ISNUMBER(D18),D18/MAX((D80/C9),0.000000001),C9)+C9)^2+(IF(ISNUMBER(E18),E18/MAX((D80/C9),0.000000001),0))^2)),0.000000001)),0),"")</f>
        <v>1.07971241425015</v>
      </c>
      <c r="H80" s="195" t="n">
        <f aca="false">IF(D80&lt;&gt;"",IFERROR(MAX(0,-10*LOG10(1-((IF(ISNUMBER(D18),D18/MAX((D80/C9),0.000000001),C9)-C9)^2+(IF(ISNUMBER(E18),E18/MAX((D80/C9),0.000000001),0))^2)/((IF(ISNUMBER(D18),D18/MAX((D80/C9),0.000000001),C9)+C9)^2+(IF(ISNUMBER(E18),E18/MAX((D80/C9),0.000000001),0))^2))),0),"")</f>
        <v>6.57343952265751</v>
      </c>
      <c r="I80" s="195" t="n">
        <f aca="false">IF(D80&lt;&gt;"",IFERROR(((IF(ISNUMBER(D18),D18/MAX((D80/C9),0.000000001),C9)-C9)^2+(IF(ISNUMBER(E18),E18/MAX((D80/C9),0.000000001),0))^2)/((IF(ISNUMBER(D18),D18/MAX((D80/C9),0.000000001),C9)+C9)^2+(IF(ISNUMBER(E18),E18/MAX((D80/C9),0.000000001),0))^2)*100,0),"")</f>
        <v>77.9881751854661</v>
      </c>
      <c r="J80" s="1"/>
    </row>
    <row r="81" customFormat="false" ht="13.5" hidden="false" customHeight="false" outlineLevel="0" collapsed="false">
      <c r="A81" s="1"/>
      <c r="B81" s="191" t="n">
        <v>2</v>
      </c>
      <c r="C81" s="178" t="n">
        <f aca="false">C19</f>
        <v>14.175</v>
      </c>
      <c r="D81" s="192" t="n">
        <f aca="false">IF(AND(ISNUMBER(D19),D19&gt;0),SQRT(D19^2+IF(ISNUMBER(E19),E19,0)^2),"")</f>
        <v>1357.810737916</v>
      </c>
      <c r="E81" s="193" t="n">
        <f aca="false">IF(AND(ISNUMBER(D19),D19&gt;0),IFERROR(DEGREES(ATAN2(D19,IF(ISNUMBER(E19),E19,0))),""),"")</f>
        <v>82.7650713560551</v>
      </c>
      <c r="F81" s="195" t="n">
        <f aca="false">IF(D81&lt;&gt;"",IFERROR((1+SQRT(((IF(ISNUMBER(D19),D19/MAX((D81/C9),0.000000001),C9)-C9)^2+(IF(ISNUMBER(E19),E19/MAX((D81/C9),0.000000001),0))^2)/((IF(ISNUMBER(D19),D19/MAX((D81/C9),0.000000001),C9)+C9)^2+(IF(ISNUMBER(E19),E19/MAX((D81/C9),0.000000001),0))^2)))/(1-SQRT(((IF(ISNUMBER(D19),D19/MAX((D81/C9),0.000000001),C9)-C9)^2+(IF(ISNUMBER(E19),E19/MAX((D81/C9),0.000000001),0))^2)/((IF(ISNUMBER(D19),D19/MAX((D81/C9),0.000000001),C9)+C9)^2+(IF(ISNUMBER(E19),E19/MAX((D81/C9),0.000000001),0))^2))),999),"")</f>
        <v>15.8176066544796</v>
      </c>
      <c r="G81" s="196" t="n">
        <f aca="false">IF(D81&lt;&gt;"",IFERROR(-20*LOG10(MAX(SQRT(((IF(ISNUMBER(D19),D19/MAX((D81/C9),0.000000001),C9)-C9)^2+(IF(ISNUMBER(E19),E19/MAX((D81/C9),0.000000001),0))^2)/((IF(ISNUMBER(D19),D19/MAX((D81/C9),0.000000001),C9)+C9)^2+(IF(ISNUMBER(E19),E19/MAX((D81/C9),0.000000001),0))^2)),0.000000001)),0),"")</f>
        <v>1.0997225738223</v>
      </c>
      <c r="H81" s="195" t="n">
        <f aca="false">IF(D81&lt;&gt;"",IFERROR(MAX(0,-10*LOG10(1-((IF(ISNUMBER(D19),D19/MAX((D81/C9),0.000000001),C9)-C9)^2+(IF(ISNUMBER(E19),E19/MAX((D81/C9),0.000000001),0))^2)/((IF(ISNUMBER(D19),D19/MAX((D81/C9),0.000000001),C9)+C9)^2+(IF(ISNUMBER(E19),E19/MAX((D81/C9),0.000000001),0))^2))),0),"")</f>
        <v>6.50327618357966</v>
      </c>
      <c r="I81" s="195" t="n">
        <f aca="false">IF(D81&lt;&gt;"",IFERROR(((IF(ISNUMBER(D19),D19/MAX((D81/C9),0.000000001),C9)-C9)^2+(IF(ISNUMBER(E19),E19/MAX((D81/C9),0.000000001),0))^2)/((IF(ISNUMBER(D19),D19/MAX((D81/C9),0.000000001),C9)+C9)^2+(IF(ISNUMBER(E19),E19/MAX((D81/C9),0.000000001),0))^2)*100,0),"")</f>
        <v>77.6296704675036</v>
      </c>
      <c r="J81" s="1"/>
    </row>
    <row r="82" customFormat="false" ht="13.5" hidden="false" customHeight="false" outlineLevel="0" collapsed="false">
      <c r="A82" s="1"/>
      <c r="B82" s="191" t="n">
        <v>3</v>
      </c>
      <c r="C82" s="178" t="n">
        <f aca="false">C20</f>
        <v>28.85</v>
      </c>
      <c r="D82" s="192" t="n">
        <f aca="false">IF(AND(ISNUMBER(D20),D20&gt;0),SQRT(D20^2+IF(ISNUMBER(E20),E20,0)^2),"")</f>
        <v>1586.44256120416</v>
      </c>
      <c r="E82" s="193" t="n">
        <f aca="false">IF(AND(ISNUMBER(D20),D20&gt;0),IFERROR(DEGREES(ATAN2(D20,IF(ISNUMBER(E20),E20,0))),""),"")</f>
        <v>-70.5599651718238</v>
      </c>
      <c r="F82" s="195" t="n">
        <f aca="false">IF(D82&lt;&gt;"",IFERROR((1+SQRT(((IF(ISNUMBER(D20),D20/MAX((D82/C9),0.000000001),C9)-C9)^2+(IF(ISNUMBER(E20),E20/MAX((D82/C9),0.000000001),0))^2)/((IF(ISNUMBER(D20),D20/MAX((D82/C9),0.000000001),C9)+C9)^2+(IF(ISNUMBER(E20),E20/MAX((D82/C9),0.000000001),0))^2)))/(1-SQRT(((IF(ISNUMBER(D20),D20/MAX((D82/C9),0.000000001),C9)-C9)^2+(IF(ISNUMBER(E20),E20/MAX((D82/C9),0.000000001),0))^2)/((IF(ISNUMBER(D20),D20/MAX((D82/C9),0.000000001),C9)+C9)^2+(IF(ISNUMBER(E20),E20/MAX((D82/C9),0.000000001),0))^2))),999),"")</f>
        <v>5.83795939621999</v>
      </c>
      <c r="G82" s="196" t="n">
        <f aca="false">IF(D82&lt;&gt;"",IFERROR(-20*LOG10(MAX(SQRT(((IF(ISNUMBER(D20),D20/MAX((D82/C9),0.000000001),C9)-C9)^2+(IF(ISNUMBER(E20),E20/MAX((D82/C9),0.000000001),0))^2)/((IF(ISNUMBER(D20),D20/MAX((D82/C9),0.000000001),C9)+C9)^2+(IF(ISNUMBER(E20),E20/MAX((D82/C9),0.000000001),0))^2)),0.000000001)),0),"")</f>
        <v>3.00528597025151</v>
      </c>
      <c r="H82" s="195" t="n">
        <f aca="false">IF(D82&lt;&gt;"",IFERROR(MAX(0,-10*LOG10(1-((IF(ISNUMBER(D20),D20/MAX((D82/C9),0.000000001),C9)-C9)^2+(IF(ISNUMBER(E20),E20/MAX((D82/C9),0.000000001),0))^2)/((IF(ISNUMBER(D20),D20/MAX((D82/C9),0.000000001),C9)+C9)^2+(IF(ISNUMBER(E20),E20/MAX((D82/C9),0.000000001),0))^2))),0),"")</f>
        <v>3.01531973843225</v>
      </c>
      <c r="I82" s="195" t="n">
        <f aca="false">IF(D82&lt;&gt;"",IFERROR(((IF(ISNUMBER(D20),D20/MAX((D82/C9),0.000000001),C9)-C9)^2+(IF(ISNUMBER(E20),E20/MAX((D82/C9),0.000000001),0))^2)/((IF(ISNUMBER(D20),D20/MAX((D82/C9),0.000000001),C9)+C9)^2+(IF(ISNUMBER(E20),E20/MAX((D82/C9),0.000000001),0))^2)*100,0),"")</f>
        <v>50.0577589869068</v>
      </c>
      <c r="J82" s="1"/>
    </row>
    <row r="83" customFormat="false" ht="13.5" hidden="false" customHeight="false" outlineLevel="0" collapsed="false">
      <c r="A83" s="1"/>
      <c r="B83" s="191" t="n">
        <v>4</v>
      </c>
      <c r="C83" s="178" t="str">
        <f aca="false">C21</f>
        <v/>
      </c>
      <c r="D83" s="192" t="str">
        <f aca="false">IF(AND(ISNUMBER(D21),D21&gt;0),SQRT(D21^2+IF(ISNUMBER(E21),E21,0)^2),"")</f>
        <v/>
      </c>
      <c r="E83" s="193" t="str">
        <f aca="false">IF(AND(ISNUMBER(D21),D21&gt;0),IFERROR(DEGREES(ATAN2(D21,IF(ISNUMBER(E21),E21,0))),""),"")</f>
        <v/>
      </c>
      <c r="F83" s="195" t="str">
        <f aca="false">IF(D83&lt;&gt;"",IFERROR((1+SQRT(((IF(ISNUMBER(D21),D21/MAX((D83/C9),0.000000001),C9)-C9)^2+(IF(ISNUMBER(E21),E21/MAX((D83/C9),0.000000001),0))^2)/((IF(ISNUMBER(D21),D21/MAX((D83/C9),0.000000001),C9)+C9)^2+(IF(ISNUMBER(E21),E21/MAX((D83/C9),0.000000001),0))^2)))/(1-SQRT(((IF(ISNUMBER(D21),D21/MAX((D83/C9),0.000000001),C9)-C9)^2+(IF(ISNUMBER(E21),E21/MAX((D83/C9),0.000000001),0))^2)/((IF(ISNUMBER(D21),D21/MAX((D83/C9),0.000000001),C9)+C9)^2+(IF(ISNUMBER(E21),E21/MAX((D83/C9),0.000000001),0))^2))),999),"")</f>
        <v/>
      </c>
      <c r="G83" s="196" t="str">
        <f aca="false">IF(D83&lt;&gt;"",IFERROR(-20*LOG10(MAX(SQRT(((IF(ISNUMBER(D21),D21/MAX((D83/C9),0.000000001),C9)-C9)^2+(IF(ISNUMBER(E21),E21/MAX((D83/C9),0.000000001),0))^2)/((IF(ISNUMBER(D21),D21/MAX((D83/C9),0.000000001),C9)+C9)^2+(IF(ISNUMBER(E21),E21/MAX((D83/C9),0.000000001),0))^2)),0.000000001)),0),"")</f>
        <v/>
      </c>
      <c r="H83" s="195" t="str">
        <f aca="false">IF(D83&lt;&gt;"",IFERROR(MAX(0,-10*LOG10(1-((IF(ISNUMBER(D21),D21/MAX((D83/C9),0.000000001),C9)-C9)^2+(IF(ISNUMBER(E21),E21/MAX((D83/C9),0.000000001),0))^2)/((IF(ISNUMBER(D21),D21/MAX((D83/C9),0.000000001),C9)+C9)^2+(IF(ISNUMBER(E21),E21/MAX((D83/C9),0.000000001),0))^2))),0),"")</f>
        <v/>
      </c>
      <c r="I83" s="195" t="str">
        <f aca="false">IF(D83&lt;&gt;"",IFERROR(((IF(ISNUMBER(D21),D21/MAX((D83/C9),0.000000001),C9)-C9)^2+(IF(ISNUMBER(E21),E21/MAX((D83/C9),0.000000001),0))^2)/((IF(ISNUMBER(D21),D21/MAX((D83/C9),0.000000001),C9)+C9)^2+(IF(ISNUMBER(E21),E21/MAX((D83/C9),0.000000001),0))^2)*100,0),"")</f>
        <v/>
      </c>
      <c r="J83" s="1"/>
    </row>
    <row r="84" customFormat="false" ht="13.5" hidden="false" customHeight="false" outlineLevel="0" collapsed="false">
      <c r="A84" s="1"/>
      <c r="B84" s="191" t="n">
        <v>5</v>
      </c>
      <c r="C84" s="178" t="str">
        <f aca="false">C22</f>
        <v/>
      </c>
      <c r="D84" s="192" t="str">
        <f aca="false">IF(AND(ISNUMBER(D22),D22&gt;0),SQRT(D22^2+IF(ISNUMBER(E22),E22,0)^2),"")</f>
        <v/>
      </c>
      <c r="E84" s="193" t="str">
        <f aca="false">IF(AND(ISNUMBER(D22),D22&gt;0),IFERROR(DEGREES(ATAN2(D22,IF(ISNUMBER(E22),E22,0))),""),"")</f>
        <v/>
      </c>
      <c r="F84" s="195" t="str">
        <f aca="false">IF(D84&lt;&gt;"",IFERROR((1+SQRT(((IF(ISNUMBER(D22),D22/MAX((D84/C9),0.000000001),C9)-C9)^2+(IF(ISNUMBER(E22),E22/MAX((D84/C9),0.000000001),0))^2)/((IF(ISNUMBER(D22),D22/MAX((D84/C9),0.000000001),C9)+C9)^2+(IF(ISNUMBER(E22),E22/MAX((D84/C9),0.000000001),0))^2)))/(1-SQRT(((IF(ISNUMBER(D22),D22/MAX((D84/C9),0.000000001),C9)-C9)^2+(IF(ISNUMBER(E22),E22/MAX((D84/C9),0.000000001),0))^2)/((IF(ISNUMBER(D22),D22/MAX((D84/C9),0.000000001),C9)+C9)^2+(IF(ISNUMBER(E22),E22/MAX((D84/C9),0.000000001),0))^2))),999),"")</f>
        <v/>
      </c>
      <c r="G84" s="196" t="str">
        <f aca="false">IF(D84&lt;&gt;"",IFERROR(-20*LOG10(MAX(SQRT(((IF(ISNUMBER(D22),D22/MAX((D84/C9),0.000000001),C9)-C9)^2+(IF(ISNUMBER(E22),E22/MAX((D84/C9),0.000000001),0))^2)/((IF(ISNUMBER(D22),D22/MAX((D84/C9),0.000000001),C9)+C9)^2+(IF(ISNUMBER(E22),E22/MAX((D84/C9),0.000000001),0))^2)),0.000000001)),0),"")</f>
        <v/>
      </c>
      <c r="H84" s="195" t="str">
        <f aca="false">IF(D84&lt;&gt;"",IFERROR(MAX(0,-10*LOG10(1-((IF(ISNUMBER(D22),D22/MAX((D84/C9),0.000000001),C9)-C9)^2+(IF(ISNUMBER(E22),E22/MAX((D84/C9),0.000000001),0))^2)/((IF(ISNUMBER(D22),D22/MAX((D84/C9),0.000000001),C9)+C9)^2+(IF(ISNUMBER(E22),E22/MAX((D84/C9),0.000000001),0))^2))),0),"")</f>
        <v/>
      </c>
      <c r="I84" s="195" t="str">
        <f aca="false">IF(D84&lt;&gt;"",IFERROR(((IF(ISNUMBER(D22),D22/MAX((D84/C9),0.000000001),C9)-C9)^2+(IF(ISNUMBER(E22),E22/MAX((D84/C9),0.000000001),0))^2)/((IF(ISNUMBER(D22),D22/MAX((D84/C9),0.000000001),C9)+C9)^2+(IF(ISNUMBER(E22),E22/MAX((D84/C9),0.000000001),0))^2)*100,0),"")</f>
        <v/>
      </c>
      <c r="J84" s="1"/>
    </row>
    <row r="85" customFormat="false" ht="13.5" hidden="false" customHeight="false" outlineLevel="0" collapsed="false">
      <c r="A85" s="1"/>
      <c r="B85" s="191" t="n">
        <v>6</v>
      </c>
      <c r="C85" s="178" t="str">
        <f aca="false">C23</f>
        <v/>
      </c>
      <c r="D85" s="192" t="str">
        <f aca="false">IF(AND(ISNUMBER(D23),D23&gt;0),SQRT(D23^2+IF(ISNUMBER(E23),E23,0)^2),"")</f>
        <v/>
      </c>
      <c r="E85" s="193" t="str">
        <f aca="false">IF(AND(ISNUMBER(D23),D23&gt;0),IFERROR(DEGREES(ATAN2(D23,IF(ISNUMBER(E23),E23,0))),""),"")</f>
        <v/>
      </c>
      <c r="F85" s="195" t="str">
        <f aca="false">IF(D85&lt;&gt;"",IFERROR((1+SQRT(((IF(ISNUMBER(D23),D23/MAX((D85/C9),0.000000001),C9)-C9)^2+(IF(ISNUMBER(E23),E23/MAX((D85/C9),0.000000001),0))^2)/((IF(ISNUMBER(D23),D23/MAX((D85/C9),0.000000001),C9)+C9)^2+(IF(ISNUMBER(E23),E23/MAX((D85/C9),0.000000001),0))^2)))/(1-SQRT(((IF(ISNUMBER(D23),D23/MAX((D85/C9),0.000000001),C9)-C9)^2+(IF(ISNUMBER(E23),E23/MAX((D85/C9),0.000000001),0))^2)/((IF(ISNUMBER(D23),D23/MAX((D85/C9),0.000000001),C9)+C9)^2+(IF(ISNUMBER(E23),E23/MAX((D85/C9),0.000000001),0))^2))),999),"")</f>
        <v/>
      </c>
      <c r="G85" s="196" t="str">
        <f aca="false">IF(D85&lt;&gt;"",IFERROR(-20*LOG10(MAX(SQRT(((IF(ISNUMBER(D23),D23/MAX((D85/C9),0.000000001),C9)-C9)^2+(IF(ISNUMBER(E23),E23/MAX((D85/C9),0.000000001),0))^2)/((IF(ISNUMBER(D23),D23/MAX((D85/C9),0.000000001),C9)+C9)^2+(IF(ISNUMBER(E23),E23/MAX((D85/C9),0.000000001),0))^2)),0.000000001)),0),"")</f>
        <v/>
      </c>
      <c r="H85" s="195" t="str">
        <f aca="false">IF(D85&lt;&gt;"",IFERROR(MAX(0,-10*LOG10(1-((IF(ISNUMBER(D23),D23/MAX((D85/C9),0.000000001),C9)-C9)^2+(IF(ISNUMBER(E23),E23/MAX((D85/C9),0.000000001),0))^2)/((IF(ISNUMBER(D23),D23/MAX((D85/C9),0.000000001),C9)+C9)^2+(IF(ISNUMBER(E23),E23/MAX((D85/C9),0.000000001),0))^2))),0),"")</f>
        <v/>
      </c>
      <c r="I85" s="195" t="str">
        <f aca="false">IF(D85&lt;&gt;"",IFERROR(((IF(ISNUMBER(D23),D23/MAX((D85/C9),0.000000001),C9)-C9)^2+(IF(ISNUMBER(E23),E23/MAX((D85/C9),0.000000001),0))^2)/((IF(ISNUMBER(D23),D23/MAX((D85/C9),0.000000001),C9)+C9)^2+(IF(ISNUMBER(E23),E23/MAX((D85/C9),0.000000001),0))^2)*100,0),"")</f>
        <v/>
      </c>
      <c r="J85" s="1"/>
    </row>
    <row r="86" customFormat="false" ht="13.5" hidden="false" customHeight="false" outlineLevel="0" collapsed="false">
      <c r="A86" s="1"/>
      <c r="B86" s="191" t="n">
        <v>7</v>
      </c>
      <c r="C86" s="178" t="str">
        <f aca="false">C24</f>
        <v/>
      </c>
      <c r="D86" s="192" t="str">
        <f aca="false">IF(AND(ISNUMBER(D24),D24&gt;0),SQRT(D24^2+IF(ISNUMBER(E24),E24,0)^2),"")</f>
        <v/>
      </c>
      <c r="E86" s="193" t="str">
        <f aca="false">IF(AND(ISNUMBER(D24),D24&gt;0),IFERROR(DEGREES(ATAN2(D24,IF(ISNUMBER(E24),E24,0))),""),"")</f>
        <v/>
      </c>
      <c r="F86" s="195" t="str">
        <f aca="false">IF(D86&lt;&gt;"",IFERROR((1+SQRT(((IF(ISNUMBER(D24),D24/MAX((D86/C9),0.000000001),C9)-C9)^2+(IF(ISNUMBER(E24),E24/MAX((D86/C9),0.000000001),0))^2)/((IF(ISNUMBER(D24),D24/MAX((D86/C9),0.000000001),C9)+C9)^2+(IF(ISNUMBER(E24),E24/MAX((D86/C9),0.000000001),0))^2)))/(1-SQRT(((IF(ISNUMBER(D24),D24/MAX((D86/C9),0.000000001),C9)-C9)^2+(IF(ISNUMBER(E24),E24/MAX((D86/C9),0.000000001),0))^2)/((IF(ISNUMBER(D24),D24/MAX((D86/C9),0.000000001),C9)+C9)^2+(IF(ISNUMBER(E24),E24/MAX((D86/C9),0.000000001),0))^2))),999),"")</f>
        <v/>
      </c>
      <c r="G86" s="196" t="str">
        <f aca="false">IF(D86&lt;&gt;"",IFERROR(-20*LOG10(MAX(SQRT(((IF(ISNUMBER(D24),D24/MAX((D86/C9),0.000000001),C9)-C9)^2+(IF(ISNUMBER(E24),E24/MAX((D86/C9),0.000000001),0))^2)/((IF(ISNUMBER(D24),D24/MAX((D86/C9),0.000000001),C9)+C9)^2+(IF(ISNUMBER(E24),E24/MAX((D86/C9),0.000000001),0))^2)),0.000000001)),0),"")</f>
        <v/>
      </c>
      <c r="H86" s="195" t="str">
        <f aca="false">IF(D86&lt;&gt;"",IFERROR(MAX(0,-10*LOG10(1-((IF(ISNUMBER(D24),D24/MAX((D86/C9),0.000000001),C9)-C9)^2+(IF(ISNUMBER(E24),E24/MAX((D86/C9),0.000000001),0))^2)/((IF(ISNUMBER(D24),D24/MAX((D86/C9),0.000000001),C9)+C9)^2+(IF(ISNUMBER(E24),E24/MAX((D86/C9),0.000000001),0))^2))),0),"")</f>
        <v/>
      </c>
      <c r="I86" s="195" t="str">
        <f aca="false">IF(D86&lt;&gt;"",IFERROR(((IF(ISNUMBER(D24),D24/MAX((D86/C9),0.000000001),C9)-C9)^2+(IF(ISNUMBER(E24),E24/MAX((D86/C9),0.000000001),0))^2)/((IF(ISNUMBER(D24),D24/MAX((D86/C9),0.000000001),C9)+C9)^2+(IF(ISNUMBER(E24),E24/MAX((D86/C9),0.000000001),0))^2)*100,0),"")</f>
        <v/>
      </c>
      <c r="J86" s="1"/>
    </row>
    <row r="87" customFormat="false" ht="13.5" hidden="false" customHeight="false" outlineLevel="0" collapsed="false">
      <c r="A87" s="1"/>
      <c r="B87" s="191" t="n">
        <v>8</v>
      </c>
      <c r="C87" s="178" t="str">
        <f aca="false">C25</f>
        <v/>
      </c>
      <c r="D87" s="192" t="str">
        <f aca="false">IF(AND(ISNUMBER(D25),D25&gt;0),SQRT(D25^2+IF(ISNUMBER(E25),E25,0)^2),"")</f>
        <v/>
      </c>
      <c r="E87" s="193" t="str">
        <f aca="false">IF(AND(ISNUMBER(D25),D25&gt;0),IFERROR(DEGREES(ATAN2(D25,IF(ISNUMBER(E25),E25,0))),""),"")</f>
        <v/>
      </c>
      <c r="F87" s="195" t="str">
        <f aca="false">IF(D87&lt;&gt;"",IFERROR((1+SQRT(((IF(ISNUMBER(D25),D25/MAX((D87/C9),0.000000001),C9)-C9)^2+(IF(ISNUMBER(E25),E25/MAX((D87/C9),0.000000001),0))^2)/((IF(ISNUMBER(D25),D25/MAX((D87/C9),0.000000001),C9)+C9)^2+(IF(ISNUMBER(E25),E25/MAX((D87/C9),0.000000001),0))^2)))/(1-SQRT(((IF(ISNUMBER(D25),D25/MAX((D87/C9),0.000000001),C9)-C9)^2+(IF(ISNUMBER(E25),E25/MAX((D87/C9),0.000000001),0))^2)/((IF(ISNUMBER(D25),D25/MAX((D87/C9),0.000000001),C9)+C9)^2+(IF(ISNUMBER(E25),E25/MAX((D87/C9),0.000000001),0))^2))),999),"")</f>
        <v/>
      </c>
      <c r="G87" s="196" t="str">
        <f aca="false">IF(D87&lt;&gt;"",IFERROR(-20*LOG10(MAX(SQRT(((IF(ISNUMBER(D25),D25/MAX((D87/C9),0.000000001),C9)-C9)^2+(IF(ISNUMBER(E25),E25/MAX((D87/C9),0.000000001),0))^2)/((IF(ISNUMBER(D25),D25/MAX((D87/C9),0.000000001),C9)+C9)^2+(IF(ISNUMBER(E25),E25/MAX((D87/C9),0.000000001),0))^2)),0.000000001)),0),"")</f>
        <v/>
      </c>
      <c r="H87" s="195" t="str">
        <f aca="false">IF(D87&lt;&gt;"",IFERROR(MAX(0,-10*LOG10(1-((IF(ISNUMBER(D25),D25/MAX((D87/C9),0.000000001),C9)-C9)^2+(IF(ISNUMBER(E25),E25/MAX((D87/C9),0.000000001),0))^2)/((IF(ISNUMBER(D25),D25/MAX((D87/C9),0.000000001),C9)+C9)^2+(IF(ISNUMBER(E25),E25/MAX((D87/C9),0.000000001),0))^2))),0),"")</f>
        <v/>
      </c>
      <c r="I87" s="195" t="str">
        <f aca="false">IF(D87&lt;&gt;"",IFERROR(((IF(ISNUMBER(D25),D25/MAX((D87/C9),0.000000001),C9)-C9)^2+(IF(ISNUMBER(E25),E25/MAX((D87/C9),0.000000001),0))^2)/((IF(ISNUMBER(D25),D25/MAX((D87/C9),0.000000001),C9)+C9)^2+(IF(ISNUMBER(E25),E25/MAX((D87/C9),0.000000001),0))^2)*100,0),"")</f>
        <v/>
      </c>
      <c r="J87" s="1"/>
    </row>
    <row r="88" customFormat="false" ht="13.5" hidden="false" customHeight="false" outlineLevel="0" collapsed="false">
      <c r="A88" s="1"/>
      <c r="B88" s="191" t="n">
        <v>9</v>
      </c>
      <c r="C88" s="178" t="str">
        <f aca="false">C26</f>
        <v/>
      </c>
      <c r="D88" s="192" t="str">
        <f aca="false">IF(AND(ISNUMBER(D26),D26&gt;0),SQRT(D26^2+IF(ISNUMBER(E26),E26,0)^2),"")</f>
        <v/>
      </c>
      <c r="E88" s="193" t="str">
        <f aca="false">IF(AND(ISNUMBER(D26),D26&gt;0),IFERROR(DEGREES(ATAN2(D26,IF(ISNUMBER(E26),E26,0))),""),"")</f>
        <v/>
      </c>
      <c r="F88" s="195" t="str">
        <f aca="false">IF(D88&lt;&gt;"",IFERROR((1+SQRT(((IF(ISNUMBER(D26),D26/MAX((D88/C9),0.000000001),C9)-C9)^2+(IF(ISNUMBER(E26),E26/MAX((D88/C9),0.000000001),0))^2)/((IF(ISNUMBER(D26),D26/MAX((D88/C9),0.000000001),C9)+C9)^2+(IF(ISNUMBER(E26),E26/MAX((D88/C9),0.000000001),0))^2)))/(1-SQRT(((IF(ISNUMBER(D26),D26/MAX((D88/C9),0.000000001),C9)-C9)^2+(IF(ISNUMBER(E26),E26/MAX((D88/C9),0.000000001),0))^2)/((IF(ISNUMBER(D26),D26/MAX((D88/C9),0.000000001),C9)+C9)^2+(IF(ISNUMBER(E26),E26/MAX((D88/C9),0.000000001),0))^2))),999),"")</f>
        <v/>
      </c>
      <c r="G88" s="196" t="str">
        <f aca="false">IF(D88&lt;&gt;"",IFERROR(-20*LOG10(MAX(SQRT(((IF(ISNUMBER(D26),D26/MAX((D88/C9),0.000000001),C9)-C9)^2+(IF(ISNUMBER(E26),E26/MAX((D88/C9),0.000000001),0))^2)/((IF(ISNUMBER(D26),D26/MAX((D88/C9),0.000000001),C9)+C9)^2+(IF(ISNUMBER(E26),E26/MAX((D88/C9),0.000000001),0))^2)),0.000000001)),0),"")</f>
        <v/>
      </c>
      <c r="H88" s="195" t="str">
        <f aca="false">IF(D88&lt;&gt;"",IFERROR(MAX(0,-10*LOG10(1-((IF(ISNUMBER(D26),D26/MAX((D88/C9),0.000000001),C9)-C9)^2+(IF(ISNUMBER(E26),E26/MAX((D88/C9),0.000000001),0))^2)/((IF(ISNUMBER(D26),D26/MAX((D88/C9),0.000000001),C9)+C9)^2+(IF(ISNUMBER(E26),E26/MAX((D88/C9),0.000000001),0))^2))),0),"")</f>
        <v/>
      </c>
      <c r="I88" s="195" t="str">
        <f aca="false">IF(D88&lt;&gt;"",IFERROR(((IF(ISNUMBER(D26),D26/MAX((D88/C9),0.000000001),C9)-C9)^2+(IF(ISNUMBER(E26),E26/MAX((D88/C9),0.000000001),0))^2)/((IF(ISNUMBER(D26),D26/MAX((D88/C9),0.000000001),C9)+C9)^2+(IF(ISNUMBER(E26),E26/MAX((D88/C9),0.000000001),0))^2)*100,0),"")</f>
        <v/>
      </c>
      <c r="J88" s="1"/>
    </row>
    <row r="89" customFormat="false" ht="13.5" hidden="false" customHeight="false" outlineLevel="0" collapsed="false">
      <c r="A89" s="1"/>
      <c r="B89" s="191" t="n">
        <v>10</v>
      </c>
      <c r="C89" s="178" t="str">
        <f aca="false">C27</f>
        <v/>
      </c>
      <c r="D89" s="192" t="str">
        <f aca="false">IF(AND(ISNUMBER(D27),D27&gt;0),SQRT(D27^2+IF(ISNUMBER(E27),E27,0)^2),"")</f>
        <v/>
      </c>
      <c r="E89" s="193" t="str">
        <f aca="false">IF(AND(ISNUMBER(D27),D27&gt;0),IFERROR(DEGREES(ATAN2(D27,IF(ISNUMBER(E27),E27,0))),""),"")</f>
        <v/>
      </c>
      <c r="F89" s="195" t="str">
        <f aca="false">IF(D89&lt;&gt;"",IFERROR((1+SQRT(((IF(ISNUMBER(D27),D27/MAX((D89/C9),0.000000001),C9)-C9)^2+(IF(ISNUMBER(E27),E27/MAX((D89/C9),0.000000001),0))^2)/((IF(ISNUMBER(D27),D27/MAX((D89/C9),0.000000001),C9)+C9)^2+(IF(ISNUMBER(E27),E27/MAX((D89/C9),0.000000001),0))^2)))/(1-SQRT(((IF(ISNUMBER(D27),D27/MAX((D89/C9),0.000000001),C9)-C9)^2+(IF(ISNUMBER(E27),E27/MAX((D89/C9),0.000000001),0))^2)/((IF(ISNUMBER(D27),D27/MAX((D89/C9),0.000000001),C9)+C9)^2+(IF(ISNUMBER(E27),E27/MAX((D89/C9),0.000000001),0))^2))),999),"")</f>
        <v/>
      </c>
      <c r="G89" s="196" t="str">
        <f aca="false">IF(D89&lt;&gt;"",IFERROR(-20*LOG10(MAX(SQRT(((IF(ISNUMBER(D27),D27/MAX((D89/C9),0.000000001),C9)-C9)^2+(IF(ISNUMBER(E27),E27/MAX((D89/C9),0.000000001),0))^2)/((IF(ISNUMBER(D27),D27/MAX((D89/C9),0.000000001),C9)+C9)^2+(IF(ISNUMBER(E27),E27/MAX((D89/C9),0.000000001),0))^2)),0.000000001)),0),"")</f>
        <v/>
      </c>
      <c r="H89" s="195" t="str">
        <f aca="false">IF(D89&lt;&gt;"",IFERROR(MAX(0,-10*LOG10(1-((IF(ISNUMBER(D27),D27/MAX((D89/C9),0.000000001),C9)-C9)^2+(IF(ISNUMBER(E27),E27/MAX((D89/C9),0.000000001),0))^2)/((IF(ISNUMBER(D27),D27/MAX((D89/C9),0.000000001),C9)+C9)^2+(IF(ISNUMBER(E27),E27/MAX((D89/C9),0.000000001),0))^2))),0),"")</f>
        <v/>
      </c>
      <c r="I89" s="195" t="str">
        <f aca="false">IF(D89&lt;&gt;"",IFERROR(((IF(ISNUMBER(D27),D27/MAX((D89/C9),0.000000001),C9)-C9)^2+(IF(ISNUMBER(E27),E27/MAX((D89/C9),0.000000001),0))^2)/((IF(ISNUMBER(D27),D27/MAX((D89/C9),0.000000001),C9)+C9)^2+(IF(ISNUMBER(E27),E27/MAX((D89/C9),0.000000001),0))^2)*100,0),"")</f>
        <v/>
      </c>
      <c r="J89" s="1"/>
    </row>
    <row r="90" customFormat="false" ht="13.5" hidden="false" customHeight="false" outlineLevel="0" collapsed="false">
      <c r="A90" s="1"/>
      <c r="B90" s="191" t="n">
        <v>11</v>
      </c>
      <c r="C90" s="178" t="str">
        <f aca="false">C28</f>
        <v/>
      </c>
      <c r="D90" s="192" t="str">
        <f aca="false">IF(AND(ISNUMBER(D28),D28&gt;0),SQRT(D28^2+IF(ISNUMBER(E28),E28,0)^2),"")</f>
        <v/>
      </c>
      <c r="E90" s="193" t="str">
        <f aca="false">IF(AND(ISNUMBER(D28),D28&gt;0),IFERROR(DEGREES(ATAN2(D28,IF(ISNUMBER(E28),E28,0))),""),"")</f>
        <v/>
      </c>
      <c r="F90" s="195" t="str">
        <f aca="false">IF(D90&lt;&gt;"",IFERROR((1+SQRT(((IF(ISNUMBER(D28),D28/MAX((D90/C9),0.000000001),C9)-C9)^2+(IF(ISNUMBER(E28),E28/MAX((D90/C9),0.000000001),0))^2)/((IF(ISNUMBER(D28),D28/MAX((D90/C9),0.000000001),C9)+C9)^2+(IF(ISNUMBER(E28),E28/MAX((D90/C9),0.000000001),0))^2)))/(1-SQRT(((IF(ISNUMBER(D28),D28/MAX((D90/C9),0.000000001),C9)-C9)^2+(IF(ISNUMBER(E28),E28/MAX((D90/C9),0.000000001),0))^2)/((IF(ISNUMBER(D28),D28/MAX((D90/C9),0.000000001),C9)+C9)^2+(IF(ISNUMBER(E28),E28/MAX((D90/C9),0.000000001),0))^2))),999),"")</f>
        <v/>
      </c>
      <c r="G90" s="196" t="str">
        <f aca="false">IF(D90&lt;&gt;"",IFERROR(-20*LOG10(MAX(SQRT(((IF(ISNUMBER(D28),D28/MAX((D90/C9),0.000000001),C9)-C9)^2+(IF(ISNUMBER(E28),E28/MAX((D90/C9),0.000000001),0))^2)/((IF(ISNUMBER(D28),D28/MAX((D90/C9),0.000000001),C9)+C9)^2+(IF(ISNUMBER(E28),E28/MAX((D90/C9),0.000000001),0))^2)),0.000000001)),0),"")</f>
        <v/>
      </c>
      <c r="H90" s="195" t="str">
        <f aca="false">IF(D90&lt;&gt;"",IFERROR(MAX(0,-10*LOG10(1-((IF(ISNUMBER(D28),D28/MAX((D90/C9),0.000000001),C9)-C9)^2+(IF(ISNUMBER(E28),E28/MAX((D90/C9),0.000000001),0))^2)/((IF(ISNUMBER(D28),D28/MAX((D90/C9),0.000000001),C9)+C9)^2+(IF(ISNUMBER(E28),E28/MAX((D90/C9),0.000000001),0))^2))),0),"")</f>
        <v/>
      </c>
      <c r="I90" s="195" t="str">
        <f aca="false">IF(D90&lt;&gt;"",IFERROR(((IF(ISNUMBER(D28),D28/MAX((D90/C9),0.000000001),C9)-C9)^2+(IF(ISNUMBER(E28),E28/MAX((D90/C9),0.000000001),0))^2)/((IF(ISNUMBER(D28),D28/MAX((D90/C9),0.000000001),C9)+C9)^2+(IF(ISNUMBER(E28),E28/MAX((D90/C9),0.000000001),0))^2)*100,0),"")</f>
        <v/>
      </c>
      <c r="J90" s="1"/>
    </row>
    <row r="91" customFormat="false" ht="12.75" hidden="false" customHeight="false" outlineLevel="0" collapsed="false">
      <c r="A91" s="1"/>
      <c r="B91" s="1"/>
      <c r="C91" s="1"/>
      <c r="D91" s="1"/>
      <c r="E91" s="1"/>
      <c r="F91" s="1"/>
      <c r="G91" s="1"/>
      <c r="H91" s="1"/>
      <c r="I91" s="1"/>
      <c r="J91" s="1"/>
    </row>
    <row r="92" customFormat="false" ht="13.5" hidden="false" customHeight="true" outlineLevel="0" collapsed="false">
      <c r="A92" s="1"/>
      <c r="B92" s="200" t="s">
        <v>294</v>
      </c>
      <c r="C92" s="200"/>
      <c r="D92" s="200"/>
      <c r="E92" s="200"/>
      <c r="F92" s="200"/>
      <c r="G92" s="200"/>
      <c r="H92" s="200"/>
      <c r="I92" s="200"/>
      <c r="J92" s="1"/>
    </row>
    <row r="93" customFormat="false" ht="13.5" hidden="false" customHeight="true" outlineLevel="0" collapsed="false">
      <c r="A93" s="1"/>
      <c r="B93" s="180" t="s">
        <v>295</v>
      </c>
      <c r="C93" s="180"/>
      <c r="D93" s="180"/>
      <c r="E93" s="180"/>
      <c r="F93" s="180"/>
      <c r="G93" s="180"/>
      <c r="H93" s="180"/>
      <c r="I93" s="180"/>
      <c r="J93" s="1"/>
    </row>
    <row r="94" customFormat="false" ht="13.5" hidden="false" customHeight="true" outlineLevel="0" collapsed="false">
      <c r="A94" s="1"/>
      <c r="B94" s="180" t="s">
        <v>296</v>
      </c>
      <c r="C94" s="180"/>
      <c r="D94" s="180"/>
      <c r="E94" s="180"/>
      <c r="F94" s="180"/>
      <c r="G94" s="180"/>
      <c r="H94" s="180"/>
      <c r="I94" s="180"/>
      <c r="J94" s="1"/>
    </row>
    <row r="95" customFormat="false" ht="13.5" hidden="false" customHeight="true" outlineLevel="0" collapsed="false">
      <c r="A95" s="1"/>
      <c r="B95" s="180" t="s">
        <v>297</v>
      </c>
      <c r="C95" s="180"/>
      <c r="D95" s="180"/>
      <c r="E95" s="180"/>
      <c r="F95" s="180"/>
      <c r="G95" s="180"/>
      <c r="H95" s="180"/>
      <c r="I95" s="180"/>
      <c r="J95" s="1"/>
    </row>
    <row r="96" customFormat="false" ht="13.5" hidden="false" customHeight="true" outlineLevel="0" collapsed="false">
      <c r="A96" s="1"/>
      <c r="B96" s="180" t="s">
        <v>298</v>
      </c>
      <c r="C96" s="180"/>
      <c r="D96" s="180"/>
      <c r="E96" s="180"/>
      <c r="F96" s="180"/>
      <c r="G96" s="180"/>
      <c r="H96" s="180"/>
      <c r="I96" s="180"/>
      <c r="J96" s="1"/>
    </row>
    <row r="97" customFormat="false" ht="13.5" hidden="false" customHeight="true" outlineLevel="0" collapsed="false">
      <c r="A97" s="1"/>
      <c r="B97" s="180" t="s">
        <v>299</v>
      </c>
      <c r="C97" s="180"/>
      <c r="D97" s="180"/>
      <c r="E97" s="180"/>
      <c r="F97" s="180"/>
      <c r="G97" s="180"/>
      <c r="H97" s="180"/>
      <c r="I97" s="180"/>
      <c r="J97" s="1"/>
    </row>
    <row r="98" customFormat="false" ht="13.5" hidden="false" customHeight="true" outlineLevel="0" collapsed="false">
      <c r="A98" s="1"/>
      <c r="B98" s="180" t="s">
        <v>300</v>
      </c>
      <c r="C98" s="180"/>
      <c r="D98" s="180"/>
      <c r="E98" s="180"/>
      <c r="F98" s="180"/>
      <c r="G98" s="180"/>
      <c r="H98" s="180"/>
      <c r="I98" s="180"/>
      <c r="J98" s="1"/>
    </row>
    <row r="99" customFormat="false" ht="13.5" hidden="false" customHeight="true" outlineLevel="0" collapsed="false">
      <c r="A99" s="1"/>
      <c r="B99" s="180" t="s">
        <v>301</v>
      </c>
      <c r="C99" s="180"/>
      <c r="D99" s="180"/>
      <c r="E99" s="180"/>
      <c r="F99" s="180"/>
      <c r="G99" s="180"/>
      <c r="H99" s="180"/>
      <c r="I99" s="180"/>
      <c r="J99" s="1"/>
    </row>
    <row r="100" customFormat="false" ht="12.75" hidden="false" customHeight="false" outlineLevel="0" collapsed="false">
      <c r="A100" s="1"/>
      <c r="B100" s="1"/>
      <c r="C100" s="1"/>
      <c r="D100" s="1"/>
      <c r="E100" s="1"/>
      <c r="F100" s="1"/>
      <c r="G100" s="1"/>
      <c r="H100" s="1"/>
      <c r="I100" s="1"/>
      <c r="J100" s="1"/>
    </row>
    <row r="101" customFormat="false" ht="13.5" hidden="false" customHeight="true" outlineLevel="0" collapsed="false">
      <c r="A101" s="1"/>
      <c r="B101" s="169" t="s">
        <v>302</v>
      </c>
      <c r="C101" s="169"/>
      <c r="D101" s="169"/>
      <c r="E101" s="169"/>
      <c r="F101" s="169"/>
      <c r="G101" s="169"/>
      <c r="H101" s="1"/>
      <c r="I101" s="1"/>
      <c r="J101" s="1"/>
    </row>
    <row r="102" customFormat="false" ht="13.5" hidden="false" customHeight="true" outlineLevel="0" collapsed="false">
      <c r="A102" s="1"/>
      <c r="B102" s="187" t="s">
        <v>303</v>
      </c>
      <c r="C102" s="187"/>
      <c r="D102" s="187"/>
      <c r="E102" s="187"/>
      <c r="F102" s="187"/>
      <c r="G102" s="187"/>
      <c r="H102" s="1"/>
      <c r="I102" s="1"/>
      <c r="J102" s="1"/>
    </row>
    <row r="103" customFormat="false" ht="12.75" hidden="false" customHeight="false" outlineLevel="0" collapsed="false">
      <c r="A103" s="1"/>
      <c r="B103" s="1"/>
      <c r="C103" s="1"/>
      <c r="D103" s="1"/>
      <c r="E103" s="1"/>
      <c r="F103" s="1"/>
      <c r="G103" s="1"/>
      <c r="H103" s="1"/>
      <c r="I103" s="1"/>
      <c r="J103" s="1"/>
    </row>
    <row r="104" customFormat="false" ht="13.5" hidden="false" customHeight="true" outlineLevel="0" collapsed="false">
      <c r="A104" s="1"/>
      <c r="B104" s="171" t="s">
        <v>304</v>
      </c>
      <c r="C104" s="171"/>
      <c r="D104" s="171"/>
      <c r="E104" s="171"/>
      <c r="F104" s="171"/>
      <c r="G104" s="171"/>
      <c r="H104" s="1"/>
      <c r="I104" s="1"/>
      <c r="J104" s="1"/>
    </row>
    <row r="105" customFormat="false" ht="13.5" hidden="false" customHeight="true" outlineLevel="0" collapsed="false">
      <c r="A105" s="1"/>
      <c r="B105" s="172" t="s">
        <v>77</v>
      </c>
      <c r="C105" s="172" t="s">
        <v>237</v>
      </c>
      <c r="D105" s="172" t="s">
        <v>153</v>
      </c>
      <c r="E105" s="172" t="s">
        <v>305</v>
      </c>
      <c r="F105" s="172"/>
      <c r="G105" s="172"/>
      <c r="H105" s="1"/>
      <c r="I105" s="1"/>
      <c r="J105" s="1"/>
    </row>
    <row r="106" customFormat="false" ht="13.5" hidden="false" customHeight="true" outlineLevel="0" collapsed="false">
      <c r="A106" s="1"/>
      <c r="B106" s="173" t="s">
        <v>306</v>
      </c>
      <c r="C106" s="177" t="n">
        <f aca="false">C11</f>
        <v>16</v>
      </c>
      <c r="D106" s="188" t="s">
        <v>122</v>
      </c>
      <c r="E106" s="175" t="s">
        <v>307</v>
      </c>
      <c r="F106" s="175"/>
      <c r="G106" s="175"/>
      <c r="H106" s="1"/>
      <c r="I106" s="1"/>
      <c r="J106" s="1"/>
    </row>
    <row r="107" customFormat="false" ht="26.1" hidden="false" customHeight="true" outlineLevel="0" collapsed="false">
      <c r="A107" s="1"/>
      <c r="B107" s="173" t="s">
        <v>308</v>
      </c>
      <c r="C107" s="177" t="n">
        <f aca="false">C10</f>
        <v>1</v>
      </c>
      <c r="D107" s="188" t="s">
        <v>122</v>
      </c>
      <c r="E107" s="175" t="s">
        <v>309</v>
      </c>
      <c r="F107" s="175"/>
      <c r="G107" s="175"/>
      <c r="H107" s="1"/>
      <c r="I107" s="1"/>
      <c r="J107" s="1"/>
    </row>
    <row r="108" customFormat="false" ht="26.1" hidden="false" customHeight="true" outlineLevel="0" collapsed="false">
      <c r="A108" s="1"/>
      <c r="B108" s="173" t="s">
        <v>310</v>
      </c>
      <c r="C108" s="177" t="n">
        <f aca="false">$C$10+$C$14</f>
        <v>1</v>
      </c>
      <c r="D108" s="188" t="s">
        <v>122</v>
      </c>
      <c r="E108" s="175" t="s">
        <v>311</v>
      </c>
      <c r="F108" s="175"/>
      <c r="G108" s="175"/>
      <c r="H108" s="1"/>
      <c r="I108" s="1"/>
      <c r="J108" s="1"/>
    </row>
    <row r="109" customFormat="false" ht="26.1" hidden="false" customHeight="true" outlineLevel="0" collapsed="false">
      <c r="A109" s="1"/>
      <c r="B109" s="173" t="s">
        <v>312</v>
      </c>
      <c r="C109" s="178" t="n">
        <f aca="false">IFERROR(IF(E73&lt;&gt;"",VALUE(E73),10),10)</f>
        <v>422</v>
      </c>
      <c r="D109" s="188" t="s">
        <v>262</v>
      </c>
      <c r="E109" s="175" t="s">
        <v>313</v>
      </c>
      <c r="F109" s="175"/>
      <c r="G109" s="175"/>
      <c r="H109" s="1"/>
      <c r="I109" s="1"/>
      <c r="J109" s="1"/>
    </row>
    <row r="110" customFormat="false" ht="12.75" hidden="false" customHeight="false" outlineLevel="0" collapsed="false">
      <c r="A110" s="1"/>
      <c r="B110" s="1"/>
      <c r="C110" s="1"/>
      <c r="D110" s="1"/>
      <c r="E110" s="1"/>
      <c r="F110" s="1"/>
      <c r="G110" s="1"/>
      <c r="H110" s="1"/>
      <c r="I110" s="1"/>
      <c r="J110" s="1"/>
    </row>
    <row r="111" customFormat="false" ht="13.5" hidden="false" customHeight="true" outlineLevel="0" collapsed="false">
      <c r="A111" s="1"/>
      <c r="B111" s="171" t="s">
        <v>314</v>
      </c>
      <c r="C111" s="171"/>
      <c r="D111" s="171"/>
      <c r="E111" s="171"/>
      <c r="F111" s="171"/>
      <c r="G111" s="171"/>
      <c r="H111" s="1"/>
      <c r="I111" s="1"/>
      <c r="J111" s="1"/>
    </row>
    <row r="112" customFormat="false" ht="13.5" hidden="false" customHeight="true" outlineLevel="0" collapsed="false">
      <c r="A112" s="1"/>
      <c r="B112" s="172" t="s">
        <v>77</v>
      </c>
      <c r="C112" s="172" t="s">
        <v>237</v>
      </c>
      <c r="D112" s="172" t="s">
        <v>153</v>
      </c>
      <c r="E112" s="172" t="s">
        <v>315</v>
      </c>
      <c r="F112" s="172"/>
      <c r="G112" s="172"/>
      <c r="H112" s="1"/>
      <c r="I112" s="1"/>
      <c r="J112" s="1"/>
    </row>
    <row r="113" customFormat="false" ht="13.5" hidden="false" customHeight="true" outlineLevel="0" collapsed="false">
      <c r="A113" s="1"/>
      <c r="B113" s="173" t="s">
        <v>316</v>
      </c>
      <c r="C113" s="190" t="n">
        <f aca="false">IFERROR(IF(C109&gt;0,(C109-1)*C108+C107,""),"")</f>
        <v>422</v>
      </c>
      <c r="D113" s="188" t="s">
        <v>122</v>
      </c>
      <c r="E113" s="175" t="s">
        <v>317</v>
      </c>
      <c r="F113" s="175"/>
      <c r="G113" s="175"/>
      <c r="H113" s="1"/>
      <c r="I113" s="1"/>
      <c r="J113" s="1"/>
    </row>
    <row r="114" customFormat="false" ht="26.1" hidden="false" customHeight="true" outlineLevel="0" collapsed="false">
      <c r="A114" s="1"/>
      <c r="B114" s="173" t="s">
        <v>318</v>
      </c>
      <c r="C114" s="190" t="n">
        <f aca="false">(C106+C107)/2</f>
        <v>8.5</v>
      </c>
      <c r="D114" s="188" t="s">
        <v>122</v>
      </c>
      <c r="E114" s="175" t="s">
        <v>319</v>
      </c>
      <c r="F114" s="175"/>
      <c r="G114" s="175"/>
      <c r="H114" s="1"/>
      <c r="I114" s="1"/>
      <c r="J114" s="1"/>
    </row>
    <row r="115" customFormat="false" ht="13.8" hidden="false" customHeight="true" outlineLevel="0" collapsed="false">
      <c r="A115" s="1"/>
      <c r="B115" s="173" t="s">
        <v>320</v>
      </c>
      <c r="C115" s="190" t="n">
        <f aca="false">((C106+C107)/2)/25.4</f>
        <v>0.334645669291339</v>
      </c>
      <c r="D115" s="188" t="s">
        <v>321</v>
      </c>
      <c r="E115" s="175" t="s">
        <v>322</v>
      </c>
      <c r="F115" s="175"/>
      <c r="G115" s="175"/>
      <c r="H115" s="1"/>
      <c r="I115" s="1"/>
      <c r="J115" s="1"/>
    </row>
    <row r="116" customFormat="false" ht="13.8" hidden="false" customHeight="true" outlineLevel="0" collapsed="false">
      <c r="A116" s="1"/>
      <c r="B116" s="173" t="s">
        <v>323</v>
      </c>
      <c r="C116" s="190" t="n">
        <f aca="false">IFERROR(C113/25.4,"")</f>
        <v>16.6141732283465</v>
      </c>
      <c r="D116" s="188" t="s">
        <v>321</v>
      </c>
      <c r="E116" s="175" t="s">
        <v>322</v>
      </c>
      <c r="F116" s="175"/>
      <c r="G116" s="175"/>
      <c r="H116" s="1"/>
      <c r="I116" s="1"/>
      <c r="J116" s="1"/>
    </row>
    <row r="117" customFormat="false" ht="13.8" hidden="false" customHeight="true" outlineLevel="0" collapsed="false">
      <c r="A117" s="1"/>
      <c r="B117" s="173" t="s">
        <v>324</v>
      </c>
      <c r="C117" s="190" t="n">
        <f aca="false">IFERROR((C115^2*C109^2)/(9*C115+10*C116),"")</f>
        <v>117.90011280011</v>
      </c>
      <c r="D117" s="188" t="s">
        <v>158</v>
      </c>
      <c r="E117" s="175" t="s">
        <v>325</v>
      </c>
      <c r="F117" s="175"/>
      <c r="G117" s="175"/>
      <c r="H117" s="1"/>
      <c r="I117" s="1"/>
      <c r="J117" s="1"/>
    </row>
    <row r="118" customFormat="false" ht="13.8" hidden="false" customHeight="true" outlineLevel="0" collapsed="false">
      <c r="A118" s="1"/>
      <c r="B118" s="173" t="s">
        <v>326</v>
      </c>
      <c r="C118" s="190" t="n">
        <f aca="true">IFERROR(2*PI()*MIN($C$18:OFFSET($C$18,$C$12-1,0))*C117,"")</f>
        <v>5296.63603369232</v>
      </c>
      <c r="D118" s="188" t="s">
        <v>176</v>
      </c>
      <c r="E118" s="175" t="s">
        <v>327</v>
      </c>
      <c r="F118" s="175"/>
      <c r="G118" s="175"/>
      <c r="H118" s="1"/>
      <c r="I118" s="1"/>
      <c r="J118" s="1"/>
    </row>
    <row r="119" customFormat="false" ht="13.8" hidden="false" customHeight="true" outlineLevel="0" collapsed="false">
      <c r="A119" s="1"/>
      <c r="B119" s="173" t="s">
        <v>328</v>
      </c>
      <c r="C119" s="190" t="n">
        <f aca="true">IFERROR(4*MIN(OFFSET(D80,0,0,$C$12))/(2*PI()*MIN($C$18:OFFSET($C$18,$C$12-1,0))),"")</f>
        <v>120.233545808894</v>
      </c>
      <c r="D119" s="188" t="s">
        <v>158</v>
      </c>
      <c r="E119" s="175" t="s">
        <v>329</v>
      </c>
      <c r="F119" s="175"/>
      <c r="G119" s="175"/>
      <c r="H119" s="1"/>
      <c r="I119" s="1"/>
      <c r="J119" s="1"/>
    </row>
    <row r="120" customFormat="false" ht="26.1" hidden="false" customHeight="true" outlineLevel="0" collapsed="false">
      <c r="A120" s="1"/>
      <c r="B120" s="173" t="s">
        <v>330</v>
      </c>
      <c r="C120" s="190" t="str">
        <f aca="false">IFERROR(IF(AND(ISNUMBER(C117),ISNUMBER(C119)),IF(C117&gt;=C119,"✔ YES","✘ INCREASE TURNS"),"—"),"")</f>
        <v>✘ INCREASE TURNS</v>
      </c>
      <c r="D120" s="188" t="s">
        <v>331</v>
      </c>
      <c r="E120" s="175" t="s">
        <v>332</v>
      </c>
      <c r="F120" s="175"/>
      <c r="G120" s="175"/>
      <c r="H120" s="1"/>
      <c r="I120" s="1"/>
      <c r="J120" s="1"/>
    </row>
    <row r="121" customFormat="false" ht="12.75" hidden="false" customHeight="false" outlineLevel="0" collapsed="false">
      <c r="A121" s="1"/>
      <c r="B121" s="1"/>
      <c r="C121" s="1"/>
      <c r="D121" s="1"/>
      <c r="E121" s="1"/>
      <c r="F121" s="1"/>
      <c r="G121" s="1"/>
      <c r="H121" s="1"/>
      <c r="I121" s="1"/>
      <c r="J121" s="1"/>
    </row>
    <row r="122" customFormat="false" ht="12.75" hidden="false" customHeight="false" outlineLevel="0" collapsed="false">
      <c r="A122" s="1"/>
      <c r="B122" s="1"/>
      <c r="C122" s="1"/>
      <c r="D122" s="1"/>
      <c r="E122" s="1"/>
      <c r="F122" s="1"/>
      <c r="G122" s="1"/>
      <c r="H122" s="1"/>
      <c r="I122" s="1"/>
      <c r="J122" s="1"/>
    </row>
    <row r="123" customFormat="false" ht="12.75" hidden="false" customHeight="false" outlineLevel="0" collapsed="false">
      <c r="A123" s="1"/>
      <c r="B123" s="201" t="s">
        <v>333</v>
      </c>
      <c r="C123" s="201"/>
      <c r="D123" s="201"/>
      <c r="E123" s="201"/>
      <c r="F123" s="201"/>
      <c r="G123" s="201"/>
      <c r="H123" s="201"/>
      <c r="I123" s="201"/>
      <c r="J123" s="201"/>
    </row>
    <row r="124" customFormat="false" ht="12.75" hidden="false" customHeight="false" outlineLevel="0" collapsed="false">
      <c r="A124" s="1"/>
      <c r="B124" s="202" t="s">
        <v>334</v>
      </c>
      <c r="C124" s="202"/>
      <c r="D124" s="202"/>
      <c r="E124" s="202"/>
      <c r="F124" s="202"/>
      <c r="G124" s="202"/>
      <c r="H124" s="202"/>
      <c r="I124" s="202"/>
      <c r="J124" s="202"/>
    </row>
    <row r="125" customFormat="false" ht="12.75" hidden="false" customHeight="false" outlineLevel="0" collapsed="false">
      <c r="A125" s="1"/>
      <c r="B125" s="1"/>
      <c r="C125" s="1"/>
      <c r="D125" s="1"/>
      <c r="E125" s="1"/>
      <c r="F125" s="1"/>
      <c r="G125" s="1"/>
      <c r="H125" s="1"/>
      <c r="I125" s="1"/>
      <c r="J125" s="1"/>
    </row>
    <row r="126" customFormat="false" ht="12.75" hidden="false" customHeight="false" outlineLevel="0" collapsed="false">
      <c r="A126" s="1"/>
      <c r="B126" s="203" t="s">
        <v>335</v>
      </c>
      <c r="C126" s="203"/>
      <c r="D126" s="203"/>
      <c r="E126" s="203"/>
      <c r="F126" s="203"/>
      <c r="G126" s="203"/>
      <c r="H126" s="203"/>
      <c r="I126" s="203"/>
      <c r="J126" s="203"/>
    </row>
    <row r="127" customFormat="false" ht="12.75" hidden="false" customHeight="false" outlineLevel="0" collapsed="false">
      <c r="A127" s="1"/>
      <c r="B127" s="204" t="s">
        <v>336</v>
      </c>
      <c r="C127" s="204"/>
      <c r="D127" s="204"/>
      <c r="E127" s="204"/>
      <c r="F127" s="204"/>
      <c r="G127" s="204"/>
      <c r="H127" s="204"/>
      <c r="I127" s="204"/>
      <c r="J127" s="204"/>
    </row>
    <row r="128" customFormat="false" ht="12.75" hidden="false" customHeight="false" outlineLevel="0" collapsed="false">
      <c r="A128" s="1"/>
      <c r="B128" s="204" t="s">
        <v>337</v>
      </c>
      <c r="C128" s="204"/>
      <c r="D128" s="204"/>
      <c r="E128" s="204"/>
      <c r="F128" s="204"/>
      <c r="G128" s="204"/>
      <c r="H128" s="204"/>
      <c r="I128" s="204"/>
      <c r="J128" s="204"/>
    </row>
    <row r="129" customFormat="false" ht="12.75" hidden="false" customHeight="false" outlineLevel="0" collapsed="false">
      <c r="A129" s="1"/>
      <c r="B129" s="204" t="s">
        <v>338</v>
      </c>
      <c r="C129" s="204"/>
      <c r="D129" s="204"/>
      <c r="E129" s="204"/>
      <c r="F129" s="204"/>
      <c r="G129" s="204"/>
      <c r="H129" s="204"/>
      <c r="I129" s="204"/>
      <c r="J129" s="204"/>
    </row>
    <row r="130" customFormat="false" ht="12.75" hidden="false" customHeight="false" outlineLevel="0" collapsed="false">
      <c r="A130" s="1"/>
      <c r="B130" s="204" t="s">
        <v>339</v>
      </c>
      <c r="C130" s="204"/>
      <c r="D130" s="204"/>
      <c r="E130" s="204"/>
      <c r="F130" s="204"/>
      <c r="G130" s="204"/>
      <c r="H130" s="204"/>
      <c r="I130" s="204"/>
      <c r="J130" s="204"/>
    </row>
    <row r="131" customFormat="false" ht="12.75" hidden="false" customHeight="false" outlineLevel="0" collapsed="false">
      <c r="A131" s="1"/>
      <c r="B131" s="204" t="s">
        <v>340</v>
      </c>
      <c r="C131" s="204"/>
      <c r="D131" s="204"/>
      <c r="E131" s="204"/>
      <c r="F131" s="204"/>
      <c r="G131" s="204"/>
      <c r="H131" s="204"/>
      <c r="I131" s="204"/>
      <c r="J131" s="204"/>
    </row>
    <row r="132" customFormat="false" ht="12.75" hidden="false" customHeight="false" outlineLevel="0" collapsed="false">
      <c r="A132" s="1"/>
      <c r="B132" s="1"/>
      <c r="C132" s="1"/>
      <c r="D132" s="1"/>
      <c r="E132" s="1"/>
      <c r="F132" s="1"/>
      <c r="G132" s="1"/>
      <c r="H132" s="1"/>
      <c r="I132" s="1"/>
      <c r="J132" s="1"/>
    </row>
    <row r="133" customFormat="false" ht="26.1" hidden="false" customHeight="false" outlineLevel="0" collapsed="false">
      <c r="A133" s="1"/>
      <c r="B133" s="205" t="s">
        <v>252</v>
      </c>
      <c r="C133" s="205" t="s">
        <v>341</v>
      </c>
      <c r="D133" s="205" t="s">
        <v>342</v>
      </c>
      <c r="E133" s="205" t="s">
        <v>343</v>
      </c>
      <c r="F133" s="205" t="s">
        <v>344</v>
      </c>
      <c r="G133" s="205" t="s">
        <v>345</v>
      </c>
      <c r="H133" s="205" t="s">
        <v>346</v>
      </c>
      <c r="I133" s="205" t="s">
        <v>347</v>
      </c>
      <c r="J133" s="205" t="s">
        <v>348</v>
      </c>
    </row>
    <row r="134" customFormat="false" ht="12.75" hidden="false" customHeight="false" outlineLevel="0" collapsed="false">
      <c r="A134" s="1"/>
      <c r="B134" s="206" t="n">
        <v>1</v>
      </c>
      <c r="C134" s="207" t="n">
        <f aca="false">C18</f>
        <v>7.15</v>
      </c>
      <c r="D134" s="207" t="n">
        <f aca="false">D18</f>
        <v>167</v>
      </c>
      <c r="E134" s="207" t="n">
        <f aca="false">IF(ISNUMBER(E18),E18,"—")</f>
        <v>-1340</v>
      </c>
      <c r="F134" s="207" t="n">
        <f aca="false">IF(ISNUMBER(E80),E80,"—")</f>
        <v>-82.896034731078</v>
      </c>
      <c r="G134" s="208" t="n">
        <f aca="false">IFERROR(IF(AND(F18="YES",ISNUMBER(D80),D80&gt;0,ISNUMBER(D18),D18&gt;0),IF(($C$9*IF(ISNUMBER(E18),E18,0)/D80)&lt;0,ABS($C$9*IF(ISNUMBER(E18),E18,0)/D80)/(2*PI()*C18*1000000)*1000000,"—"),"—"),"—")</f>
        <v>1.10442777132134</v>
      </c>
      <c r="H134" s="207" t="str">
        <f aca="false">IFERROR(IF(AND(F18="YES",ISNUMBER(D80),D80&gt;0,ISNUMBER(D18),D18&gt;0),IF(($C$9*IF(ISNUMBER(E18),E18,0)/D80)&gt;0,1/((2*PI()*C18*1000000)*ABS($C$9*IF(ISNUMBER(E18),E18,0)/D80))*1000000000000,"—"),"—"),"—")</f>
        <v>—</v>
      </c>
      <c r="I134" s="208" t="n">
        <f aca="false">IFERROR(IF(AND(F18="YES",ISNUMBER(D80),D80&gt;0,ISNUMBER(D18),D18&gt;0),IF((D80*IF(ISNUMBER(E18),E18,0)/($C$9*(D18^2+IF(ISNUMBER(E18),E18,0)^2)))&lt;0,-1/((2*PI()*C18*1000000)*(D80*IF(ISNUMBER(E18),E18,0)/($C$9*(D18^2+IF(ISNUMBER(E18),E18,0)^2))))*1000000,"—"),"—"),"—")</f>
        <v>1.12158158403819</v>
      </c>
      <c r="J134" s="207" t="str">
        <f aca="false">IFERROR(IF(AND(F18="YES",ISNUMBER(D80),D80&gt;0,ISNUMBER(D18),D18&gt;0),IF((D80*IF(ISNUMBER(E18),E18,0)/($C$9*(D18^2+IF(ISNUMBER(E18),E18,0)^2)))&gt;0,(D80*IF(ISNUMBER(E18),E18,0)/($C$9*(D18^2+IF(ISNUMBER(E18),E18,0)^2)))/(2*PI()*C18*1000000)*1000000000000,"—"),"—"),"—")</f>
        <v>—</v>
      </c>
    </row>
    <row r="135" customFormat="false" ht="12.75" hidden="false" customHeight="false" outlineLevel="0" collapsed="false">
      <c r="A135" s="1"/>
      <c r="B135" s="206" t="n">
        <v>2</v>
      </c>
      <c r="C135" s="207" t="n">
        <f aca="false">C19</f>
        <v>14.175</v>
      </c>
      <c r="D135" s="207" t="n">
        <f aca="false">D19</f>
        <v>171</v>
      </c>
      <c r="E135" s="207" t="n">
        <f aca="false">IF(ISNUMBER(E19),E19,"—")</f>
        <v>1347</v>
      </c>
      <c r="F135" s="207" t="n">
        <f aca="false">IF(ISNUMBER(E81),E81,"—")</f>
        <v>82.7650713560551</v>
      </c>
      <c r="G135" s="208" t="str">
        <f aca="false">IFERROR(IF(AND(F19="YES",ISNUMBER(D81),D81&gt;0,ISNUMBER(D19),D19&gt;0),IF(($C$9*IF(ISNUMBER(E19),E19,0)/D81)&lt;0,ABS($C$9*IF(ISNUMBER(E19),E19,0)/D81)/(2*PI()*C19*1000000)*1000000,"—"),"—"),"—")</f>
        <v>—</v>
      </c>
      <c r="H135" s="207" t="n">
        <f aca="false">IFERROR(IF(AND(F19="YES",ISNUMBER(D81),D81&gt;0,ISNUMBER(D19),D19&gt;0),IF(($C$9*IF(ISNUMBER(E19),E19,0)/D81)&gt;0,1/((2*PI()*C19*1000000)*ABS($C$9*IF(ISNUMBER(E19),E19,0)/D81))*1000000000000,"—"),"—"),"—")</f>
        <v>226.359487970614</v>
      </c>
      <c r="I135" s="208" t="str">
        <f aca="false">IFERROR(IF(AND(F19="YES",ISNUMBER(D81),D81&gt;0,ISNUMBER(D19),D19&gt;0),IF((D81*IF(ISNUMBER(E19),E19,0)/($C$9*(D19^2+IF(ISNUMBER(E19),E19,0)^2)))&lt;0,-1/((2*PI()*C19*1000000)*(D81*IF(ISNUMBER(E19),E19,0)/($C$9*(D19^2+IF(ISNUMBER(E19),E19,0)^2))))*1000000,"—"),"—"),"—")</f>
        <v>—</v>
      </c>
      <c r="J135" s="207" t="n">
        <f aca="false">IFERROR(IF(AND(F19="YES",ISNUMBER(D81),D81&gt;0,ISNUMBER(D19),D19&gt;0),IF((D81*IF(ISNUMBER(E19),E19,0)/($C$9*(D19^2+IF(ISNUMBER(E19),E19,0)^2)))&gt;0,(D81*IF(ISNUMBER(E19),E19,0)/($C$9*(D19^2+IF(ISNUMBER(E19),E19,0)^2)))/(2*PI()*C19*1000000)*1000000000000,"—"),"—"),"—")</f>
        <v>222.769339196309</v>
      </c>
    </row>
    <row r="136" customFormat="false" ht="12.75" hidden="false" customHeight="false" outlineLevel="0" collapsed="false">
      <c r="A136" s="1"/>
      <c r="B136" s="206" t="n">
        <v>3</v>
      </c>
      <c r="C136" s="207" t="n">
        <f aca="false">C20</f>
        <v>28.85</v>
      </c>
      <c r="D136" s="207" t="n">
        <f aca="false">D20</f>
        <v>528</v>
      </c>
      <c r="E136" s="207" t="n">
        <f aca="false">IF(ISNUMBER(E20),E20,"—")</f>
        <v>-1496</v>
      </c>
      <c r="F136" s="207" t="n">
        <f aca="false">IF(ISNUMBER(E82),E82,"—")</f>
        <v>-70.5599651718238</v>
      </c>
      <c r="G136" s="208" t="n">
        <f aca="false">IFERROR(IF(AND(F20="YES",ISNUMBER(D82),D82&gt;0,ISNUMBER(D20),D20&gt;0),IF(($C$9*IF(ISNUMBER(E20),E20,0)/D82)&lt;0,ABS($C$9*IF(ISNUMBER(E20),E20,0)/D82)/(2*PI()*C20*1000000)*1000000,"—"),"—"),"—")</f>
        <v>0.260106712092881</v>
      </c>
      <c r="H136" s="207" t="str">
        <f aca="false">IFERROR(IF(AND(F20="YES",ISNUMBER(D82),D82&gt;0,ISNUMBER(D20),D20&gt;0),IF(($C$9*IF(ISNUMBER(E20),E20,0)/D82)&gt;0,1/((2*PI()*C20*1000000)*ABS($C$9*IF(ISNUMBER(E20),E20,0)/D82))*1000000000000,"—"),"—"),"—")</f>
        <v>—</v>
      </c>
      <c r="I136" s="208" t="n">
        <f aca="false">IFERROR(IF(AND(F20="YES",ISNUMBER(D82),D82&gt;0,ISNUMBER(D20),D20&gt;0),IF((D82*IF(ISNUMBER(E20),E20,0)/($C$9*(D20^2+IF(ISNUMBER(E20),E20,0)^2)))&lt;0,-1/((2*PI()*C20*1000000)*(D82*IF(ISNUMBER(E20),E20,0)/($C$9*(D20^2+IF(ISNUMBER(E20),E20,0)^2))))*1000000,"—"),"—"),"—")</f>
        <v>0.292507548201336</v>
      </c>
      <c r="J136" s="207" t="str">
        <f aca="false">IFERROR(IF(AND(F20="YES",ISNUMBER(D82),D82&gt;0,ISNUMBER(D20),D20&gt;0),IF((D82*IF(ISNUMBER(E20),E20,0)/($C$9*(D20^2+IF(ISNUMBER(E20),E20,0)^2)))&gt;0,(D82*IF(ISNUMBER(E20),E20,0)/($C$9*(D20^2+IF(ISNUMBER(E20),E20,0)^2)))/(2*PI()*C20*1000000)*1000000000000,"—"),"—"),"—")</f>
        <v>—</v>
      </c>
    </row>
    <row r="137" customFormat="false" ht="12.75" hidden="false" customHeight="false" outlineLevel="0" collapsed="false">
      <c r="A137" s="1"/>
      <c r="B137" s="206" t="n">
        <v>4</v>
      </c>
      <c r="C137" s="207" t="str">
        <f aca="false">C21</f>
        <v/>
      </c>
      <c r="D137" s="207" t="str">
        <f aca="false">D21</f>
        <v/>
      </c>
      <c r="E137" s="207" t="str">
        <f aca="false">IF(ISNUMBER(E21),E21,"—")</f>
        <v>—</v>
      </c>
      <c r="F137" s="207" t="str">
        <f aca="false">IF(ISNUMBER(E83),E83,"—")</f>
        <v>—</v>
      </c>
      <c r="G137" s="208" t="str">
        <f aca="false">IFERROR(IF(AND(F21="YES",ISNUMBER(D83),D83&gt;0,ISNUMBER(D21),D21&gt;0),IF(($C$9*IF(ISNUMBER(E21),E21,0)/D83)&lt;0,ABS($C$9*IF(ISNUMBER(E21),E21,0)/D83)/(2*PI()*C21*1000000)*1000000,"—"),"—"),"—")</f>
        <v>—</v>
      </c>
      <c r="H137" s="207" t="str">
        <f aca="false">IFERROR(IF(AND(F21="YES",ISNUMBER(D83),D83&gt;0,ISNUMBER(D21),D21&gt;0),IF(($C$9*IF(ISNUMBER(E21),E21,0)/D83)&gt;0,1/((2*PI()*C21*1000000)*ABS($C$9*IF(ISNUMBER(E21),E21,0)/D83))*1000000000000,"—"),"—"),"—")</f>
        <v>—</v>
      </c>
      <c r="I137" s="208" t="str">
        <f aca="false">IFERROR(IF(AND(F21="YES",ISNUMBER(D83),D83&gt;0,ISNUMBER(D21),D21&gt;0),IF((D83*IF(ISNUMBER(E21),E21,0)/($C$9*(D21^2+IF(ISNUMBER(E21),E21,0)^2)))&lt;0,-1/((2*PI()*C21*1000000)*(D83*IF(ISNUMBER(E21),E21,0)/($C$9*(D21^2+IF(ISNUMBER(E21),E21,0)^2))))*1000000,"—"),"—"),"—")</f>
        <v>—</v>
      </c>
      <c r="J137" s="207" t="str">
        <f aca="false">IFERROR(IF(AND(F21="YES",ISNUMBER(D83),D83&gt;0,ISNUMBER(D21),D21&gt;0),IF((D83*IF(ISNUMBER(E21),E21,0)/($C$9*(D21^2+IF(ISNUMBER(E21),E21,0)^2)))&gt;0,(D83*IF(ISNUMBER(E21),E21,0)/($C$9*(D21^2+IF(ISNUMBER(E21),E21,0)^2)))/(2*PI()*C21*1000000)*1000000000000,"—"),"—"),"—")</f>
        <v>—</v>
      </c>
    </row>
    <row r="138" customFormat="false" ht="12.75" hidden="false" customHeight="false" outlineLevel="0" collapsed="false">
      <c r="A138" s="1"/>
      <c r="B138" s="206" t="n">
        <v>5</v>
      </c>
      <c r="C138" s="207" t="str">
        <f aca="false">C22</f>
        <v/>
      </c>
      <c r="D138" s="207" t="str">
        <f aca="false">D22</f>
        <v/>
      </c>
      <c r="E138" s="207" t="str">
        <f aca="false">IF(ISNUMBER(E22),E22,"—")</f>
        <v>—</v>
      </c>
      <c r="F138" s="207" t="str">
        <f aca="false">IF(ISNUMBER(E84),E84,"—")</f>
        <v>—</v>
      </c>
      <c r="G138" s="208" t="str">
        <f aca="false">IFERROR(IF(AND(F22="YES",ISNUMBER(D84),D84&gt;0,ISNUMBER(D22),D22&gt;0),IF(($C$9*IF(ISNUMBER(E22),E22,0)/D84)&lt;0,ABS($C$9*IF(ISNUMBER(E22),E22,0)/D84)/(2*PI()*C22*1000000)*1000000,"—"),"—"),"—")</f>
        <v>—</v>
      </c>
      <c r="H138" s="207" t="str">
        <f aca="false">IFERROR(IF(AND(F22="YES",ISNUMBER(D84),D84&gt;0,ISNUMBER(D22),D22&gt;0),IF(($C$9*IF(ISNUMBER(E22),E22,0)/D84)&gt;0,1/((2*PI()*C22*1000000)*ABS($C$9*IF(ISNUMBER(E22),E22,0)/D84))*1000000000000,"—"),"—"),"—")</f>
        <v>—</v>
      </c>
      <c r="I138" s="208" t="str">
        <f aca="false">IFERROR(IF(AND(F22="YES",ISNUMBER(D84),D84&gt;0,ISNUMBER(D22),D22&gt;0),IF((D84*IF(ISNUMBER(E22),E22,0)/($C$9*(D22^2+IF(ISNUMBER(E22),E22,0)^2)))&lt;0,-1/((2*PI()*C22*1000000)*(D84*IF(ISNUMBER(E22),E22,0)/($C$9*(D22^2+IF(ISNUMBER(E22),E22,0)^2))))*1000000,"—"),"—"),"—")</f>
        <v>—</v>
      </c>
      <c r="J138" s="207" t="str">
        <f aca="false">IFERROR(IF(AND(F22="YES",ISNUMBER(D84),D84&gt;0,ISNUMBER(D22),D22&gt;0),IF((D84*IF(ISNUMBER(E22),E22,0)/($C$9*(D22^2+IF(ISNUMBER(E22),E22,0)^2)))&gt;0,(D84*IF(ISNUMBER(E22),E22,0)/($C$9*(D22^2+IF(ISNUMBER(E22),E22,0)^2)))/(2*PI()*C22*1000000)*1000000000000,"—"),"—"),"—")</f>
        <v>—</v>
      </c>
    </row>
    <row r="139" customFormat="false" ht="12.75" hidden="false" customHeight="false" outlineLevel="0" collapsed="false">
      <c r="A139" s="1"/>
      <c r="B139" s="206" t="n">
        <v>6</v>
      </c>
      <c r="C139" s="207" t="str">
        <f aca="false">C23</f>
        <v/>
      </c>
      <c r="D139" s="207" t="str">
        <f aca="false">D23</f>
        <v/>
      </c>
      <c r="E139" s="207" t="str">
        <f aca="false">IF(ISNUMBER(E23),E23,"—")</f>
        <v>—</v>
      </c>
      <c r="F139" s="207" t="str">
        <f aca="false">IF(ISNUMBER(E85),E85,"—")</f>
        <v>—</v>
      </c>
      <c r="G139" s="208" t="str">
        <f aca="false">IFERROR(IF(AND(F23="YES",ISNUMBER(D85),D85&gt;0,ISNUMBER(D23),D23&gt;0),IF(($C$9*IF(ISNUMBER(E23),E23,0)/D85)&lt;0,ABS($C$9*IF(ISNUMBER(E23),E23,0)/D85)/(2*PI()*C23*1000000)*1000000,"—"),"—"),"—")</f>
        <v>—</v>
      </c>
      <c r="H139" s="207" t="str">
        <f aca="false">IFERROR(IF(AND(F23="YES",ISNUMBER(D85),D85&gt;0,ISNUMBER(D23),D23&gt;0),IF(($C$9*IF(ISNUMBER(E23),E23,0)/D85)&gt;0,1/((2*PI()*C23*1000000)*ABS($C$9*IF(ISNUMBER(E23),E23,0)/D85))*1000000000000,"—"),"—"),"—")</f>
        <v>—</v>
      </c>
      <c r="I139" s="208" t="str">
        <f aca="false">IFERROR(IF(AND(F23="YES",ISNUMBER(D85),D85&gt;0,ISNUMBER(D23),D23&gt;0),IF((D85*IF(ISNUMBER(E23),E23,0)/($C$9*(D23^2+IF(ISNUMBER(E23),E23,0)^2)))&lt;0,-1/((2*PI()*C23*1000000)*(D85*IF(ISNUMBER(E23),E23,0)/($C$9*(D23^2+IF(ISNUMBER(E23),E23,0)^2))))*1000000,"—"),"—"),"—")</f>
        <v>—</v>
      </c>
      <c r="J139" s="207" t="str">
        <f aca="false">IFERROR(IF(AND(F23="YES",ISNUMBER(D85),D85&gt;0,ISNUMBER(D23),D23&gt;0),IF((D85*IF(ISNUMBER(E23),E23,0)/($C$9*(D23^2+IF(ISNUMBER(E23),E23,0)^2)))&gt;0,(D85*IF(ISNUMBER(E23),E23,0)/($C$9*(D23^2+IF(ISNUMBER(E23),E23,0)^2)))/(2*PI()*C23*1000000)*1000000000000,"—"),"—"),"—")</f>
        <v>—</v>
      </c>
    </row>
    <row r="140" customFormat="false" ht="12.75" hidden="false" customHeight="false" outlineLevel="0" collapsed="false">
      <c r="A140" s="1"/>
      <c r="B140" s="206" t="n">
        <v>7</v>
      </c>
      <c r="C140" s="207" t="str">
        <f aca="false">C24</f>
        <v/>
      </c>
      <c r="D140" s="207" t="str">
        <f aca="false">D24</f>
        <v/>
      </c>
      <c r="E140" s="207" t="str">
        <f aca="false">IF(ISNUMBER(E24),E24,"—")</f>
        <v>—</v>
      </c>
      <c r="F140" s="207" t="str">
        <f aca="false">IF(ISNUMBER(E86),E86,"—")</f>
        <v>—</v>
      </c>
      <c r="G140" s="208" t="str">
        <f aca="false">IFERROR(IF(AND(F24="YES",ISNUMBER(D86),D86&gt;0,ISNUMBER(D24),D24&gt;0),IF(($C$9*IF(ISNUMBER(E24),E24,0)/D86)&lt;0,ABS($C$9*IF(ISNUMBER(E24),E24,0)/D86)/(2*PI()*C24*1000000)*1000000,"—"),"—"),"—")</f>
        <v>—</v>
      </c>
      <c r="H140" s="207" t="str">
        <f aca="false">IFERROR(IF(AND(F24="YES",ISNUMBER(D86),D86&gt;0,ISNUMBER(D24),D24&gt;0),IF(($C$9*IF(ISNUMBER(E24),E24,0)/D86)&gt;0,1/((2*PI()*C24*1000000)*ABS($C$9*IF(ISNUMBER(E24),E24,0)/D86))*1000000000000,"—"),"—"),"—")</f>
        <v>—</v>
      </c>
      <c r="I140" s="208" t="str">
        <f aca="false">IFERROR(IF(AND(F24="YES",ISNUMBER(D86),D86&gt;0,ISNUMBER(D24),D24&gt;0),IF((D86*IF(ISNUMBER(E24),E24,0)/($C$9*(D24^2+IF(ISNUMBER(E24),E24,0)^2)))&lt;0,-1/((2*PI()*C24*1000000)*(D86*IF(ISNUMBER(E24),E24,0)/($C$9*(D24^2+IF(ISNUMBER(E24),E24,0)^2))))*1000000,"—"),"—"),"—")</f>
        <v>—</v>
      </c>
      <c r="J140" s="207" t="str">
        <f aca="false">IFERROR(IF(AND(F24="YES",ISNUMBER(D86),D86&gt;0,ISNUMBER(D24),D24&gt;0),IF((D86*IF(ISNUMBER(E24),E24,0)/($C$9*(D24^2+IF(ISNUMBER(E24),E24,0)^2)))&gt;0,(D86*IF(ISNUMBER(E24),E24,0)/($C$9*(D24^2+IF(ISNUMBER(E24),E24,0)^2)))/(2*PI()*C24*1000000)*1000000000000,"—"),"—"),"—")</f>
        <v>—</v>
      </c>
    </row>
    <row r="141" customFormat="false" ht="12.75" hidden="false" customHeight="false" outlineLevel="0" collapsed="false">
      <c r="A141" s="1"/>
      <c r="B141" s="206" t="n">
        <v>8</v>
      </c>
      <c r="C141" s="207" t="str">
        <f aca="false">C25</f>
        <v/>
      </c>
      <c r="D141" s="207" t="str">
        <f aca="false">D25</f>
        <v/>
      </c>
      <c r="E141" s="207" t="str">
        <f aca="false">IF(ISNUMBER(E25),E25,"—")</f>
        <v>—</v>
      </c>
      <c r="F141" s="207" t="str">
        <f aca="false">IF(ISNUMBER(E87),E87,"—")</f>
        <v>—</v>
      </c>
      <c r="G141" s="208" t="str">
        <f aca="false">IFERROR(IF(AND(F25="YES",ISNUMBER(D87),D87&gt;0,ISNUMBER(D25),D25&gt;0),IF(($C$9*IF(ISNUMBER(E25),E25,0)/D87)&lt;0,ABS($C$9*IF(ISNUMBER(E25),E25,0)/D87)/(2*PI()*C25*1000000)*1000000,"—"),"—"),"—")</f>
        <v>—</v>
      </c>
      <c r="H141" s="207" t="str">
        <f aca="false">IFERROR(IF(AND(F25="YES",ISNUMBER(D87),D87&gt;0,ISNUMBER(D25),D25&gt;0),IF(($C$9*IF(ISNUMBER(E25),E25,0)/D87)&gt;0,1/((2*PI()*C25*1000000)*ABS($C$9*IF(ISNUMBER(E25),E25,0)/D87))*1000000000000,"—"),"—"),"—")</f>
        <v>—</v>
      </c>
      <c r="I141" s="208" t="str">
        <f aca="false">IFERROR(IF(AND(F25="YES",ISNUMBER(D87),D87&gt;0,ISNUMBER(D25),D25&gt;0),IF((D87*IF(ISNUMBER(E25),E25,0)/($C$9*(D25^2+IF(ISNUMBER(E25),E25,0)^2)))&lt;0,-1/((2*PI()*C25*1000000)*(D87*IF(ISNUMBER(E25),E25,0)/($C$9*(D25^2+IF(ISNUMBER(E25),E25,0)^2))))*1000000,"—"),"—"),"—")</f>
        <v>—</v>
      </c>
      <c r="J141" s="207" t="str">
        <f aca="false">IFERROR(IF(AND(F25="YES",ISNUMBER(D87),D87&gt;0,ISNUMBER(D25),D25&gt;0),IF((D87*IF(ISNUMBER(E25),E25,0)/($C$9*(D25^2+IF(ISNUMBER(E25),E25,0)^2)))&gt;0,(D87*IF(ISNUMBER(E25),E25,0)/($C$9*(D25^2+IF(ISNUMBER(E25),E25,0)^2)))/(2*PI()*C25*1000000)*1000000000000,"—"),"—"),"—")</f>
        <v>—</v>
      </c>
    </row>
    <row r="142" customFormat="false" ht="12.75" hidden="false" customHeight="false" outlineLevel="0" collapsed="false">
      <c r="A142" s="1"/>
      <c r="B142" s="206" t="n">
        <v>9</v>
      </c>
      <c r="C142" s="207" t="str">
        <f aca="false">C26</f>
        <v/>
      </c>
      <c r="D142" s="207" t="str">
        <f aca="false">D26</f>
        <v/>
      </c>
      <c r="E142" s="207" t="str">
        <f aca="false">IF(ISNUMBER(E26),E26,"—")</f>
        <v>—</v>
      </c>
      <c r="F142" s="207" t="str">
        <f aca="false">IF(ISNUMBER(E88),E88,"—")</f>
        <v>—</v>
      </c>
      <c r="G142" s="208" t="str">
        <f aca="false">IFERROR(IF(AND(F26="YES",ISNUMBER(D88),D88&gt;0,ISNUMBER(D26),D26&gt;0),IF(($C$9*IF(ISNUMBER(E26),E26,0)/D88)&lt;0,ABS($C$9*IF(ISNUMBER(E26),E26,0)/D88)/(2*PI()*C26*1000000)*1000000,"—"),"—"),"—")</f>
        <v>—</v>
      </c>
      <c r="H142" s="207" t="str">
        <f aca="false">IFERROR(IF(AND(F26="YES",ISNUMBER(D88),D88&gt;0,ISNUMBER(D26),D26&gt;0),IF(($C$9*IF(ISNUMBER(E26),E26,0)/D88)&gt;0,1/((2*PI()*C26*1000000)*ABS($C$9*IF(ISNUMBER(E26),E26,0)/D88))*1000000000000,"—"),"—"),"—")</f>
        <v>—</v>
      </c>
      <c r="I142" s="208" t="str">
        <f aca="false">IFERROR(IF(AND(F26="YES",ISNUMBER(D88),D88&gt;0,ISNUMBER(D26),D26&gt;0),IF((D88*IF(ISNUMBER(E26),E26,0)/($C$9*(D26^2+IF(ISNUMBER(E26),E26,0)^2)))&lt;0,-1/((2*PI()*C26*1000000)*(D88*IF(ISNUMBER(E26),E26,0)/($C$9*(D26^2+IF(ISNUMBER(E26),E26,0)^2))))*1000000,"—"),"—"),"—")</f>
        <v>—</v>
      </c>
      <c r="J142" s="207" t="str">
        <f aca="false">IFERROR(IF(AND(F26="YES",ISNUMBER(D88),D88&gt;0,ISNUMBER(D26),D26&gt;0),IF((D88*IF(ISNUMBER(E26),E26,0)/($C$9*(D26^2+IF(ISNUMBER(E26),E26,0)^2)))&gt;0,(D88*IF(ISNUMBER(E26),E26,0)/($C$9*(D26^2+IF(ISNUMBER(E26),E26,0)^2)))/(2*PI()*C26*1000000)*1000000000000,"—"),"—"),"—")</f>
        <v>—</v>
      </c>
    </row>
    <row r="143" customFormat="false" ht="12.75" hidden="false" customHeight="false" outlineLevel="0" collapsed="false">
      <c r="A143" s="1"/>
      <c r="B143" s="206" t="n">
        <v>10</v>
      </c>
      <c r="C143" s="207" t="str">
        <f aca="false">C27</f>
        <v/>
      </c>
      <c r="D143" s="207" t="str">
        <f aca="false">D27</f>
        <v/>
      </c>
      <c r="E143" s="207" t="str">
        <f aca="false">IF(ISNUMBER(E27),E27,"—")</f>
        <v>—</v>
      </c>
      <c r="F143" s="207" t="str">
        <f aca="false">IF(ISNUMBER(E89),E89,"—")</f>
        <v>—</v>
      </c>
      <c r="G143" s="208" t="str">
        <f aca="false">IFERROR(IF(AND(F27="YES",ISNUMBER(D89),D89&gt;0,ISNUMBER(D27),D27&gt;0),IF(($C$9*IF(ISNUMBER(E27),E27,0)/D89)&lt;0,ABS($C$9*IF(ISNUMBER(E27),E27,0)/D89)/(2*PI()*C27*1000000)*1000000,"—"),"—"),"—")</f>
        <v>—</v>
      </c>
      <c r="H143" s="207" t="str">
        <f aca="false">IFERROR(IF(AND(F27="YES",ISNUMBER(D89),D89&gt;0,ISNUMBER(D27),D27&gt;0),IF(($C$9*IF(ISNUMBER(E27),E27,0)/D89)&gt;0,1/((2*PI()*C27*1000000)*ABS($C$9*IF(ISNUMBER(E27),E27,0)/D89))*1000000000000,"—"),"—"),"—")</f>
        <v>—</v>
      </c>
      <c r="I143" s="208" t="str">
        <f aca="false">IFERROR(IF(AND(F27="YES",ISNUMBER(D89),D89&gt;0,ISNUMBER(D27),D27&gt;0),IF((D89*IF(ISNUMBER(E27),E27,0)/($C$9*(D27^2+IF(ISNUMBER(E27),E27,0)^2)))&lt;0,-1/((2*PI()*C27*1000000)*(D89*IF(ISNUMBER(E27),E27,0)/($C$9*(D27^2+IF(ISNUMBER(E27),E27,0)^2))))*1000000,"—"),"—"),"—")</f>
        <v>—</v>
      </c>
      <c r="J143" s="207" t="str">
        <f aca="false">IFERROR(IF(AND(F27="YES",ISNUMBER(D89),D89&gt;0,ISNUMBER(D27),D27&gt;0),IF((D89*IF(ISNUMBER(E27),E27,0)/($C$9*(D27^2+IF(ISNUMBER(E27),E27,0)^2)))&gt;0,(D89*IF(ISNUMBER(E27),E27,0)/($C$9*(D27^2+IF(ISNUMBER(E27),E27,0)^2)))/(2*PI()*C27*1000000)*1000000000000,"—"),"—"),"—")</f>
        <v>—</v>
      </c>
    </row>
    <row r="144" customFormat="false" ht="12.75" hidden="false" customHeight="false" outlineLevel="0" collapsed="false">
      <c r="A144" s="1"/>
      <c r="B144" s="206" t="n">
        <v>11</v>
      </c>
      <c r="C144" s="207" t="str">
        <f aca="false">C28</f>
        <v/>
      </c>
      <c r="D144" s="207" t="str">
        <f aca="false">D28</f>
        <v/>
      </c>
      <c r="E144" s="207" t="str">
        <f aca="false">IF(ISNUMBER(E28),E28,"—")</f>
        <v>—</v>
      </c>
      <c r="F144" s="207" t="str">
        <f aca="false">IF(ISNUMBER(E90),E90,"—")</f>
        <v>—</v>
      </c>
      <c r="G144" s="208" t="str">
        <f aca="false">IFERROR(IF(AND(F28="YES",ISNUMBER(D90),D90&gt;0,ISNUMBER(D28),D28&gt;0),IF(($C$9*IF(ISNUMBER(E28),E28,0)/D90)&lt;0,ABS($C$9*IF(ISNUMBER(E28),E28,0)/D90)/(2*PI()*C28*1000000)*1000000,"—"),"—"),"—")</f>
        <v>—</v>
      </c>
      <c r="H144" s="207" t="str">
        <f aca="false">IFERROR(IF(AND(F28="YES",ISNUMBER(D90),D90&gt;0,ISNUMBER(D28),D28&gt;0),IF(($C$9*IF(ISNUMBER(E28),E28,0)/D90)&gt;0,1/((2*PI()*C28*1000000)*ABS($C$9*IF(ISNUMBER(E28),E28,0)/D90))*1000000000000,"—"),"—"),"—")</f>
        <v>—</v>
      </c>
      <c r="I144" s="208" t="str">
        <f aca="false">IFERROR(IF(AND(F28="YES",ISNUMBER(D90),D90&gt;0,ISNUMBER(D28),D28&gt;0),IF((D90*IF(ISNUMBER(E28),E28,0)/($C$9*(D28^2+IF(ISNUMBER(E28),E28,0)^2)))&lt;0,-1/((2*PI()*C28*1000000)*(D90*IF(ISNUMBER(E28),E28,0)/($C$9*(D28^2+IF(ISNUMBER(E28),E28,0)^2))))*1000000,"—"),"—"),"—")</f>
        <v>—</v>
      </c>
      <c r="J144" s="207" t="str">
        <f aca="false">IFERROR(IF(AND(F28="YES",ISNUMBER(D90),D90&gt;0,ISNUMBER(D28),D28&gt;0),IF((D90*IF(ISNUMBER(E28),E28,0)/($C$9*(D28^2+IF(ISNUMBER(E28),E28,0)^2)))&gt;0,(D90*IF(ISNUMBER(E28),E28,0)/($C$9*(D28^2+IF(ISNUMBER(E28),E28,0)^2)))/(2*PI()*C28*1000000)*1000000000000,"—"),"—"),"—")</f>
        <v>—</v>
      </c>
    </row>
    <row r="145" customFormat="false" ht="12.75" hidden="false" customHeight="false" outlineLevel="0" collapsed="false">
      <c r="A145" s="1"/>
      <c r="B145" s="1"/>
      <c r="C145" s="1"/>
      <c r="D145" s="1"/>
      <c r="E145" s="1"/>
      <c r="F145" s="1"/>
      <c r="G145" s="1"/>
      <c r="H145" s="1"/>
      <c r="I145" s="1"/>
      <c r="J145" s="1"/>
    </row>
    <row r="146" customFormat="false" ht="12.75" hidden="false" customHeight="false" outlineLevel="0" collapsed="false">
      <c r="A146" s="1"/>
      <c r="B146" s="203" t="s">
        <v>349</v>
      </c>
      <c r="C146" s="203"/>
      <c r="D146" s="203"/>
      <c r="E146" s="203"/>
      <c r="F146" s="203"/>
      <c r="G146" s="203"/>
      <c r="H146" s="203"/>
      <c r="I146" s="203"/>
      <c r="J146" s="203"/>
    </row>
    <row r="147" customFormat="false" ht="12.75" hidden="false" customHeight="false" outlineLevel="0" collapsed="false">
      <c r="A147" s="1"/>
      <c r="B147" s="209" t="s">
        <v>350</v>
      </c>
      <c r="C147" s="204" t="s">
        <v>351</v>
      </c>
      <c r="D147" s="204"/>
      <c r="E147" s="204"/>
      <c r="F147" s="204"/>
      <c r="G147" s="204"/>
      <c r="H147" s="204"/>
      <c r="I147" s="204"/>
      <c r="J147" s="204"/>
    </row>
    <row r="148" customFormat="false" ht="12.75" hidden="false" customHeight="false" outlineLevel="0" collapsed="false">
      <c r="A148" s="1"/>
      <c r="B148" s="209" t="s">
        <v>352</v>
      </c>
      <c r="C148" s="204" t="s">
        <v>353</v>
      </c>
      <c r="D148" s="204"/>
      <c r="E148" s="204"/>
      <c r="F148" s="204"/>
      <c r="G148" s="204"/>
      <c r="H148" s="204"/>
      <c r="I148" s="204"/>
      <c r="J148" s="204"/>
    </row>
    <row r="149" customFormat="false" ht="12.75" hidden="false" customHeight="false" outlineLevel="0" collapsed="false">
      <c r="A149" s="1"/>
      <c r="B149" s="209" t="s">
        <v>354</v>
      </c>
      <c r="C149" s="204" t="s">
        <v>355</v>
      </c>
      <c r="D149" s="204"/>
      <c r="E149" s="204"/>
      <c r="F149" s="204"/>
      <c r="G149" s="204"/>
      <c r="H149" s="204"/>
      <c r="I149" s="204"/>
      <c r="J149" s="204"/>
    </row>
    <row r="150" customFormat="false" ht="12.75" hidden="false" customHeight="false" outlineLevel="0" collapsed="false">
      <c r="A150" s="1"/>
      <c r="B150" s="209" t="s">
        <v>356</v>
      </c>
      <c r="C150" s="204" t="s">
        <v>357</v>
      </c>
      <c r="D150" s="204"/>
      <c r="E150" s="204"/>
      <c r="F150" s="204"/>
      <c r="G150" s="204"/>
      <c r="H150" s="204"/>
      <c r="I150" s="204"/>
      <c r="J150" s="204"/>
    </row>
    <row r="151" customFormat="false" ht="12.75" hidden="false" customHeight="false" outlineLevel="0" collapsed="false">
      <c r="A151" s="1"/>
      <c r="B151" s="209" t="s">
        <v>358</v>
      </c>
      <c r="C151" s="204" t="s">
        <v>359</v>
      </c>
      <c r="D151" s="204"/>
      <c r="E151" s="204"/>
      <c r="F151" s="204"/>
      <c r="G151" s="204"/>
      <c r="H151" s="204"/>
      <c r="I151" s="204"/>
      <c r="J151" s="204"/>
    </row>
    <row r="152" customFormat="false" ht="12.75" hidden="false" customHeight="false" outlineLevel="0" collapsed="false">
      <c r="A152" s="1"/>
      <c r="B152" s="209" t="s">
        <v>360</v>
      </c>
      <c r="C152" s="204" t="s">
        <v>361</v>
      </c>
      <c r="D152" s="204"/>
      <c r="E152" s="204"/>
      <c r="F152" s="204"/>
      <c r="G152" s="204"/>
      <c r="H152" s="204"/>
      <c r="I152" s="204"/>
      <c r="J152" s="204"/>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J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10" width="9.6"/>
    <col collapsed="false" customWidth="true" hidden="false" outlineLevel="0" max="12" min="2" style="210" width="9"/>
    <col collapsed="false" customWidth="true" hidden="false" outlineLevel="0" max="13" min="13" style="210" width="13"/>
    <col collapsed="false" customWidth="true" hidden="false" outlineLevel="0" max="14" min="14" style="210" width="8"/>
    <col collapsed="false" customWidth="true" hidden="false" outlineLevel="0" max="15" min="15" style="210" width="16"/>
    <col collapsed="false" customWidth="false" hidden="false" outlineLevel="0" max="16384" min="16" style="210" width="8.68"/>
  </cols>
  <sheetData>
    <row r="1" customFormat="false" ht="15" hidden="false" customHeight="true" outlineLevel="0" collapsed="false">
      <c r="A1" s="211" t="s">
        <v>362</v>
      </c>
      <c r="B1" s="211"/>
      <c r="C1" s="211"/>
      <c r="D1" s="211"/>
      <c r="E1" s="211"/>
      <c r="F1" s="211"/>
      <c r="G1" s="211"/>
      <c r="H1" s="211"/>
      <c r="I1" s="211"/>
      <c r="J1" s="211"/>
      <c r="K1" s="211"/>
      <c r="L1" s="211"/>
      <c r="M1" s="211"/>
      <c r="N1" s="211"/>
      <c r="O1" s="211"/>
    </row>
    <row r="2" customFormat="false" ht="15" hidden="false" customHeight="true" outlineLevel="0" collapsed="false">
      <c r="A2" s="3" t="s">
        <v>1</v>
      </c>
      <c r="B2" s="3"/>
      <c r="C2" s="3"/>
      <c r="D2" s="3"/>
      <c r="E2" s="3"/>
      <c r="F2" s="3"/>
      <c r="G2" s="3"/>
      <c r="H2" s="3"/>
      <c r="I2" s="212"/>
      <c r="J2" s="212"/>
      <c r="K2" s="212"/>
      <c r="L2" s="212"/>
      <c r="M2" s="212"/>
      <c r="N2" s="212"/>
      <c r="O2" s="212"/>
    </row>
    <row r="3" customFormat="false" ht="15" hidden="false" customHeight="true" outlineLevel="0" collapsed="false">
      <c r="A3" s="212"/>
      <c r="B3" s="212"/>
      <c r="C3" s="212"/>
      <c r="D3" s="212"/>
      <c r="E3" s="212"/>
      <c r="F3" s="212"/>
      <c r="G3" s="212"/>
      <c r="H3" s="212"/>
      <c r="I3" s="212"/>
      <c r="J3" s="212"/>
      <c r="K3" s="212"/>
      <c r="L3" s="212"/>
      <c r="M3" s="212"/>
      <c r="N3" s="212"/>
      <c r="O3" s="212"/>
    </row>
    <row r="4" customFormat="false" ht="33.75" hidden="false" customHeight="true" outlineLevel="0" collapsed="false">
      <c r="A4" s="213" t="s">
        <v>363</v>
      </c>
      <c r="B4" s="213"/>
      <c r="C4" s="213"/>
      <c r="D4" s="213"/>
      <c r="E4" s="213"/>
      <c r="F4" s="213"/>
      <c r="G4" s="213"/>
      <c r="H4" s="213"/>
      <c r="I4" s="213"/>
      <c r="J4" s="213"/>
      <c r="K4" s="213"/>
      <c r="L4" s="213"/>
      <c r="M4" s="213"/>
      <c r="N4" s="213"/>
      <c r="O4" s="213"/>
    </row>
    <row r="5" customFormat="false" ht="15" hidden="false" customHeight="true" outlineLevel="0" collapsed="false">
      <c r="A5" s="214" t="s">
        <v>364</v>
      </c>
      <c r="B5" s="214"/>
      <c r="C5" s="214"/>
      <c r="D5" s="214"/>
      <c r="E5" s="214"/>
      <c r="F5" s="214"/>
      <c r="G5" s="214"/>
      <c r="H5" s="214"/>
      <c r="I5" s="214"/>
      <c r="J5" s="214"/>
      <c r="K5" s="214"/>
      <c r="L5" s="214"/>
      <c r="M5" s="214"/>
      <c r="N5" s="214"/>
      <c r="O5" s="214"/>
    </row>
    <row r="6" customFormat="false" ht="36.75" hidden="false" customHeight="true" outlineLevel="0" collapsed="false">
      <c r="A6" s="215" t="s">
        <v>365</v>
      </c>
      <c r="B6" s="215" t="s">
        <v>366</v>
      </c>
      <c r="C6" s="215" t="s">
        <v>367</v>
      </c>
      <c r="D6" s="215" t="s">
        <v>368</v>
      </c>
      <c r="E6" s="215" t="s">
        <v>369</v>
      </c>
      <c r="F6" s="215" t="s">
        <v>370</v>
      </c>
      <c r="G6" s="215" t="s">
        <v>371</v>
      </c>
      <c r="H6" s="215" t="s">
        <v>372</v>
      </c>
      <c r="I6" s="215" t="s">
        <v>373</v>
      </c>
      <c r="J6" s="215" t="s">
        <v>374</v>
      </c>
      <c r="K6" s="215" t="s">
        <v>375</v>
      </c>
      <c r="L6" s="215" t="s">
        <v>376</v>
      </c>
      <c r="M6" s="215" t="s">
        <v>377</v>
      </c>
      <c r="N6" s="215" t="s">
        <v>33</v>
      </c>
      <c r="O6" s="215" t="s">
        <v>378</v>
      </c>
    </row>
    <row r="7" customFormat="false" ht="15" hidden="false" customHeight="true" outlineLevel="0" collapsed="false">
      <c r="A7" s="216" t="n">
        <v>5</v>
      </c>
      <c r="B7" s="217" t="n">
        <f aca="false">IF(Calculator!$E$12="YES",IF(A7&lt;Calculator!$G$12,0,MIN(MIN(MOD(A7/Calculator!$F$12,1),1-MOD(A7/Calculator!$F$12,1)),ABS(MOD(A7/Calculator!$F$12,1)-0.5))),1)</f>
        <v>1</v>
      </c>
      <c r="C7" s="217" t="n">
        <f aca="false">IF(Calculator!$E$13="YES",IF(A7&lt;Calculator!$G$13,0,MIN(MIN(MOD(A7/Calculator!$F$13,1),1-MOD(A7/Calculator!$F$13,1)),ABS(MOD(A7/Calculator!$F$13,1)-0.5))),1)</f>
        <v>1</v>
      </c>
      <c r="D7" s="217" t="n">
        <f aca="false">IF(Calculator!$E$14="YES",IF(A7&lt;Calculator!$G$14,0,MIN(MIN(MOD(A7/Calculator!$F$14,1),1-MOD(A7/Calculator!$F$14,1)),ABS(MOD(A7/Calculator!$F$14,1)-0.5))),1)</f>
        <v>1</v>
      </c>
      <c r="E7" s="217" t="n">
        <f aca="false">IF(Calculator!$E$15="YES",IF(A7&lt;Calculator!$G$15,0,MIN(MIN(MOD(A7/Calculator!$F$15,1),1-MOD(A7/Calculator!$F$15,1)),ABS(MOD(A7/Calculator!$F$15,1)-0.5))),1)</f>
        <v>0</v>
      </c>
      <c r="F7" s="217" t="n">
        <f aca="false">IF(Calculator!$E$16="YES",IF(A7&lt;Calculator!$G$16,0,MIN(MIN(MOD(A7/Calculator!$F$16,1),1-MOD(A7/Calculator!$F$16,1)),ABS(MOD(A7/Calculator!$F$16,1)-0.5))),1)</f>
        <v>1</v>
      </c>
      <c r="G7" s="217" t="n">
        <f aca="false">IF(Calculator!$E$17="YES",IF(A7&lt;Calculator!$G$17,0,MIN(MIN(MOD(A7/Calculator!$F$17,1),1-MOD(A7/Calculator!$F$17,1)),ABS(MOD(A7/Calculator!$F$17,1)-0.5))),1)</f>
        <v>0</v>
      </c>
      <c r="H7" s="217" t="n">
        <f aca="false">IF(Calculator!$E$18="YES",IF(A7&lt;Calculator!$G$18,0,MIN(MIN(MOD(A7/Calculator!$F$18,1),1-MOD(A7/Calculator!$F$18,1)),ABS(MOD(A7/Calculator!$F$18,1)-0.5))),1)</f>
        <v>1</v>
      </c>
      <c r="I7" s="217" t="n">
        <f aca="false">IF(Calculator!$E$19="YES",IF(A7&lt;Calculator!$G$19,0,MIN(MIN(MOD(A7/Calculator!$F$19,1),1-MOD(A7/Calculator!$F$19,1)),ABS(MOD(A7/Calculator!$F$19,1)-0.5))),1)</f>
        <v>1</v>
      </c>
      <c r="J7" s="217" t="n">
        <f aca="false">IF(Calculator!$E$20="YES",IF(A7&lt;Calculator!$G$20,0,MIN(MIN(MOD(A7/Calculator!$F$20,1),1-MOD(A7/Calculator!$F$20,1)),ABS(MOD(A7/Calculator!$F$20,1)-0.5))),1)</f>
        <v>1</v>
      </c>
      <c r="K7" s="217" t="n">
        <f aca="false">IF(Calculator!$E$21="YES",IF(A7&lt;Calculator!$G$21,0,MIN(MIN(MOD(A7/Calculator!$F$21,1),1-MOD(A7/Calculator!$F$21,1)),ABS(MOD(A7/Calculator!$F$21,1)-0.5))),1)</f>
        <v>0.012280701754386</v>
      </c>
      <c r="L7" s="217" t="n">
        <f aca="false">IF(Calculator!$E$22="YES",IF(A7&lt;Calculator!$G$22,0,MIN(MIN(MOD(A7/Calculator!$F$22,1),1-MOD(A7/Calculator!$F$22,1)),ABS(MOD(A7/Calculator!$F$22,1)-0.5))),1)</f>
        <v>1</v>
      </c>
      <c r="M7" s="217" t="n">
        <f aca="false">MIN(B7:L7)</f>
        <v>0</v>
      </c>
      <c r="N7" s="217" t="n">
        <f aca="false">SUMPRODUCT(($M$7:$M$557&gt;M7)*1)+SUMPRODUCT(($M$7:$M$557=M7)*(ROW($M$7:$M$557)&lt;ROW(M7)))+1</f>
        <v>502</v>
      </c>
      <c r="O7" s="217" t="str">
        <f aca="false">IF(M7&gt;=0.2,"★★★ EXCELLENT",IF(M7&gt;=0.12,"★★  GOOD",IF(M7&gt;=0.07,"★  FAIR",IF(M7&gt;=0.025,"⚠  MARGINAL","✗  AVOID"))))</f>
        <v>✗  AVOID</v>
      </c>
    </row>
    <row r="8" customFormat="false" ht="15" hidden="false" customHeight="true" outlineLevel="0" collapsed="false">
      <c r="A8" s="218" t="n">
        <v>5.1</v>
      </c>
      <c r="B8" s="219" t="n">
        <f aca="false">IF(Calculator!$E$12="YES",IF(A8&lt;Calculator!$G$12,0,MIN(MIN(MOD(A8/Calculator!$F$12,1),1-MOD(A8/Calculator!$F$12,1)),ABS(MOD(A8/Calculator!$F$12,1)-0.5))),1)</f>
        <v>1</v>
      </c>
      <c r="C8" s="219" t="n">
        <f aca="false">IF(Calculator!$E$13="YES",IF(A8&lt;Calculator!$G$13,0,MIN(MIN(MOD(A8/Calculator!$F$13,1),1-MOD(A8/Calculator!$F$13,1)),ABS(MOD(A8/Calculator!$F$13,1)-0.5))),1)</f>
        <v>1</v>
      </c>
      <c r="D8" s="219" t="n">
        <f aca="false">IF(Calculator!$E$14="YES",IF(A8&lt;Calculator!$G$14,0,MIN(MIN(MOD(A8/Calculator!$F$14,1),1-MOD(A8/Calculator!$F$14,1)),ABS(MOD(A8/Calculator!$F$14,1)-0.5))),1)</f>
        <v>1</v>
      </c>
      <c r="E8" s="219" t="n">
        <f aca="false">IF(Calculator!$E$15="YES",IF(A8&lt;Calculator!$G$15,0,MIN(MIN(MOD(A8/Calculator!$F$15,1),1-MOD(A8/Calculator!$F$15,1)),ABS(MOD(A8/Calculator!$F$15,1)-0.5))),1)</f>
        <v>0</v>
      </c>
      <c r="F8" s="219" t="n">
        <f aca="false">IF(Calculator!$E$16="YES",IF(A8&lt;Calculator!$G$16,0,MIN(MIN(MOD(A8/Calculator!$F$16,1),1-MOD(A8/Calculator!$F$16,1)),ABS(MOD(A8/Calculator!$F$16,1)-0.5))),1)</f>
        <v>1</v>
      </c>
      <c r="G8" s="219" t="n">
        <f aca="false">IF(Calculator!$E$17="YES",IF(A8&lt;Calculator!$G$17,0,MIN(MIN(MOD(A8/Calculator!$F$17,1),1-MOD(A8/Calculator!$F$17,1)),ABS(MOD(A8/Calculator!$F$17,1)-0.5))),1)</f>
        <v>0.00731578947368416</v>
      </c>
      <c r="H8" s="219" t="n">
        <f aca="false">IF(Calculator!$E$18="YES",IF(A8&lt;Calculator!$G$18,0,MIN(MIN(MOD(A8/Calculator!$F$18,1),1-MOD(A8/Calculator!$F$18,1)),ABS(MOD(A8/Calculator!$F$18,1)-0.5))),1)</f>
        <v>1</v>
      </c>
      <c r="I8" s="219" t="n">
        <f aca="false">IF(Calculator!$E$19="YES",IF(A8&lt;Calculator!$G$19,0,MIN(MIN(MOD(A8/Calculator!$F$19,1),1-MOD(A8/Calculator!$F$19,1)),ABS(MOD(A8/Calculator!$F$19,1)-0.5))),1)</f>
        <v>1</v>
      </c>
      <c r="J8" s="219" t="n">
        <f aca="false">IF(Calculator!$E$20="YES",IF(A8&lt;Calculator!$G$20,0,MIN(MIN(MOD(A8/Calculator!$F$20,1),1-MOD(A8/Calculator!$F$20,1)),ABS(MOD(A8/Calculator!$F$20,1)-0.5))),1)</f>
        <v>1</v>
      </c>
      <c r="K8" s="219" t="n">
        <f aca="false">IF(Calculator!$E$21="YES",IF(A8&lt;Calculator!$G$21,0,MIN(MIN(MOD(A8/Calculator!$F$21,1),1-MOD(A8/Calculator!$F$21,1)),ABS(MOD(A8/Calculator!$F$21,1)-0.5))),1)</f>
        <v>0.0325263157894735</v>
      </c>
      <c r="L8" s="219" t="n">
        <f aca="false">IF(Calculator!$E$22="YES",IF(A8&lt;Calculator!$G$22,0,MIN(MIN(MOD(A8/Calculator!$F$22,1),1-MOD(A8/Calculator!$F$22,1)),ABS(MOD(A8/Calculator!$F$22,1)-0.5))),1)</f>
        <v>1</v>
      </c>
      <c r="M8" s="219" t="n">
        <f aca="false">MIN(B8:L8)</f>
        <v>0</v>
      </c>
      <c r="N8" s="219" t="n">
        <f aca="false">SUMPRODUCT(($M$7:$M$557&gt;M8)*1)+SUMPRODUCT(($M$7:$M$557=M8)*(ROW($M$7:$M$557)&lt;ROW(M8)))+1</f>
        <v>503</v>
      </c>
      <c r="O8" s="219" t="str">
        <f aca="false">IF(M8&gt;=0.2,"★★★ EXCELLENT",IF(M8&gt;=0.12,"★★  GOOD",IF(M8&gt;=0.07,"★  FAIR",IF(M8&gt;=0.025,"⚠  MARGINAL","✗  AVOID"))))</f>
        <v>✗  AVOID</v>
      </c>
    </row>
    <row r="9" customFormat="false" ht="15" hidden="false" customHeight="true" outlineLevel="0" collapsed="false">
      <c r="A9" s="216" t="n">
        <v>5.2</v>
      </c>
      <c r="B9" s="217" t="n">
        <f aca="false">IF(Calculator!$E$12="YES",IF(A9&lt;Calculator!$G$12,0,MIN(MIN(MOD(A9/Calculator!$F$12,1),1-MOD(A9/Calculator!$F$12,1)),ABS(MOD(A9/Calculator!$F$12,1)-0.5))),1)</f>
        <v>1</v>
      </c>
      <c r="C9" s="217" t="n">
        <f aca="false">IF(Calculator!$E$13="YES",IF(A9&lt;Calculator!$G$13,0,MIN(MIN(MOD(A9/Calculator!$F$13,1),1-MOD(A9/Calculator!$F$13,1)),ABS(MOD(A9/Calculator!$F$13,1)-0.5))),1)</f>
        <v>1</v>
      </c>
      <c r="D9" s="217" t="n">
        <f aca="false">IF(Calculator!$E$14="YES",IF(A9&lt;Calculator!$G$14,0,MIN(MIN(MOD(A9/Calculator!$F$14,1),1-MOD(A9/Calculator!$F$14,1)),ABS(MOD(A9/Calculator!$F$14,1)-0.5))),1)</f>
        <v>1</v>
      </c>
      <c r="E9" s="217" t="n">
        <f aca="false">IF(Calculator!$E$15="YES",IF(A9&lt;Calculator!$G$15,0,MIN(MIN(MOD(A9/Calculator!$F$15,1),1-MOD(A9/Calculator!$F$15,1)),ABS(MOD(A9/Calculator!$F$15,1)-0.5))),1)</f>
        <v>0</v>
      </c>
      <c r="F9" s="217" t="n">
        <f aca="false">IF(Calculator!$E$16="YES",IF(A9&lt;Calculator!$G$16,0,MIN(MIN(MOD(A9/Calculator!$F$16,1),1-MOD(A9/Calculator!$F$16,1)),ABS(MOD(A9/Calculator!$F$16,1)-0.5))),1)</f>
        <v>1</v>
      </c>
      <c r="G9" s="217" t="n">
        <f aca="false">IF(Calculator!$E$17="YES",IF(A9&lt;Calculator!$G$17,0,MIN(MIN(MOD(A9/Calculator!$F$17,1),1-MOD(A9/Calculator!$F$17,1)),ABS(MOD(A9/Calculator!$F$17,1)-0.5))),1)</f>
        <v>0.0172631578947369</v>
      </c>
      <c r="H9" s="217" t="n">
        <f aca="false">IF(Calculator!$E$18="YES",IF(A9&lt;Calculator!$G$18,0,MIN(MIN(MOD(A9/Calculator!$F$18,1),1-MOD(A9/Calculator!$F$18,1)),ABS(MOD(A9/Calculator!$F$18,1)-0.5))),1)</f>
        <v>1</v>
      </c>
      <c r="I9" s="217" t="n">
        <f aca="false">IF(Calculator!$E$19="YES",IF(A9&lt;Calculator!$G$19,0,MIN(MIN(MOD(A9/Calculator!$F$19,1),1-MOD(A9/Calculator!$F$19,1)),ABS(MOD(A9/Calculator!$F$19,1)-0.5))),1)</f>
        <v>1</v>
      </c>
      <c r="J9" s="217" t="n">
        <f aca="false">IF(Calculator!$E$20="YES",IF(A9&lt;Calculator!$G$20,0,MIN(MIN(MOD(A9/Calculator!$F$20,1),1-MOD(A9/Calculator!$F$20,1)),ABS(MOD(A9/Calculator!$F$20,1)-0.5))),1)</f>
        <v>1</v>
      </c>
      <c r="K9" s="217" t="n">
        <f aca="false">IF(Calculator!$E$21="YES",IF(A9&lt;Calculator!$G$21,0,MIN(MIN(MOD(A9/Calculator!$F$21,1),1-MOD(A9/Calculator!$F$21,1)),ABS(MOD(A9/Calculator!$F$21,1)-0.5))),1)</f>
        <v>0.0527719298245615</v>
      </c>
      <c r="L9" s="217" t="n">
        <f aca="false">IF(Calculator!$E$22="YES",IF(A9&lt;Calculator!$G$22,0,MIN(MIN(MOD(A9/Calculator!$F$22,1),1-MOD(A9/Calculator!$F$22,1)),ABS(MOD(A9/Calculator!$F$22,1)-0.5))),1)</f>
        <v>1</v>
      </c>
      <c r="M9" s="217" t="n">
        <f aca="false">MIN(B9:L9)</f>
        <v>0</v>
      </c>
      <c r="N9" s="217" t="n">
        <f aca="false">SUMPRODUCT(($M$7:$M$557&gt;M9)*1)+SUMPRODUCT(($M$7:$M$557=M9)*(ROW($M$7:$M$557)&lt;ROW(M9)))+1</f>
        <v>504</v>
      </c>
      <c r="O9" s="217" t="str">
        <f aca="false">IF(M9&gt;=0.2,"★★★ EXCELLENT",IF(M9&gt;=0.12,"★★  GOOD",IF(M9&gt;=0.07,"★  FAIR",IF(M9&gt;=0.025,"⚠  MARGINAL","✗  AVOID"))))</f>
        <v>✗  AVOID</v>
      </c>
    </row>
    <row r="10" customFormat="false" ht="15" hidden="false" customHeight="true" outlineLevel="0" collapsed="false">
      <c r="A10" s="218" t="n">
        <v>5.3</v>
      </c>
      <c r="B10" s="219" t="n">
        <f aca="false">IF(Calculator!$E$12="YES",IF(A10&lt;Calculator!$G$12,0,MIN(MIN(MOD(A10/Calculator!$F$12,1),1-MOD(A10/Calculator!$F$12,1)),ABS(MOD(A10/Calculator!$F$12,1)-0.5))),1)</f>
        <v>1</v>
      </c>
      <c r="C10" s="219" t="n">
        <f aca="false">IF(Calculator!$E$13="YES",IF(A10&lt;Calculator!$G$13,0,MIN(MIN(MOD(A10/Calculator!$F$13,1),1-MOD(A10/Calculator!$F$13,1)),ABS(MOD(A10/Calculator!$F$13,1)-0.5))),1)</f>
        <v>1</v>
      </c>
      <c r="D10" s="219" t="n">
        <f aca="false">IF(Calculator!$E$14="YES",IF(A10&lt;Calculator!$G$14,0,MIN(MIN(MOD(A10/Calculator!$F$14,1),1-MOD(A10/Calculator!$F$14,1)),ABS(MOD(A10/Calculator!$F$14,1)-0.5))),1)</f>
        <v>1</v>
      </c>
      <c r="E10" s="219" t="n">
        <f aca="false">IF(Calculator!$E$15="YES",IF(A10&lt;Calculator!$G$15,0,MIN(MIN(MOD(A10/Calculator!$F$15,1),1-MOD(A10/Calculator!$F$15,1)),ABS(MOD(A10/Calculator!$F$15,1)-0.5))),1)</f>
        <v>0</v>
      </c>
      <c r="F10" s="219" t="n">
        <f aca="false">IF(Calculator!$E$16="YES",IF(A10&lt;Calculator!$G$16,0,MIN(MIN(MOD(A10/Calculator!$F$16,1),1-MOD(A10/Calculator!$F$16,1)),ABS(MOD(A10/Calculator!$F$16,1)-0.5))),1)</f>
        <v>1</v>
      </c>
      <c r="G10" s="219" t="n">
        <f aca="false">IF(Calculator!$E$17="YES",IF(A10&lt;Calculator!$G$17,0,MIN(MIN(MOD(A10/Calculator!$F$17,1),1-MOD(A10/Calculator!$F$17,1)),ABS(MOD(A10/Calculator!$F$17,1)-0.5))),1)</f>
        <v>0.0272105263157895</v>
      </c>
      <c r="H10" s="219" t="n">
        <f aca="false">IF(Calculator!$E$18="YES",IF(A10&lt;Calculator!$G$18,0,MIN(MIN(MOD(A10/Calculator!$F$18,1),1-MOD(A10/Calculator!$F$18,1)),ABS(MOD(A10/Calculator!$F$18,1)-0.5))),1)</f>
        <v>1</v>
      </c>
      <c r="I10" s="219" t="n">
        <f aca="false">IF(Calculator!$E$19="YES",IF(A10&lt;Calculator!$G$19,0,MIN(MIN(MOD(A10/Calculator!$F$19,1),1-MOD(A10/Calculator!$F$19,1)),ABS(MOD(A10/Calculator!$F$19,1)-0.5))),1)</f>
        <v>1</v>
      </c>
      <c r="J10" s="219" t="n">
        <f aca="false">IF(Calculator!$E$20="YES",IF(A10&lt;Calculator!$G$20,0,MIN(MIN(MOD(A10/Calculator!$F$20,1),1-MOD(A10/Calculator!$F$20,1)),ABS(MOD(A10/Calculator!$F$20,1)-0.5))),1)</f>
        <v>1</v>
      </c>
      <c r="K10" s="219" t="n">
        <f aca="false">IF(Calculator!$E$21="YES",IF(A10&lt;Calculator!$G$21,0,MIN(MIN(MOD(A10/Calculator!$F$21,1),1-MOD(A10/Calculator!$F$21,1)),ABS(MOD(A10/Calculator!$F$21,1)-0.5))),1)</f>
        <v>0.073017543859649</v>
      </c>
      <c r="L10" s="219" t="n">
        <f aca="false">IF(Calculator!$E$22="YES",IF(A10&lt;Calculator!$G$22,0,MIN(MIN(MOD(A10/Calculator!$F$22,1),1-MOD(A10/Calculator!$F$22,1)),ABS(MOD(A10/Calculator!$F$22,1)-0.5))),1)</f>
        <v>1</v>
      </c>
      <c r="M10" s="219" t="n">
        <f aca="false">MIN(B10:L10)</f>
        <v>0</v>
      </c>
      <c r="N10" s="219" t="n">
        <f aca="false">SUMPRODUCT(($M$7:$M$557&gt;M10)*1)+SUMPRODUCT(($M$7:$M$557=M10)*(ROW($M$7:$M$557)&lt;ROW(M10)))+1</f>
        <v>505</v>
      </c>
      <c r="O10" s="219" t="str">
        <f aca="false">IF(M10&gt;=0.2,"★★★ EXCELLENT",IF(M10&gt;=0.12,"★★  GOOD",IF(M10&gt;=0.07,"★  FAIR",IF(M10&gt;=0.025,"⚠  MARGINAL","✗  AVOID"))))</f>
        <v>✗  AVOID</v>
      </c>
    </row>
    <row r="11" customFormat="false" ht="15" hidden="false" customHeight="true" outlineLevel="0" collapsed="false">
      <c r="A11" s="216" t="n">
        <v>5.4</v>
      </c>
      <c r="B11" s="217" t="n">
        <f aca="false">IF(Calculator!$E$12="YES",IF(A11&lt;Calculator!$G$12,0,MIN(MIN(MOD(A11/Calculator!$F$12,1),1-MOD(A11/Calculator!$F$12,1)),ABS(MOD(A11/Calculator!$F$12,1)-0.5))),1)</f>
        <v>1</v>
      </c>
      <c r="C11" s="217" t="n">
        <f aca="false">IF(Calculator!$E$13="YES",IF(A11&lt;Calculator!$G$13,0,MIN(MIN(MOD(A11/Calculator!$F$13,1),1-MOD(A11/Calculator!$F$13,1)),ABS(MOD(A11/Calculator!$F$13,1)-0.5))),1)</f>
        <v>1</v>
      </c>
      <c r="D11" s="217" t="n">
        <f aca="false">IF(Calculator!$E$14="YES",IF(A11&lt;Calculator!$G$14,0,MIN(MIN(MOD(A11/Calculator!$F$14,1),1-MOD(A11/Calculator!$F$14,1)),ABS(MOD(A11/Calculator!$F$14,1)-0.5))),1)</f>
        <v>1</v>
      </c>
      <c r="E11" s="217" t="n">
        <f aca="false">IF(Calculator!$E$15="YES",IF(A11&lt;Calculator!$G$15,0,MIN(MIN(MOD(A11/Calculator!$F$15,1),1-MOD(A11/Calculator!$F$15,1)),ABS(MOD(A11/Calculator!$F$15,1)-0.5))),1)</f>
        <v>0</v>
      </c>
      <c r="F11" s="217" t="n">
        <f aca="false">IF(Calculator!$E$16="YES",IF(A11&lt;Calculator!$G$16,0,MIN(MIN(MOD(A11/Calculator!$F$16,1),1-MOD(A11/Calculator!$F$16,1)),ABS(MOD(A11/Calculator!$F$16,1)-0.5))),1)</f>
        <v>1</v>
      </c>
      <c r="G11" s="217" t="n">
        <f aca="false">IF(Calculator!$E$17="YES",IF(A11&lt;Calculator!$G$17,0,MIN(MIN(MOD(A11/Calculator!$F$17,1),1-MOD(A11/Calculator!$F$17,1)),ABS(MOD(A11/Calculator!$F$17,1)-0.5))),1)</f>
        <v>0.0371578947368422</v>
      </c>
      <c r="H11" s="217" t="n">
        <f aca="false">IF(Calculator!$E$18="YES",IF(A11&lt;Calculator!$G$18,0,MIN(MIN(MOD(A11/Calculator!$F$18,1),1-MOD(A11/Calculator!$F$18,1)),ABS(MOD(A11/Calculator!$F$18,1)-0.5))),1)</f>
        <v>1</v>
      </c>
      <c r="I11" s="217" t="n">
        <f aca="false">IF(Calculator!$E$19="YES",IF(A11&lt;Calculator!$G$19,0,MIN(MIN(MOD(A11/Calculator!$F$19,1),1-MOD(A11/Calculator!$F$19,1)),ABS(MOD(A11/Calculator!$F$19,1)-0.5))),1)</f>
        <v>1</v>
      </c>
      <c r="J11" s="217" t="n">
        <f aca="false">IF(Calculator!$E$20="YES",IF(A11&lt;Calculator!$G$20,0,MIN(MIN(MOD(A11/Calculator!$F$20,1),1-MOD(A11/Calculator!$F$20,1)),ABS(MOD(A11/Calculator!$F$20,1)-0.5))),1)</f>
        <v>1</v>
      </c>
      <c r="K11" s="217" t="n">
        <f aca="false">IF(Calculator!$E$21="YES",IF(A11&lt;Calculator!$G$21,0,MIN(MIN(MOD(A11/Calculator!$F$21,1),1-MOD(A11/Calculator!$F$21,1)),ABS(MOD(A11/Calculator!$F$21,1)-0.5))),1)</f>
        <v>0.0932631578947369</v>
      </c>
      <c r="L11" s="217" t="n">
        <f aca="false">IF(Calculator!$E$22="YES",IF(A11&lt;Calculator!$G$22,0,MIN(MIN(MOD(A11/Calculator!$F$22,1),1-MOD(A11/Calculator!$F$22,1)),ABS(MOD(A11/Calculator!$F$22,1)-0.5))),1)</f>
        <v>1</v>
      </c>
      <c r="M11" s="217" t="n">
        <f aca="false">MIN(B11:L11)</f>
        <v>0</v>
      </c>
      <c r="N11" s="217" t="n">
        <f aca="false">SUMPRODUCT(($M$7:$M$557&gt;M11)*1)+SUMPRODUCT(($M$7:$M$557=M11)*(ROW($M$7:$M$557)&lt;ROW(M11)))+1</f>
        <v>506</v>
      </c>
      <c r="O11" s="217" t="str">
        <f aca="false">IF(M11&gt;=0.2,"★★★ EXCELLENT",IF(M11&gt;=0.12,"★★  GOOD",IF(M11&gt;=0.07,"★  FAIR",IF(M11&gt;=0.025,"⚠  MARGINAL","✗  AVOID"))))</f>
        <v>✗  AVOID</v>
      </c>
    </row>
    <row r="12" customFormat="false" ht="15" hidden="false" customHeight="true" outlineLevel="0" collapsed="false">
      <c r="A12" s="218" t="n">
        <v>5.5</v>
      </c>
      <c r="B12" s="219" t="n">
        <f aca="false">IF(Calculator!$E$12="YES",IF(A12&lt;Calculator!$G$12,0,MIN(MIN(MOD(A12/Calculator!$F$12,1),1-MOD(A12/Calculator!$F$12,1)),ABS(MOD(A12/Calculator!$F$12,1)-0.5))),1)</f>
        <v>1</v>
      </c>
      <c r="C12" s="219" t="n">
        <f aca="false">IF(Calculator!$E$13="YES",IF(A12&lt;Calculator!$G$13,0,MIN(MIN(MOD(A12/Calculator!$F$13,1),1-MOD(A12/Calculator!$F$13,1)),ABS(MOD(A12/Calculator!$F$13,1)-0.5))),1)</f>
        <v>1</v>
      </c>
      <c r="D12" s="219" t="n">
        <f aca="false">IF(Calculator!$E$14="YES",IF(A12&lt;Calculator!$G$14,0,MIN(MIN(MOD(A12/Calculator!$F$14,1),1-MOD(A12/Calculator!$F$14,1)),ABS(MOD(A12/Calculator!$F$14,1)-0.5))),1)</f>
        <v>1</v>
      </c>
      <c r="E12" s="219" t="n">
        <f aca="false">IF(Calculator!$E$15="YES",IF(A12&lt;Calculator!$G$15,0,MIN(MIN(MOD(A12/Calculator!$F$15,1),1-MOD(A12/Calculator!$F$15,1)),ABS(MOD(A12/Calculator!$F$15,1)-0.5))),1)</f>
        <v>0</v>
      </c>
      <c r="F12" s="219" t="n">
        <f aca="false">IF(Calculator!$E$16="YES",IF(A12&lt;Calculator!$G$16,0,MIN(MIN(MOD(A12/Calculator!$F$16,1),1-MOD(A12/Calculator!$F$16,1)),ABS(MOD(A12/Calculator!$F$16,1)-0.5))),1)</f>
        <v>1</v>
      </c>
      <c r="G12" s="219" t="n">
        <f aca="false">IF(Calculator!$E$17="YES",IF(A12&lt;Calculator!$G$17,0,MIN(MIN(MOD(A12/Calculator!$F$17,1),1-MOD(A12/Calculator!$F$17,1)),ABS(MOD(A12/Calculator!$F$17,1)-0.5))),1)</f>
        <v>0.0471052631578948</v>
      </c>
      <c r="H12" s="219" t="n">
        <f aca="false">IF(Calculator!$E$18="YES",IF(A12&lt;Calculator!$G$18,0,MIN(MIN(MOD(A12/Calculator!$F$18,1),1-MOD(A12/Calculator!$F$18,1)),ABS(MOD(A12/Calculator!$F$18,1)-0.5))),1)</f>
        <v>1</v>
      </c>
      <c r="I12" s="219" t="n">
        <f aca="false">IF(Calculator!$E$19="YES",IF(A12&lt;Calculator!$G$19,0,MIN(MIN(MOD(A12/Calculator!$F$19,1),1-MOD(A12/Calculator!$F$19,1)),ABS(MOD(A12/Calculator!$F$19,1)-0.5))),1)</f>
        <v>1</v>
      </c>
      <c r="J12" s="219" t="n">
        <f aca="false">IF(Calculator!$E$20="YES",IF(A12&lt;Calculator!$G$20,0,MIN(MIN(MOD(A12/Calculator!$F$20,1),1-MOD(A12/Calculator!$F$20,1)),ABS(MOD(A12/Calculator!$F$20,1)-0.5))),1)</f>
        <v>1</v>
      </c>
      <c r="K12" s="219" t="n">
        <f aca="false">IF(Calculator!$E$21="YES",IF(A12&lt;Calculator!$G$21,0,MIN(MIN(MOD(A12/Calculator!$F$21,1),1-MOD(A12/Calculator!$F$21,1)),ABS(MOD(A12/Calculator!$F$21,1)-0.5))),1)</f>
        <v>0.113508771929824</v>
      </c>
      <c r="L12" s="219" t="n">
        <f aca="false">IF(Calculator!$E$22="YES",IF(A12&lt;Calculator!$G$22,0,MIN(MIN(MOD(A12/Calculator!$F$22,1),1-MOD(A12/Calculator!$F$22,1)),ABS(MOD(A12/Calculator!$F$22,1)-0.5))),1)</f>
        <v>1</v>
      </c>
      <c r="M12" s="219" t="n">
        <f aca="false">MIN(B12:L12)</f>
        <v>0</v>
      </c>
      <c r="N12" s="219" t="n">
        <f aca="false">SUMPRODUCT(($M$7:$M$557&gt;M12)*1)+SUMPRODUCT(($M$7:$M$557=M12)*(ROW($M$7:$M$557)&lt;ROW(M12)))+1</f>
        <v>507</v>
      </c>
      <c r="O12" s="219" t="str">
        <f aca="false">IF(M12&gt;=0.2,"★★★ EXCELLENT",IF(M12&gt;=0.12,"★★  GOOD",IF(M12&gt;=0.07,"★  FAIR",IF(M12&gt;=0.025,"⚠  MARGINAL","✗  AVOID"))))</f>
        <v>✗  AVOID</v>
      </c>
    </row>
    <row r="13" customFormat="false" ht="15" hidden="false" customHeight="true" outlineLevel="0" collapsed="false">
      <c r="A13" s="216" t="n">
        <v>5.6</v>
      </c>
      <c r="B13" s="217" t="n">
        <f aca="false">IF(Calculator!$E$12="YES",IF(A13&lt;Calculator!$G$12,0,MIN(MIN(MOD(A13/Calculator!$F$12,1),1-MOD(A13/Calculator!$F$12,1)),ABS(MOD(A13/Calculator!$F$12,1)-0.5))),1)</f>
        <v>1</v>
      </c>
      <c r="C13" s="217" t="n">
        <f aca="false">IF(Calculator!$E$13="YES",IF(A13&lt;Calculator!$G$13,0,MIN(MIN(MOD(A13/Calculator!$F$13,1),1-MOD(A13/Calculator!$F$13,1)),ABS(MOD(A13/Calculator!$F$13,1)-0.5))),1)</f>
        <v>1</v>
      </c>
      <c r="D13" s="217" t="n">
        <f aca="false">IF(Calculator!$E$14="YES",IF(A13&lt;Calculator!$G$14,0,MIN(MIN(MOD(A13/Calculator!$F$14,1),1-MOD(A13/Calculator!$F$14,1)),ABS(MOD(A13/Calculator!$F$14,1)-0.5))),1)</f>
        <v>1</v>
      </c>
      <c r="E13" s="217" t="n">
        <f aca="false">IF(Calculator!$E$15="YES",IF(A13&lt;Calculator!$G$15,0,MIN(MIN(MOD(A13/Calculator!$F$15,1),1-MOD(A13/Calculator!$F$15,1)),ABS(MOD(A13/Calculator!$F$15,1)-0.5))),1)</f>
        <v>0</v>
      </c>
      <c r="F13" s="217" t="n">
        <f aca="false">IF(Calculator!$E$16="YES",IF(A13&lt;Calculator!$G$16,0,MIN(MIN(MOD(A13/Calculator!$F$16,1),1-MOD(A13/Calculator!$F$16,1)),ABS(MOD(A13/Calculator!$F$16,1)-0.5))),1)</f>
        <v>1</v>
      </c>
      <c r="G13" s="217" t="n">
        <f aca="false">IF(Calculator!$E$17="YES",IF(A13&lt;Calculator!$G$17,0,MIN(MIN(MOD(A13/Calculator!$F$17,1),1-MOD(A13/Calculator!$F$17,1)),ABS(MOD(A13/Calculator!$F$17,1)-0.5))),1)</f>
        <v>0.0570526315789474</v>
      </c>
      <c r="H13" s="217" t="n">
        <f aca="false">IF(Calculator!$E$18="YES",IF(A13&lt;Calculator!$G$18,0,MIN(MIN(MOD(A13/Calculator!$F$18,1),1-MOD(A13/Calculator!$F$18,1)),ABS(MOD(A13/Calculator!$F$18,1)-0.5))),1)</f>
        <v>1</v>
      </c>
      <c r="I13" s="217" t="n">
        <f aca="false">IF(Calculator!$E$19="YES",IF(A13&lt;Calculator!$G$19,0,MIN(MIN(MOD(A13/Calculator!$F$19,1),1-MOD(A13/Calculator!$F$19,1)),ABS(MOD(A13/Calculator!$F$19,1)-0.5))),1)</f>
        <v>1</v>
      </c>
      <c r="J13" s="217" t="n">
        <f aca="false">IF(Calculator!$E$20="YES",IF(A13&lt;Calculator!$G$20,0,MIN(MIN(MOD(A13/Calculator!$F$20,1),1-MOD(A13/Calculator!$F$20,1)),ABS(MOD(A13/Calculator!$F$20,1)-0.5))),1)</f>
        <v>1</v>
      </c>
      <c r="K13" s="217" t="n">
        <f aca="false">IF(Calculator!$E$21="YES",IF(A13&lt;Calculator!$G$21,0,MIN(MIN(MOD(A13/Calculator!$F$21,1),1-MOD(A13/Calculator!$F$21,1)),ABS(MOD(A13/Calculator!$F$21,1)-0.5))),1)</f>
        <v>0.133754385964912</v>
      </c>
      <c r="L13" s="217" t="n">
        <f aca="false">IF(Calculator!$E$22="YES",IF(A13&lt;Calculator!$G$22,0,MIN(MIN(MOD(A13/Calculator!$F$22,1),1-MOD(A13/Calculator!$F$22,1)),ABS(MOD(A13/Calculator!$F$22,1)-0.5))),1)</f>
        <v>1</v>
      </c>
      <c r="M13" s="217" t="n">
        <f aca="false">MIN(B13:L13)</f>
        <v>0</v>
      </c>
      <c r="N13" s="217" t="n">
        <f aca="false">SUMPRODUCT(($M$7:$M$557&gt;M13)*1)+SUMPRODUCT(($M$7:$M$557=M13)*(ROW($M$7:$M$557)&lt;ROW(M13)))+1</f>
        <v>508</v>
      </c>
      <c r="O13" s="217" t="str">
        <f aca="false">IF(M13&gt;=0.2,"★★★ EXCELLENT",IF(M13&gt;=0.12,"★★  GOOD",IF(M13&gt;=0.07,"★  FAIR",IF(M13&gt;=0.025,"⚠  MARGINAL","✗  AVOID"))))</f>
        <v>✗  AVOID</v>
      </c>
    </row>
    <row r="14" customFormat="false" ht="15" hidden="false" customHeight="true" outlineLevel="0" collapsed="false">
      <c r="A14" s="218" t="n">
        <v>5.7</v>
      </c>
      <c r="B14" s="219" t="n">
        <f aca="false">IF(Calculator!$E$12="YES",IF(A14&lt;Calculator!$G$12,0,MIN(MIN(MOD(A14/Calculator!$F$12,1),1-MOD(A14/Calculator!$F$12,1)),ABS(MOD(A14/Calculator!$F$12,1)-0.5))),1)</f>
        <v>1</v>
      </c>
      <c r="C14" s="219" t="n">
        <f aca="false">IF(Calculator!$E$13="YES",IF(A14&lt;Calculator!$G$13,0,MIN(MIN(MOD(A14/Calculator!$F$13,1),1-MOD(A14/Calculator!$F$13,1)),ABS(MOD(A14/Calculator!$F$13,1)-0.5))),1)</f>
        <v>1</v>
      </c>
      <c r="D14" s="219" t="n">
        <f aca="false">IF(Calculator!$E$14="YES",IF(A14&lt;Calculator!$G$14,0,MIN(MIN(MOD(A14/Calculator!$F$14,1),1-MOD(A14/Calculator!$F$14,1)),ABS(MOD(A14/Calculator!$F$14,1)-0.5))),1)</f>
        <v>1</v>
      </c>
      <c r="E14" s="219" t="n">
        <f aca="false">IF(Calculator!$E$15="YES",IF(A14&lt;Calculator!$G$15,0,MIN(MIN(MOD(A14/Calculator!$F$15,1),1-MOD(A14/Calculator!$F$15,1)),ABS(MOD(A14/Calculator!$F$15,1)-0.5))),1)</f>
        <v>0</v>
      </c>
      <c r="F14" s="219" t="n">
        <f aca="false">IF(Calculator!$E$16="YES",IF(A14&lt;Calculator!$G$16,0,MIN(MIN(MOD(A14/Calculator!$F$16,1),1-MOD(A14/Calculator!$F$16,1)),ABS(MOD(A14/Calculator!$F$16,1)-0.5))),1)</f>
        <v>1</v>
      </c>
      <c r="G14" s="219" t="n">
        <f aca="false">IF(Calculator!$E$17="YES",IF(A14&lt;Calculator!$G$17,0,MIN(MIN(MOD(A14/Calculator!$F$17,1),1-MOD(A14/Calculator!$F$17,1)),ABS(MOD(A14/Calculator!$F$17,1)-0.5))),1)</f>
        <v>0.0670000000000001</v>
      </c>
      <c r="H14" s="219" t="n">
        <f aca="false">IF(Calculator!$E$18="YES",IF(A14&lt;Calculator!$G$18,0,MIN(MIN(MOD(A14/Calculator!$F$18,1),1-MOD(A14/Calculator!$F$18,1)),ABS(MOD(A14/Calculator!$F$18,1)-0.5))),1)</f>
        <v>1</v>
      </c>
      <c r="I14" s="219" t="n">
        <f aca="false">IF(Calculator!$E$19="YES",IF(A14&lt;Calculator!$G$19,0,MIN(MIN(MOD(A14/Calculator!$F$19,1),1-MOD(A14/Calculator!$F$19,1)),ABS(MOD(A14/Calculator!$F$19,1)-0.5))),1)</f>
        <v>1</v>
      </c>
      <c r="J14" s="219" t="n">
        <f aca="false">IF(Calculator!$E$20="YES",IF(A14&lt;Calculator!$G$20,0,MIN(MIN(MOD(A14/Calculator!$F$20,1),1-MOD(A14/Calculator!$F$20,1)),ABS(MOD(A14/Calculator!$F$20,1)-0.5))),1)</f>
        <v>1</v>
      </c>
      <c r="K14" s="219" t="n">
        <f aca="false">IF(Calculator!$E$21="YES",IF(A14&lt;Calculator!$G$21,0,MIN(MIN(MOD(A14/Calculator!$F$21,1),1-MOD(A14/Calculator!$F$21,1)),ABS(MOD(A14/Calculator!$F$21,1)-0.5))),1)</f>
        <v>0.154</v>
      </c>
      <c r="L14" s="219" t="n">
        <f aca="false">IF(Calculator!$E$22="YES",IF(A14&lt;Calculator!$G$22,0,MIN(MIN(MOD(A14/Calculator!$F$22,1),1-MOD(A14/Calculator!$F$22,1)),ABS(MOD(A14/Calculator!$F$22,1)-0.5))),1)</f>
        <v>1</v>
      </c>
      <c r="M14" s="219" t="n">
        <f aca="false">MIN(B14:L14)</f>
        <v>0</v>
      </c>
      <c r="N14" s="219" t="n">
        <f aca="false">SUMPRODUCT(($M$7:$M$557&gt;M14)*1)+SUMPRODUCT(($M$7:$M$557=M14)*(ROW($M$7:$M$557)&lt;ROW(M14)))+1</f>
        <v>509</v>
      </c>
      <c r="O14" s="219" t="str">
        <f aca="false">IF(M14&gt;=0.2,"★★★ EXCELLENT",IF(M14&gt;=0.12,"★★  GOOD",IF(M14&gt;=0.07,"★  FAIR",IF(M14&gt;=0.025,"⚠  MARGINAL","✗  AVOID"))))</f>
        <v>✗  AVOID</v>
      </c>
    </row>
    <row r="15" customFormat="false" ht="15" hidden="false" customHeight="true" outlineLevel="0" collapsed="false">
      <c r="A15" s="216" t="n">
        <v>5.8</v>
      </c>
      <c r="B15" s="217" t="n">
        <f aca="false">IF(Calculator!$E$12="YES",IF(A15&lt;Calculator!$G$12,0,MIN(MIN(MOD(A15/Calculator!$F$12,1),1-MOD(A15/Calculator!$F$12,1)),ABS(MOD(A15/Calculator!$F$12,1)-0.5))),1)</f>
        <v>1</v>
      </c>
      <c r="C15" s="217" t="n">
        <f aca="false">IF(Calculator!$E$13="YES",IF(A15&lt;Calculator!$G$13,0,MIN(MIN(MOD(A15/Calculator!$F$13,1),1-MOD(A15/Calculator!$F$13,1)),ABS(MOD(A15/Calculator!$F$13,1)-0.5))),1)</f>
        <v>1</v>
      </c>
      <c r="D15" s="217" t="n">
        <f aca="false">IF(Calculator!$E$14="YES",IF(A15&lt;Calculator!$G$14,0,MIN(MIN(MOD(A15/Calculator!$F$14,1),1-MOD(A15/Calculator!$F$14,1)),ABS(MOD(A15/Calculator!$F$14,1)-0.5))),1)</f>
        <v>1</v>
      </c>
      <c r="E15" s="217" t="n">
        <f aca="false">IF(Calculator!$E$15="YES",IF(A15&lt;Calculator!$G$15,0,MIN(MIN(MOD(A15/Calculator!$F$15,1),1-MOD(A15/Calculator!$F$15,1)),ABS(MOD(A15/Calculator!$F$15,1)-0.5))),1)</f>
        <v>0</v>
      </c>
      <c r="F15" s="217" t="n">
        <f aca="false">IF(Calculator!$E$16="YES",IF(A15&lt;Calculator!$G$16,0,MIN(MIN(MOD(A15/Calculator!$F$16,1),1-MOD(A15/Calculator!$F$16,1)),ABS(MOD(A15/Calculator!$F$16,1)-0.5))),1)</f>
        <v>1</v>
      </c>
      <c r="G15" s="217" t="n">
        <f aca="false">IF(Calculator!$E$17="YES",IF(A15&lt;Calculator!$G$17,0,MIN(MIN(MOD(A15/Calculator!$F$17,1),1-MOD(A15/Calculator!$F$17,1)),ABS(MOD(A15/Calculator!$F$17,1)-0.5))),1)</f>
        <v>0.0769473684210527</v>
      </c>
      <c r="H15" s="217" t="n">
        <f aca="false">IF(Calculator!$E$18="YES",IF(A15&lt;Calculator!$G$18,0,MIN(MIN(MOD(A15/Calculator!$F$18,1),1-MOD(A15/Calculator!$F$18,1)),ABS(MOD(A15/Calculator!$F$18,1)-0.5))),1)</f>
        <v>1</v>
      </c>
      <c r="I15" s="217" t="n">
        <f aca="false">IF(Calculator!$E$19="YES",IF(A15&lt;Calculator!$G$19,0,MIN(MIN(MOD(A15/Calculator!$F$19,1),1-MOD(A15/Calculator!$F$19,1)),ABS(MOD(A15/Calculator!$F$19,1)-0.5))),1)</f>
        <v>1</v>
      </c>
      <c r="J15" s="217" t="n">
        <f aca="false">IF(Calculator!$E$20="YES",IF(A15&lt;Calculator!$G$20,0,MIN(MIN(MOD(A15/Calculator!$F$20,1),1-MOD(A15/Calculator!$F$20,1)),ABS(MOD(A15/Calculator!$F$20,1)-0.5))),1)</f>
        <v>1</v>
      </c>
      <c r="K15" s="217" t="n">
        <f aca="false">IF(Calculator!$E$21="YES",IF(A15&lt;Calculator!$G$21,0,MIN(MIN(MOD(A15/Calculator!$F$21,1),1-MOD(A15/Calculator!$F$21,1)),ABS(MOD(A15/Calculator!$F$21,1)-0.5))),1)</f>
        <v>0.174245614035088</v>
      </c>
      <c r="L15" s="217" t="n">
        <f aca="false">IF(Calculator!$E$22="YES",IF(A15&lt;Calculator!$G$22,0,MIN(MIN(MOD(A15/Calculator!$F$22,1),1-MOD(A15/Calculator!$F$22,1)),ABS(MOD(A15/Calculator!$F$22,1)-0.5))),1)</f>
        <v>1</v>
      </c>
      <c r="M15" s="217" t="n">
        <f aca="false">MIN(B15:L15)</f>
        <v>0</v>
      </c>
      <c r="N15" s="217" t="n">
        <f aca="false">SUMPRODUCT(($M$7:$M$557&gt;M15)*1)+SUMPRODUCT(($M$7:$M$557=M15)*(ROW($M$7:$M$557)&lt;ROW(M15)))+1</f>
        <v>510</v>
      </c>
      <c r="O15" s="217" t="str">
        <f aca="false">IF(M15&gt;=0.2,"★★★ EXCELLENT",IF(M15&gt;=0.12,"★★  GOOD",IF(M15&gt;=0.07,"★  FAIR",IF(M15&gt;=0.025,"⚠  MARGINAL","✗  AVOID"))))</f>
        <v>✗  AVOID</v>
      </c>
    </row>
    <row r="16" customFormat="false" ht="15" hidden="false" customHeight="true" outlineLevel="0" collapsed="false">
      <c r="A16" s="218" t="n">
        <v>5.9</v>
      </c>
      <c r="B16" s="219" t="n">
        <f aca="false">IF(Calculator!$E$12="YES",IF(A16&lt;Calculator!$G$12,0,MIN(MIN(MOD(A16/Calculator!$F$12,1),1-MOD(A16/Calculator!$F$12,1)),ABS(MOD(A16/Calculator!$F$12,1)-0.5))),1)</f>
        <v>1</v>
      </c>
      <c r="C16" s="219" t="n">
        <f aca="false">IF(Calculator!$E$13="YES",IF(A16&lt;Calculator!$G$13,0,MIN(MIN(MOD(A16/Calculator!$F$13,1),1-MOD(A16/Calculator!$F$13,1)),ABS(MOD(A16/Calculator!$F$13,1)-0.5))),1)</f>
        <v>1</v>
      </c>
      <c r="D16" s="219" t="n">
        <f aca="false">IF(Calculator!$E$14="YES",IF(A16&lt;Calculator!$G$14,0,MIN(MIN(MOD(A16/Calculator!$F$14,1),1-MOD(A16/Calculator!$F$14,1)),ABS(MOD(A16/Calculator!$F$14,1)-0.5))),1)</f>
        <v>1</v>
      </c>
      <c r="E16" s="219" t="n">
        <f aca="false">IF(Calculator!$E$15="YES",IF(A16&lt;Calculator!$G$15,0,MIN(MIN(MOD(A16/Calculator!$F$15,1),1-MOD(A16/Calculator!$F$15,1)),ABS(MOD(A16/Calculator!$F$15,1)-0.5))),1)</f>
        <v>0</v>
      </c>
      <c r="F16" s="219" t="n">
        <f aca="false">IF(Calculator!$E$16="YES",IF(A16&lt;Calculator!$G$16,0,MIN(MIN(MOD(A16/Calculator!$F$16,1),1-MOD(A16/Calculator!$F$16,1)),ABS(MOD(A16/Calculator!$F$16,1)-0.5))),1)</f>
        <v>1</v>
      </c>
      <c r="G16" s="219" t="n">
        <f aca="false">IF(Calculator!$E$17="YES",IF(A16&lt;Calculator!$G$17,0,MIN(MIN(MOD(A16/Calculator!$F$17,1),1-MOD(A16/Calculator!$F$17,1)),ABS(MOD(A16/Calculator!$F$17,1)-0.5))),1)</f>
        <v>0.0868947368421054</v>
      </c>
      <c r="H16" s="219" t="n">
        <f aca="false">IF(Calculator!$E$18="YES",IF(A16&lt;Calculator!$G$18,0,MIN(MIN(MOD(A16/Calculator!$F$18,1),1-MOD(A16/Calculator!$F$18,1)),ABS(MOD(A16/Calculator!$F$18,1)-0.5))),1)</f>
        <v>1</v>
      </c>
      <c r="I16" s="219" t="n">
        <f aca="false">IF(Calculator!$E$19="YES",IF(A16&lt;Calculator!$G$19,0,MIN(MIN(MOD(A16/Calculator!$F$19,1),1-MOD(A16/Calculator!$F$19,1)),ABS(MOD(A16/Calculator!$F$19,1)-0.5))),1)</f>
        <v>1</v>
      </c>
      <c r="J16" s="219" t="n">
        <f aca="false">IF(Calculator!$E$20="YES",IF(A16&lt;Calculator!$G$20,0,MIN(MIN(MOD(A16/Calculator!$F$20,1),1-MOD(A16/Calculator!$F$20,1)),ABS(MOD(A16/Calculator!$F$20,1)-0.5))),1)</f>
        <v>1</v>
      </c>
      <c r="K16" s="219" t="n">
        <f aca="false">IF(Calculator!$E$21="YES",IF(A16&lt;Calculator!$G$21,0,MIN(MIN(MOD(A16/Calculator!$F$21,1),1-MOD(A16/Calculator!$F$21,1)),ABS(MOD(A16/Calculator!$F$21,1)-0.5))),1)</f>
        <v>0.194491228070176</v>
      </c>
      <c r="L16" s="219" t="n">
        <f aca="false">IF(Calculator!$E$22="YES",IF(A16&lt;Calculator!$G$22,0,MIN(MIN(MOD(A16/Calculator!$F$22,1),1-MOD(A16/Calculator!$F$22,1)),ABS(MOD(A16/Calculator!$F$22,1)-0.5))),1)</f>
        <v>1</v>
      </c>
      <c r="M16" s="219" t="n">
        <f aca="false">MIN(B16:L16)</f>
        <v>0</v>
      </c>
      <c r="N16" s="219" t="n">
        <f aca="false">SUMPRODUCT(($M$7:$M$557&gt;M16)*1)+SUMPRODUCT(($M$7:$M$557=M16)*(ROW($M$7:$M$557)&lt;ROW(M16)))+1</f>
        <v>511</v>
      </c>
      <c r="O16" s="219" t="str">
        <f aca="false">IF(M16&gt;=0.2,"★★★ EXCELLENT",IF(M16&gt;=0.12,"★★  GOOD",IF(M16&gt;=0.07,"★  FAIR",IF(M16&gt;=0.025,"⚠  MARGINAL","✗  AVOID"))))</f>
        <v>✗  AVOID</v>
      </c>
    </row>
    <row r="17" customFormat="false" ht="15" hidden="false" customHeight="true" outlineLevel="0" collapsed="false">
      <c r="A17" s="216" t="n">
        <v>6</v>
      </c>
      <c r="B17" s="217" t="n">
        <f aca="false">IF(Calculator!$E$12="YES",IF(A17&lt;Calculator!$G$12,0,MIN(MIN(MOD(A17/Calculator!$F$12,1),1-MOD(A17/Calculator!$F$12,1)),ABS(MOD(A17/Calculator!$F$12,1)-0.5))),1)</f>
        <v>1</v>
      </c>
      <c r="C17" s="217" t="n">
        <f aca="false">IF(Calculator!$E$13="YES",IF(A17&lt;Calculator!$G$13,0,MIN(MIN(MOD(A17/Calculator!$F$13,1),1-MOD(A17/Calculator!$F$13,1)),ABS(MOD(A17/Calculator!$F$13,1)-0.5))),1)</f>
        <v>1</v>
      </c>
      <c r="D17" s="217" t="n">
        <f aca="false">IF(Calculator!$E$14="YES",IF(A17&lt;Calculator!$G$14,0,MIN(MIN(MOD(A17/Calculator!$F$14,1),1-MOD(A17/Calculator!$F$14,1)),ABS(MOD(A17/Calculator!$F$14,1)-0.5))),1)</f>
        <v>1</v>
      </c>
      <c r="E17" s="217" t="n">
        <f aca="false">IF(Calculator!$E$15="YES",IF(A17&lt;Calculator!$G$15,0,MIN(MIN(MOD(A17/Calculator!$F$15,1),1-MOD(A17/Calculator!$F$15,1)),ABS(MOD(A17/Calculator!$F$15,1)-0.5))),1)</f>
        <v>0</v>
      </c>
      <c r="F17" s="217" t="n">
        <f aca="false">IF(Calculator!$E$16="YES",IF(A17&lt;Calculator!$G$16,0,MIN(MIN(MOD(A17/Calculator!$F$16,1),1-MOD(A17/Calculator!$F$16,1)),ABS(MOD(A17/Calculator!$F$16,1)-0.5))),1)</f>
        <v>1</v>
      </c>
      <c r="G17" s="217" t="n">
        <f aca="false">IF(Calculator!$E$17="YES",IF(A17&lt;Calculator!$G$17,0,MIN(MIN(MOD(A17/Calculator!$F$17,1),1-MOD(A17/Calculator!$F$17,1)),ABS(MOD(A17/Calculator!$F$17,1)-0.5))),1)</f>
        <v>0.096842105263158</v>
      </c>
      <c r="H17" s="217" t="n">
        <f aca="false">IF(Calculator!$E$18="YES",IF(A17&lt;Calculator!$G$18,0,MIN(MIN(MOD(A17/Calculator!$F$18,1),1-MOD(A17/Calculator!$F$18,1)),ABS(MOD(A17/Calculator!$F$18,1)-0.5))),1)</f>
        <v>1</v>
      </c>
      <c r="I17" s="217" t="n">
        <f aca="false">IF(Calculator!$E$19="YES",IF(A17&lt;Calculator!$G$19,0,MIN(MIN(MOD(A17/Calculator!$F$19,1),1-MOD(A17/Calculator!$F$19,1)),ABS(MOD(A17/Calculator!$F$19,1)-0.5))),1)</f>
        <v>1</v>
      </c>
      <c r="J17" s="217" t="n">
        <f aca="false">IF(Calculator!$E$20="YES",IF(A17&lt;Calculator!$G$20,0,MIN(MIN(MOD(A17/Calculator!$F$20,1),1-MOD(A17/Calculator!$F$20,1)),ABS(MOD(A17/Calculator!$F$20,1)-0.5))),1)</f>
        <v>1</v>
      </c>
      <c r="K17" s="217" t="n">
        <f aca="false">IF(Calculator!$E$21="YES",IF(A17&lt;Calculator!$G$21,0,MIN(MIN(MOD(A17/Calculator!$F$21,1),1-MOD(A17/Calculator!$F$21,1)),ABS(MOD(A17/Calculator!$F$21,1)-0.5))),1)</f>
        <v>0.214736842105263</v>
      </c>
      <c r="L17" s="217" t="n">
        <f aca="false">IF(Calculator!$E$22="YES",IF(A17&lt;Calculator!$G$22,0,MIN(MIN(MOD(A17/Calculator!$F$22,1),1-MOD(A17/Calculator!$F$22,1)),ABS(MOD(A17/Calculator!$F$22,1)-0.5))),1)</f>
        <v>1</v>
      </c>
      <c r="M17" s="217" t="n">
        <f aca="false">MIN(B17:L17)</f>
        <v>0</v>
      </c>
      <c r="N17" s="217" t="n">
        <f aca="false">SUMPRODUCT(($M$7:$M$557&gt;M17)*1)+SUMPRODUCT(($M$7:$M$557=M17)*(ROW($M$7:$M$557)&lt;ROW(M17)))+1</f>
        <v>512</v>
      </c>
      <c r="O17" s="217" t="str">
        <f aca="false">IF(M17&gt;=0.2,"★★★ EXCELLENT",IF(M17&gt;=0.12,"★★  GOOD",IF(M17&gt;=0.07,"★  FAIR",IF(M17&gt;=0.025,"⚠  MARGINAL","✗  AVOID"))))</f>
        <v>✗  AVOID</v>
      </c>
    </row>
    <row r="18" customFormat="false" ht="15" hidden="false" customHeight="true" outlineLevel="0" collapsed="false">
      <c r="A18" s="218" t="n">
        <v>6.1</v>
      </c>
      <c r="B18" s="219" t="n">
        <f aca="false">IF(Calculator!$E$12="YES",IF(A18&lt;Calculator!$G$12,0,MIN(MIN(MOD(A18/Calculator!$F$12,1),1-MOD(A18/Calculator!$F$12,1)),ABS(MOD(A18/Calculator!$F$12,1)-0.5))),1)</f>
        <v>1</v>
      </c>
      <c r="C18" s="219" t="n">
        <f aca="false">IF(Calculator!$E$13="YES",IF(A18&lt;Calculator!$G$13,0,MIN(MIN(MOD(A18/Calculator!$F$13,1),1-MOD(A18/Calculator!$F$13,1)),ABS(MOD(A18/Calculator!$F$13,1)-0.5))),1)</f>
        <v>1</v>
      </c>
      <c r="D18" s="219" t="n">
        <f aca="false">IF(Calculator!$E$14="YES",IF(A18&lt;Calculator!$G$14,0,MIN(MIN(MOD(A18/Calculator!$F$14,1),1-MOD(A18/Calculator!$F$14,1)),ABS(MOD(A18/Calculator!$F$14,1)-0.5))),1)</f>
        <v>1</v>
      </c>
      <c r="E18" s="219" t="n">
        <f aca="false">IF(Calculator!$E$15="YES",IF(A18&lt;Calculator!$G$15,0,MIN(MIN(MOD(A18/Calculator!$F$15,1),1-MOD(A18/Calculator!$F$15,1)),ABS(MOD(A18/Calculator!$F$15,1)-0.5))),1)</f>
        <v>0</v>
      </c>
      <c r="F18" s="219" t="n">
        <f aca="false">IF(Calculator!$E$16="YES",IF(A18&lt;Calculator!$G$16,0,MIN(MIN(MOD(A18/Calculator!$F$16,1),1-MOD(A18/Calculator!$F$16,1)),ABS(MOD(A18/Calculator!$F$16,1)-0.5))),1)</f>
        <v>1</v>
      </c>
      <c r="G18" s="219" t="n">
        <f aca="false">IF(Calculator!$E$17="YES",IF(A18&lt;Calculator!$G$17,0,MIN(MIN(MOD(A18/Calculator!$F$17,1),1-MOD(A18/Calculator!$F$17,1)),ABS(MOD(A18/Calculator!$F$17,1)-0.5))),1)</f>
        <v>0.106789473684211</v>
      </c>
      <c r="H18" s="219" t="n">
        <f aca="false">IF(Calculator!$E$18="YES",IF(A18&lt;Calculator!$G$18,0,MIN(MIN(MOD(A18/Calculator!$F$18,1),1-MOD(A18/Calculator!$F$18,1)),ABS(MOD(A18/Calculator!$F$18,1)-0.5))),1)</f>
        <v>1</v>
      </c>
      <c r="I18" s="219" t="n">
        <f aca="false">IF(Calculator!$E$19="YES",IF(A18&lt;Calculator!$G$19,0,MIN(MIN(MOD(A18/Calculator!$F$19,1),1-MOD(A18/Calculator!$F$19,1)),ABS(MOD(A18/Calculator!$F$19,1)-0.5))),1)</f>
        <v>1</v>
      </c>
      <c r="J18" s="219" t="n">
        <f aca="false">IF(Calculator!$E$20="YES",IF(A18&lt;Calculator!$G$20,0,MIN(MIN(MOD(A18/Calculator!$F$20,1),1-MOD(A18/Calculator!$F$20,1)),ABS(MOD(A18/Calculator!$F$20,1)-0.5))),1)</f>
        <v>1</v>
      </c>
      <c r="K18" s="219" t="n">
        <f aca="false">IF(Calculator!$E$21="YES",IF(A18&lt;Calculator!$G$21,0,MIN(MIN(MOD(A18/Calculator!$F$21,1),1-MOD(A18/Calculator!$F$21,1)),ABS(MOD(A18/Calculator!$F$21,1)-0.5))),1)</f>
        <v>0.234982456140351</v>
      </c>
      <c r="L18" s="219" t="n">
        <f aca="false">IF(Calculator!$E$22="YES",IF(A18&lt;Calculator!$G$22,0,MIN(MIN(MOD(A18/Calculator!$F$22,1),1-MOD(A18/Calculator!$F$22,1)),ABS(MOD(A18/Calculator!$F$22,1)-0.5))),1)</f>
        <v>1</v>
      </c>
      <c r="M18" s="219" t="n">
        <f aca="false">MIN(B18:L18)</f>
        <v>0</v>
      </c>
      <c r="N18" s="219" t="n">
        <f aca="false">SUMPRODUCT(($M$7:$M$557&gt;M18)*1)+SUMPRODUCT(($M$7:$M$557=M18)*(ROW($M$7:$M$557)&lt;ROW(M18)))+1</f>
        <v>513</v>
      </c>
      <c r="O18" s="219" t="str">
        <f aca="false">IF(M18&gt;=0.2,"★★★ EXCELLENT",IF(M18&gt;=0.12,"★★  GOOD",IF(M18&gt;=0.07,"★  FAIR",IF(M18&gt;=0.025,"⚠  MARGINAL","✗  AVOID"))))</f>
        <v>✗  AVOID</v>
      </c>
    </row>
    <row r="19" customFormat="false" ht="15" hidden="false" customHeight="true" outlineLevel="0" collapsed="false">
      <c r="A19" s="216" t="n">
        <v>6.2</v>
      </c>
      <c r="B19" s="217" t="n">
        <f aca="false">IF(Calculator!$E$12="YES",IF(A19&lt;Calculator!$G$12,0,MIN(MIN(MOD(A19/Calculator!$F$12,1),1-MOD(A19/Calculator!$F$12,1)),ABS(MOD(A19/Calculator!$F$12,1)-0.5))),1)</f>
        <v>1</v>
      </c>
      <c r="C19" s="217" t="n">
        <f aca="false">IF(Calculator!$E$13="YES",IF(A19&lt;Calculator!$G$13,0,MIN(MIN(MOD(A19/Calculator!$F$13,1),1-MOD(A19/Calculator!$F$13,1)),ABS(MOD(A19/Calculator!$F$13,1)-0.5))),1)</f>
        <v>1</v>
      </c>
      <c r="D19" s="217" t="n">
        <f aca="false">IF(Calculator!$E$14="YES",IF(A19&lt;Calculator!$G$14,0,MIN(MIN(MOD(A19/Calculator!$F$14,1),1-MOD(A19/Calculator!$F$14,1)),ABS(MOD(A19/Calculator!$F$14,1)-0.5))),1)</f>
        <v>1</v>
      </c>
      <c r="E19" s="217" t="n">
        <f aca="false">IF(Calculator!$E$15="YES",IF(A19&lt;Calculator!$G$15,0,MIN(MIN(MOD(A19/Calculator!$F$15,1),1-MOD(A19/Calculator!$F$15,1)),ABS(MOD(A19/Calculator!$F$15,1)-0.5))),1)</f>
        <v>0</v>
      </c>
      <c r="F19" s="217" t="n">
        <f aca="false">IF(Calculator!$E$16="YES",IF(A19&lt;Calculator!$G$16,0,MIN(MIN(MOD(A19/Calculator!$F$16,1),1-MOD(A19/Calculator!$F$16,1)),ABS(MOD(A19/Calculator!$F$16,1)-0.5))),1)</f>
        <v>1</v>
      </c>
      <c r="G19" s="217" t="n">
        <f aca="false">IF(Calculator!$E$17="YES",IF(A19&lt;Calculator!$G$17,0,MIN(MIN(MOD(A19/Calculator!$F$17,1),1-MOD(A19/Calculator!$F$17,1)),ABS(MOD(A19/Calculator!$F$17,1)-0.5))),1)</f>
        <v>0.116736842105263</v>
      </c>
      <c r="H19" s="217" t="n">
        <f aca="false">IF(Calculator!$E$18="YES",IF(A19&lt;Calculator!$G$18,0,MIN(MIN(MOD(A19/Calculator!$F$18,1),1-MOD(A19/Calculator!$F$18,1)),ABS(MOD(A19/Calculator!$F$18,1)-0.5))),1)</f>
        <v>1</v>
      </c>
      <c r="I19" s="217" t="n">
        <f aca="false">IF(Calculator!$E$19="YES",IF(A19&lt;Calculator!$G$19,0,MIN(MIN(MOD(A19/Calculator!$F$19,1),1-MOD(A19/Calculator!$F$19,1)),ABS(MOD(A19/Calculator!$F$19,1)-0.5))),1)</f>
        <v>1</v>
      </c>
      <c r="J19" s="217" t="n">
        <f aca="false">IF(Calculator!$E$20="YES",IF(A19&lt;Calculator!$G$20,0,MIN(MIN(MOD(A19/Calculator!$F$20,1),1-MOD(A19/Calculator!$F$20,1)),ABS(MOD(A19/Calculator!$F$20,1)-0.5))),1)</f>
        <v>1</v>
      </c>
      <c r="K19" s="217" t="n">
        <f aca="false">IF(Calculator!$E$21="YES",IF(A19&lt;Calculator!$G$21,0,MIN(MIN(MOD(A19/Calculator!$F$21,1),1-MOD(A19/Calculator!$F$21,1)),ABS(MOD(A19/Calculator!$F$21,1)-0.5))),1)</f>
        <v>0.244771929824561</v>
      </c>
      <c r="L19" s="217" t="n">
        <f aca="false">IF(Calculator!$E$22="YES",IF(A19&lt;Calculator!$G$22,0,MIN(MIN(MOD(A19/Calculator!$F$22,1),1-MOD(A19/Calculator!$F$22,1)),ABS(MOD(A19/Calculator!$F$22,1)-0.5))),1)</f>
        <v>1</v>
      </c>
      <c r="M19" s="217" t="n">
        <f aca="false">MIN(B19:L19)</f>
        <v>0</v>
      </c>
      <c r="N19" s="217" t="n">
        <f aca="false">SUMPRODUCT(($M$7:$M$557&gt;M19)*1)+SUMPRODUCT(($M$7:$M$557=M19)*(ROW($M$7:$M$557)&lt;ROW(M19)))+1</f>
        <v>514</v>
      </c>
      <c r="O19" s="217" t="str">
        <f aca="false">IF(M19&gt;=0.2,"★★★ EXCELLENT",IF(M19&gt;=0.12,"★★  GOOD",IF(M19&gt;=0.07,"★  FAIR",IF(M19&gt;=0.025,"⚠  MARGINAL","✗  AVOID"))))</f>
        <v>✗  AVOID</v>
      </c>
    </row>
    <row r="20" customFormat="false" ht="15" hidden="false" customHeight="true" outlineLevel="0" collapsed="false">
      <c r="A20" s="218" t="n">
        <v>6.3</v>
      </c>
      <c r="B20" s="219" t="n">
        <f aca="false">IF(Calculator!$E$12="YES",IF(A20&lt;Calculator!$G$12,0,MIN(MIN(MOD(A20/Calculator!$F$12,1),1-MOD(A20/Calculator!$F$12,1)),ABS(MOD(A20/Calculator!$F$12,1)-0.5))),1)</f>
        <v>1</v>
      </c>
      <c r="C20" s="219" t="n">
        <f aca="false">IF(Calculator!$E$13="YES",IF(A20&lt;Calculator!$G$13,0,MIN(MIN(MOD(A20/Calculator!$F$13,1),1-MOD(A20/Calculator!$F$13,1)),ABS(MOD(A20/Calculator!$F$13,1)-0.5))),1)</f>
        <v>1</v>
      </c>
      <c r="D20" s="219" t="n">
        <f aca="false">IF(Calculator!$E$14="YES",IF(A20&lt;Calculator!$G$14,0,MIN(MIN(MOD(A20/Calculator!$F$14,1),1-MOD(A20/Calculator!$F$14,1)),ABS(MOD(A20/Calculator!$F$14,1)-0.5))),1)</f>
        <v>1</v>
      </c>
      <c r="E20" s="219" t="n">
        <f aca="false">IF(Calculator!$E$15="YES",IF(A20&lt;Calculator!$G$15,0,MIN(MIN(MOD(A20/Calculator!$F$15,1),1-MOD(A20/Calculator!$F$15,1)),ABS(MOD(A20/Calculator!$F$15,1)-0.5))),1)</f>
        <v>0</v>
      </c>
      <c r="F20" s="219" t="n">
        <f aca="false">IF(Calculator!$E$16="YES",IF(A20&lt;Calculator!$G$16,0,MIN(MIN(MOD(A20/Calculator!$F$16,1),1-MOD(A20/Calculator!$F$16,1)),ABS(MOD(A20/Calculator!$F$16,1)-0.5))),1)</f>
        <v>1</v>
      </c>
      <c r="G20" s="219" t="n">
        <f aca="false">IF(Calculator!$E$17="YES",IF(A20&lt;Calculator!$G$17,0,MIN(MIN(MOD(A20/Calculator!$F$17,1),1-MOD(A20/Calculator!$F$17,1)),ABS(MOD(A20/Calculator!$F$17,1)-0.5))),1)</f>
        <v>0.126684210526316</v>
      </c>
      <c r="H20" s="219" t="n">
        <f aca="false">IF(Calculator!$E$18="YES",IF(A20&lt;Calculator!$G$18,0,MIN(MIN(MOD(A20/Calculator!$F$18,1),1-MOD(A20/Calculator!$F$18,1)),ABS(MOD(A20/Calculator!$F$18,1)-0.5))),1)</f>
        <v>1</v>
      </c>
      <c r="I20" s="219" t="n">
        <f aca="false">IF(Calculator!$E$19="YES",IF(A20&lt;Calculator!$G$19,0,MIN(MIN(MOD(A20/Calculator!$F$19,1),1-MOD(A20/Calculator!$F$19,1)),ABS(MOD(A20/Calculator!$F$19,1)-0.5))),1)</f>
        <v>1</v>
      </c>
      <c r="J20" s="219" t="n">
        <f aca="false">IF(Calculator!$E$20="YES",IF(A20&lt;Calculator!$G$20,0,MIN(MIN(MOD(A20/Calculator!$F$20,1),1-MOD(A20/Calculator!$F$20,1)),ABS(MOD(A20/Calculator!$F$20,1)-0.5))),1)</f>
        <v>1</v>
      </c>
      <c r="K20" s="219" t="n">
        <f aca="false">IF(Calculator!$E$21="YES",IF(A20&lt;Calculator!$G$21,0,MIN(MIN(MOD(A20/Calculator!$F$21,1),1-MOD(A20/Calculator!$F$21,1)),ABS(MOD(A20/Calculator!$F$21,1)-0.5))),1)</f>
        <v>0.224526315789474</v>
      </c>
      <c r="L20" s="219" t="n">
        <f aca="false">IF(Calculator!$E$22="YES",IF(A20&lt;Calculator!$G$22,0,MIN(MIN(MOD(A20/Calculator!$F$22,1),1-MOD(A20/Calculator!$F$22,1)),ABS(MOD(A20/Calculator!$F$22,1)-0.5))),1)</f>
        <v>1</v>
      </c>
      <c r="M20" s="219" t="n">
        <f aca="false">MIN(B20:L20)</f>
        <v>0</v>
      </c>
      <c r="N20" s="219" t="n">
        <f aca="false">SUMPRODUCT(($M$7:$M$557&gt;M20)*1)+SUMPRODUCT(($M$7:$M$557=M20)*(ROW($M$7:$M$557)&lt;ROW(M20)))+1</f>
        <v>515</v>
      </c>
      <c r="O20" s="219" t="str">
        <f aca="false">IF(M20&gt;=0.2,"★★★ EXCELLENT",IF(M20&gt;=0.12,"★★  GOOD",IF(M20&gt;=0.07,"★  FAIR",IF(M20&gt;=0.025,"⚠  MARGINAL","✗  AVOID"))))</f>
        <v>✗  AVOID</v>
      </c>
    </row>
    <row r="21" customFormat="false" ht="15" hidden="false" customHeight="true" outlineLevel="0" collapsed="false">
      <c r="A21" s="216" t="n">
        <v>6.4</v>
      </c>
      <c r="B21" s="217" t="n">
        <f aca="false">IF(Calculator!$E$12="YES",IF(A21&lt;Calculator!$G$12,0,MIN(MIN(MOD(A21/Calculator!$F$12,1),1-MOD(A21/Calculator!$F$12,1)),ABS(MOD(A21/Calculator!$F$12,1)-0.5))),1)</f>
        <v>1</v>
      </c>
      <c r="C21" s="217" t="n">
        <f aca="false">IF(Calculator!$E$13="YES",IF(A21&lt;Calculator!$G$13,0,MIN(MIN(MOD(A21/Calculator!$F$13,1),1-MOD(A21/Calculator!$F$13,1)),ABS(MOD(A21/Calculator!$F$13,1)-0.5))),1)</f>
        <v>1</v>
      </c>
      <c r="D21" s="217" t="n">
        <f aca="false">IF(Calculator!$E$14="YES",IF(A21&lt;Calculator!$G$14,0,MIN(MIN(MOD(A21/Calculator!$F$14,1),1-MOD(A21/Calculator!$F$14,1)),ABS(MOD(A21/Calculator!$F$14,1)-0.5))),1)</f>
        <v>1</v>
      </c>
      <c r="E21" s="217" t="n">
        <f aca="false">IF(Calculator!$E$15="YES",IF(A21&lt;Calculator!$G$15,0,MIN(MIN(MOD(A21/Calculator!$F$15,1),1-MOD(A21/Calculator!$F$15,1)),ABS(MOD(A21/Calculator!$F$15,1)-0.5))),1)</f>
        <v>0</v>
      </c>
      <c r="F21" s="217" t="n">
        <f aca="false">IF(Calculator!$E$16="YES",IF(A21&lt;Calculator!$G$16,0,MIN(MIN(MOD(A21/Calculator!$F$16,1),1-MOD(A21/Calculator!$F$16,1)),ABS(MOD(A21/Calculator!$F$16,1)-0.5))),1)</f>
        <v>1</v>
      </c>
      <c r="G21" s="217" t="n">
        <f aca="false">IF(Calculator!$E$17="YES",IF(A21&lt;Calculator!$G$17,0,MIN(MIN(MOD(A21/Calculator!$F$17,1),1-MOD(A21/Calculator!$F$17,1)),ABS(MOD(A21/Calculator!$F$17,1)-0.5))),1)</f>
        <v>0.136631578947369</v>
      </c>
      <c r="H21" s="217" t="n">
        <f aca="false">IF(Calculator!$E$18="YES",IF(A21&lt;Calculator!$G$18,0,MIN(MIN(MOD(A21/Calculator!$F$18,1),1-MOD(A21/Calculator!$F$18,1)),ABS(MOD(A21/Calculator!$F$18,1)-0.5))),1)</f>
        <v>1</v>
      </c>
      <c r="I21" s="217" t="n">
        <f aca="false">IF(Calculator!$E$19="YES",IF(A21&lt;Calculator!$G$19,0,MIN(MIN(MOD(A21/Calculator!$F$19,1),1-MOD(A21/Calculator!$F$19,1)),ABS(MOD(A21/Calculator!$F$19,1)-0.5))),1)</f>
        <v>1</v>
      </c>
      <c r="J21" s="217" t="n">
        <f aca="false">IF(Calculator!$E$20="YES",IF(A21&lt;Calculator!$G$20,0,MIN(MIN(MOD(A21/Calculator!$F$20,1),1-MOD(A21/Calculator!$F$20,1)),ABS(MOD(A21/Calculator!$F$20,1)-0.5))),1)</f>
        <v>1</v>
      </c>
      <c r="K21" s="217" t="n">
        <f aca="false">IF(Calculator!$E$21="YES",IF(A21&lt;Calculator!$G$21,0,MIN(MIN(MOD(A21/Calculator!$F$21,1),1-MOD(A21/Calculator!$F$21,1)),ABS(MOD(A21/Calculator!$F$21,1)-0.5))),1)</f>
        <v>0.204280701754386</v>
      </c>
      <c r="L21" s="217" t="n">
        <f aca="false">IF(Calculator!$E$22="YES",IF(A21&lt;Calculator!$G$22,0,MIN(MIN(MOD(A21/Calculator!$F$22,1),1-MOD(A21/Calculator!$F$22,1)),ABS(MOD(A21/Calculator!$F$22,1)-0.5))),1)</f>
        <v>1</v>
      </c>
      <c r="M21" s="217" t="n">
        <f aca="false">MIN(B21:L21)</f>
        <v>0</v>
      </c>
      <c r="N21" s="217" t="n">
        <f aca="false">SUMPRODUCT(($M$7:$M$557&gt;M21)*1)+SUMPRODUCT(($M$7:$M$557=M21)*(ROW($M$7:$M$557)&lt;ROW(M21)))+1</f>
        <v>516</v>
      </c>
      <c r="O21" s="217" t="str">
        <f aca="false">IF(M21&gt;=0.2,"★★★ EXCELLENT",IF(M21&gt;=0.12,"★★  GOOD",IF(M21&gt;=0.07,"★  FAIR",IF(M21&gt;=0.025,"⚠  MARGINAL","✗  AVOID"))))</f>
        <v>✗  AVOID</v>
      </c>
    </row>
    <row r="22" customFormat="false" ht="15" hidden="false" customHeight="true" outlineLevel="0" collapsed="false">
      <c r="A22" s="218" t="n">
        <v>6.5</v>
      </c>
      <c r="B22" s="219" t="n">
        <f aca="false">IF(Calculator!$E$12="YES",IF(A22&lt;Calculator!$G$12,0,MIN(MIN(MOD(A22/Calculator!$F$12,1),1-MOD(A22/Calculator!$F$12,1)),ABS(MOD(A22/Calculator!$F$12,1)-0.5))),1)</f>
        <v>1</v>
      </c>
      <c r="C22" s="219" t="n">
        <f aca="false">IF(Calculator!$E$13="YES",IF(A22&lt;Calculator!$G$13,0,MIN(MIN(MOD(A22/Calculator!$F$13,1),1-MOD(A22/Calculator!$F$13,1)),ABS(MOD(A22/Calculator!$F$13,1)-0.5))),1)</f>
        <v>1</v>
      </c>
      <c r="D22" s="219" t="n">
        <f aca="false">IF(Calculator!$E$14="YES",IF(A22&lt;Calculator!$G$14,0,MIN(MIN(MOD(A22/Calculator!$F$14,1),1-MOD(A22/Calculator!$F$14,1)),ABS(MOD(A22/Calculator!$F$14,1)-0.5))),1)</f>
        <v>1</v>
      </c>
      <c r="E22" s="219" t="n">
        <f aca="false">IF(Calculator!$E$15="YES",IF(A22&lt;Calculator!$G$15,0,MIN(MIN(MOD(A22/Calculator!$F$15,1),1-MOD(A22/Calculator!$F$15,1)),ABS(MOD(A22/Calculator!$F$15,1)-0.5))),1)</f>
        <v>0</v>
      </c>
      <c r="F22" s="219" t="n">
        <f aca="false">IF(Calculator!$E$16="YES",IF(A22&lt;Calculator!$G$16,0,MIN(MIN(MOD(A22/Calculator!$F$16,1),1-MOD(A22/Calculator!$F$16,1)),ABS(MOD(A22/Calculator!$F$16,1)-0.5))),1)</f>
        <v>1</v>
      </c>
      <c r="G22" s="219" t="n">
        <f aca="false">IF(Calculator!$E$17="YES",IF(A22&lt;Calculator!$G$17,0,MIN(MIN(MOD(A22/Calculator!$F$17,1),1-MOD(A22/Calculator!$F$17,1)),ABS(MOD(A22/Calculator!$F$17,1)-0.5))),1)</f>
        <v>0.146578947368421</v>
      </c>
      <c r="H22" s="219" t="n">
        <f aca="false">IF(Calculator!$E$18="YES",IF(A22&lt;Calculator!$G$18,0,MIN(MIN(MOD(A22/Calculator!$F$18,1),1-MOD(A22/Calculator!$F$18,1)),ABS(MOD(A22/Calculator!$F$18,1)-0.5))),1)</f>
        <v>1</v>
      </c>
      <c r="I22" s="219" t="n">
        <f aca="false">IF(Calculator!$E$19="YES",IF(A22&lt;Calculator!$G$19,0,MIN(MIN(MOD(A22/Calculator!$F$19,1),1-MOD(A22/Calculator!$F$19,1)),ABS(MOD(A22/Calculator!$F$19,1)-0.5))),1)</f>
        <v>1</v>
      </c>
      <c r="J22" s="219" t="n">
        <f aca="false">IF(Calculator!$E$20="YES",IF(A22&lt;Calculator!$G$20,0,MIN(MIN(MOD(A22/Calculator!$F$20,1),1-MOD(A22/Calculator!$F$20,1)),ABS(MOD(A22/Calculator!$F$20,1)-0.5))),1)</f>
        <v>1</v>
      </c>
      <c r="K22" s="219" t="n">
        <f aca="false">IF(Calculator!$E$21="YES",IF(A22&lt;Calculator!$G$21,0,MIN(MIN(MOD(A22/Calculator!$F$21,1),1-MOD(A22/Calculator!$F$21,1)),ABS(MOD(A22/Calculator!$F$21,1)-0.5))),1)</f>
        <v>0.184035087719298</v>
      </c>
      <c r="L22" s="219" t="n">
        <f aca="false">IF(Calculator!$E$22="YES",IF(A22&lt;Calculator!$G$22,0,MIN(MIN(MOD(A22/Calculator!$F$22,1),1-MOD(A22/Calculator!$F$22,1)),ABS(MOD(A22/Calculator!$F$22,1)-0.5))),1)</f>
        <v>1</v>
      </c>
      <c r="M22" s="219" t="n">
        <f aca="false">MIN(B22:L22)</f>
        <v>0</v>
      </c>
      <c r="N22" s="219" t="n">
        <f aca="false">SUMPRODUCT(($M$7:$M$557&gt;M22)*1)+SUMPRODUCT(($M$7:$M$557=M22)*(ROW($M$7:$M$557)&lt;ROW(M22)))+1</f>
        <v>517</v>
      </c>
      <c r="O22" s="219" t="str">
        <f aca="false">IF(M22&gt;=0.2,"★★★ EXCELLENT",IF(M22&gt;=0.12,"★★  GOOD",IF(M22&gt;=0.07,"★  FAIR",IF(M22&gt;=0.025,"⚠  MARGINAL","✗  AVOID"))))</f>
        <v>✗  AVOID</v>
      </c>
    </row>
    <row r="23" customFormat="false" ht="15" hidden="false" customHeight="true" outlineLevel="0" collapsed="false">
      <c r="A23" s="216" t="n">
        <v>6.6</v>
      </c>
      <c r="B23" s="217" t="n">
        <f aca="false">IF(Calculator!$E$12="YES",IF(A23&lt;Calculator!$G$12,0,MIN(MIN(MOD(A23/Calculator!$F$12,1),1-MOD(A23/Calculator!$F$12,1)),ABS(MOD(A23/Calculator!$F$12,1)-0.5))),1)</f>
        <v>1</v>
      </c>
      <c r="C23" s="217" t="n">
        <f aca="false">IF(Calculator!$E$13="YES",IF(A23&lt;Calculator!$G$13,0,MIN(MIN(MOD(A23/Calculator!$F$13,1),1-MOD(A23/Calculator!$F$13,1)),ABS(MOD(A23/Calculator!$F$13,1)-0.5))),1)</f>
        <v>1</v>
      </c>
      <c r="D23" s="217" t="n">
        <f aca="false">IF(Calculator!$E$14="YES",IF(A23&lt;Calculator!$G$14,0,MIN(MIN(MOD(A23/Calculator!$F$14,1),1-MOD(A23/Calculator!$F$14,1)),ABS(MOD(A23/Calculator!$F$14,1)-0.5))),1)</f>
        <v>1</v>
      </c>
      <c r="E23" s="217" t="n">
        <f aca="false">IF(Calculator!$E$15="YES",IF(A23&lt;Calculator!$G$15,0,MIN(MIN(MOD(A23/Calculator!$F$15,1),1-MOD(A23/Calculator!$F$15,1)),ABS(MOD(A23/Calculator!$F$15,1)-0.5))),1)</f>
        <v>0</v>
      </c>
      <c r="F23" s="217" t="n">
        <f aca="false">IF(Calculator!$E$16="YES",IF(A23&lt;Calculator!$G$16,0,MIN(MIN(MOD(A23/Calculator!$F$16,1),1-MOD(A23/Calculator!$F$16,1)),ABS(MOD(A23/Calculator!$F$16,1)-0.5))),1)</f>
        <v>1</v>
      </c>
      <c r="G23" s="217" t="n">
        <f aca="false">IF(Calculator!$E$17="YES",IF(A23&lt;Calculator!$G$17,0,MIN(MIN(MOD(A23/Calculator!$F$17,1),1-MOD(A23/Calculator!$F$17,1)),ABS(MOD(A23/Calculator!$F$17,1)-0.5))),1)</f>
        <v>0.156526315789474</v>
      </c>
      <c r="H23" s="217" t="n">
        <f aca="false">IF(Calculator!$E$18="YES",IF(A23&lt;Calculator!$G$18,0,MIN(MIN(MOD(A23/Calculator!$F$18,1),1-MOD(A23/Calculator!$F$18,1)),ABS(MOD(A23/Calculator!$F$18,1)-0.5))),1)</f>
        <v>1</v>
      </c>
      <c r="I23" s="217" t="n">
        <f aca="false">IF(Calculator!$E$19="YES",IF(A23&lt;Calculator!$G$19,0,MIN(MIN(MOD(A23/Calculator!$F$19,1),1-MOD(A23/Calculator!$F$19,1)),ABS(MOD(A23/Calculator!$F$19,1)-0.5))),1)</f>
        <v>1</v>
      </c>
      <c r="J23" s="217" t="n">
        <f aca="false">IF(Calculator!$E$20="YES",IF(A23&lt;Calculator!$G$20,0,MIN(MIN(MOD(A23/Calculator!$F$20,1),1-MOD(A23/Calculator!$F$20,1)),ABS(MOD(A23/Calculator!$F$20,1)-0.5))),1)</f>
        <v>1</v>
      </c>
      <c r="K23" s="217" t="n">
        <f aca="false">IF(Calculator!$E$21="YES",IF(A23&lt;Calculator!$G$21,0,MIN(MIN(MOD(A23/Calculator!$F$21,1),1-MOD(A23/Calculator!$F$21,1)),ABS(MOD(A23/Calculator!$F$21,1)-0.5))),1)</f>
        <v>0.163789473684211</v>
      </c>
      <c r="L23" s="217" t="n">
        <f aca="false">IF(Calculator!$E$22="YES",IF(A23&lt;Calculator!$G$22,0,MIN(MIN(MOD(A23/Calculator!$F$22,1),1-MOD(A23/Calculator!$F$22,1)),ABS(MOD(A23/Calculator!$F$22,1)-0.5))),1)</f>
        <v>1</v>
      </c>
      <c r="M23" s="217" t="n">
        <f aca="false">MIN(B23:L23)</f>
        <v>0</v>
      </c>
      <c r="N23" s="217" t="n">
        <f aca="false">SUMPRODUCT(($M$7:$M$557&gt;M23)*1)+SUMPRODUCT(($M$7:$M$557=M23)*(ROW($M$7:$M$557)&lt;ROW(M23)))+1</f>
        <v>518</v>
      </c>
      <c r="O23" s="217" t="str">
        <f aca="false">IF(M23&gt;=0.2,"★★★ EXCELLENT",IF(M23&gt;=0.12,"★★  GOOD",IF(M23&gt;=0.07,"★  FAIR",IF(M23&gt;=0.025,"⚠  MARGINAL","✗  AVOID"))))</f>
        <v>✗  AVOID</v>
      </c>
    </row>
    <row r="24" customFormat="false" ht="15" hidden="false" customHeight="true" outlineLevel="0" collapsed="false">
      <c r="A24" s="218" t="n">
        <v>6.7</v>
      </c>
      <c r="B24" s="219" t="n">
        <f aca="false">IF(Calculator!$E$12="YES",IF(A24&lt;Calculator!$G$12,0,MIN(MIN(MOD(A24/Calculator!$F$12,1),1-MOD(A24/Calculator!$F$12,1)),ABS(MOD(A24/Calculator!$F$12,1)-0.5))),1)</f>
        <v>1</v>
      </c>
      <c r="C24" s="219" t="n">
        <f aca="false">IF(Calculator!$E$13="YES",IF(A24&lt;Calculator!$G$13,0,MIN(MIN(MOD(A24/Calculator!$F$13,1),1-MOD(A24/Calculator!$F$13,1)),ABS(MOD(A24/Calculator!$F$13,1)-0.5))),1)</f>
        <v>1</v>
      </c>
      <c r="D24" s="219" t="n">
        <f aca="false">IF(Calculator!$E$14="YES",IF(A24&lt;Calculator!$G$14,0,MIN(MIN(MOD(A24/Calculator!$F$14,1),1-MOD(A24/Calculator!$F$14,1)),ABS(MOD(A24/Calculator!$F$14,1)-0.5))),1)</f>
        <v>1</v>
      </c>
      <c r="E24" s="219" t="n">
        <f aca="false">IF(Calculator!$E$15="YES",IF(A24&lt;Calculator!$G$15,0,MIN(MIN(MOD(A24/Calculator!$F$15,1),1-MOD(A24/Calculator!$F$15,1)),ABS(MOD(A24/Calculator!$F$15,1)-0.5))),1)</f>
        <v>0</v>
      </c>
      <c r="F24" s="219" t="n">
        <f aca="false">IF(Calculator!$E$16="YES",IF(A24&lt;Calculator!$G$16,0,MIN(MIN(MOD(A24/Calculator!$F$16,1),1-MOD(A24/Calculator!$F$16,1)),ABS(MOD(A24/Calculator!$F$16,1)-0.5))),1)</f>
        <v>1</v>
      </c>
      <c r="G24" s="219" t="n">
        <f aca="false">IF(Calculator!$E$17="YES",IF(A24&lt;Calculator!$G$17,0,MIN(MIN(MOD(A24/Calculator!$F$17,1),1-MOD(A24/Calculator!$F$17,1)),ABS(MOD(A24/Calculator!$F$17,1)-0.5))),1)</f>
        <v>0.166473684210526</v>
      </c>
      <c r="H24" s="219" t="n">
        <f aca="false">IF(Calculator!$E$18="YES",IF(A24&lt;Calculator!$G$18,0,MIN(MIN(MOD(A24/Calculator!$F$18,1),1-MOD(A24/Calculator!$F$18,1)),ABS(MOD(A24/Calculator!$F$18,1)-0.5))),1)</f>
        <v>1</v>
      </c>
      <c r="I24" s="219" t="n">
        <f aca="false">IF(Calculator!$E$19="YES",IF(A24&lt;Calculator!$G$19,0,MIN(MIN(MOD(A24/Calculator!$F$19,1),1-MOD(A24/Calculator!$F$19,1)),ABS(MOD(A24/Calculator!$F$19,1)-0.5))),1)</f>
        <v>1</v>
      </c>
      <c r="J24" s="219" t="n">
        <f aca="false">IF(Calculator!$E$20="YES",IF(A24&lt;Calculator!$G$20,0,MIN(MIN(MOD(A24/Calculator!$F$20,1),1-MOD(A24/Calculator!$F$20,1)),ABS(MOD(A24/Calculator!$F$20,1)-0.5))),1)</f>
        <v>1</v>
      </c>
      <c r="K24" s="219" t="n">
        <f aca="false">IF(Calculator!$E$21="YES",IF(A24&lt;Calculator!$G$21,0,MIN(MIN(MOD(A24/Calculator!$F$21,1),1-MOD(A24/Calculator!$F$21,1)),ABS(MOD(A24/Calculator!$F$21,1)-0.5))),1)</f>
        <v>0.143543859649123</v>
      </c>
      <c r="L24" s="219" t="n">
        <f aca="false">IF(Calculator!$E$22="YES",IF(A24&lt;Calculator!$G$22,0,MIN(MIN(MOD(A24/Calculator!$F$22,1),1-MOD(A24/Calculator!$F$22,1)),ABS(MOD(A24/Calculator!$F$22,1)-0.5))),1)</f>
        <v>1</v>
      </c>
      <c r="M24" s="219" t="n">
        <f aca="false">MIN(B24:L24)</f>
        <v>0</v>
      </c>
      <c r="N24" s="219" t="n">
        <f aca="false">SUMPRODUCT(($M$7:$M$557&gt;M24)*1)+SUMPRODUCT(($M$7:$M$557=M24)*(ROW($M$7:$M$557)&lt;ROW(M24)))+1</f>
        <v>519</v>
      </c>
      <c r="O24" s="219" t="str">
        <f aca="false">IF(M24&gt;=0.2,"★★★ EXCELLENT",IF(M24&gt;=0.12,"★★  GOOD",IF(M24&gt;=0.07,"★  FAIR",IF(M24&gt;=0.025,"⚠  MARGINAL","✗  AVOID"))))</f>
        <v>✗  AVOID</v>
      </c>
    </row>
    <row r="25" customFormat="false" ht="15" hidden="false" customHeight="true" outlineLevel="0" collapsed="false">
      <c r="A25" s="216" t="n">
        <v>6.8</v>
      </c>
      <c r="B25" s="217" t="n">
        <f aca="false">IF(Calculator!$E$12="YES",IF(A25&lt;Calculator!$G$12,0,MIN(MIN(MOD(A25/Calculator!$F$12,1),1-MOD(A25/Calculator!$F$12,1)),ABS(MOD(A25/Calculator!$F$12,1)-0.5))),1)</f>
        <v>1</v>
      </c>
      <c r="C25" s="217" t="n">
        <f aca="false">IF(Calculator!$E$13="YES",IF(A25&lt;Calculator!$G$13,0,MIN(MIN(MOD(A25/Calculator!$F$13,1),1-MOD(A25/Calculator!$F$13,1)),ABS(MOD(A25/Calculator!$F$13,1)-0.5))),1)</f>
        <v>1</v>
      </c>
      <c r="D25" s="217" t="n">
        <f aca="false">IF(Calculator!$E$14="YES",IF(A25&lt;Calculator!$G$14,0,MIN(MIN(MOD(A25/Calculator!$F$14,1),1-MOD(A25/Calculator!$F$14,1)),ABS(MOD(A25/Calculator!$F$14,1)-0.5))),1)</f>
        <v>1</v>
      </c>
      <c r="E25" s="217" t="n">
        <f aca="false">IF(Calculator!$E$15="YES",IF(A25&lt;Calculator!$G$15,0,MIN(MIN(MOD(A25/Calculator!$F$15,1),1-MOD(A25/Calculator!$F$15,1)),ABS(MOD(A25/Calculator!$F$15,1)-0.5))),1)</f>
        <v>0</v>
      </c>
      <c r="F25" s="217" t="n">
        <f aca="false">IF(Calculator!$E$16="YES",IF(A25&lt;Calculator!$G$16,0,MIN(MIN(MOD(A25/Calculator!$F$16,1),1-MOD(A25/Calculator!$F$16,1)),ABS(MOD(A25/Calculator!$F$16,1)-0.5))),1)</f>
        <v>1</v>
      </c>
      <c r="G25" s="217" t="n">
        <f aca="false">IF(Calculator!$E$17="YES",IF(A25&lt;Calculator!$G$17,0,MIN(MIN(MOD(A25/Calculator!$F$17,1),1-MOD(A25/Calculator!$F$17,1)),ABS(MOD(A25/Calculator!$F$17,1)-0.5))),1)</f>
        <v>0.176421052631579</v>
      </c>
      <c r="H25" s="217" t="n">
        <f aca="false">IF(Calculator!$E$18="YES",IF(A25&lt;Calculator!$G$18,0,MIN(MIN(MOD(A25/Calculator!$F$18,1),1-MOD(A25/Calculator!$F$18,1)),ABS(MOD(A25/Calculator!$F$18,1)-0.5))),1)</f>
        <v>1</v>
      </c>
      <c r="I25" s="217" t="n">
        <f aca="false">IF(Calculator!$E$19="YES",IF(A25&lt;Calculator!$G$19,0,MIN(MIN(MOD(A25/Calculator!$F$19,1),1-MOD(A25/Calculator!$F$19,1)),ABS(MOD(A25/Calculator!$F$19,1)-0.5))),1)</f>
        <v>1</v>
      </c>
      <c r="J25" s="217" t="n">
        <f aca="false">IF(Calculator!$E$20="YES",IF(A25&lt;Calculator!$G$20,0,MIN(MIN(MOD(A25/Calculator!$F$20,1),1-MOD(A25/Calculator!$F$20,1)),ABS(MOD(A25/Calculator!$F$20,1)-0.5))),1)</f>
        <v>1</v>
      </c>
      <c r="K25" s="217" t="n">
        <f aca="false">IF(Calculator!$E$21="YES",IF(A25&lt;Calculator!$G$21,0,MIN(MIN(MOD(A25/Calculator!$F$21,1),1-MOD(A25/Calculator!$F$21,1)),ABS(MOD(A25/Calculator!$F$21,1)-0.5))),1)</f>
        <v>0.123298245614035</v>
      </c>
      <c r="L25" s="217" t="n">
        <f aca="false">IF(Calculator!$E$22="YES",IF(A25&lt;Calculator!$G$22,0,MIN(MIN(MOD(A25/Calculator!$F$22,1),1-MOD(A25/Calculator!$F$22,1)),ABS(MOD(A25/Calculator!$F$22,1)-0.5))),1)</f>
        <v>1</v>
      </c>
      <c r="M25" s="217" t="n">
        <f aca="false">MIN(B25:L25)</f>
        <v>0</v>
      </c>
      <c r="N25" s="217" t="n">
        <f aca="false">SUMPRODUCT(($M$7:$M$557&gt;M25)*1)+SUMPRODUCT(($M$7:$M$557=M25)*(ROW($M$7:$M$557)&lt;ROW(M25)))+1</f>
        <v>520</v>
      </c>
      <c r="O25" s="217" t="str">
        <f aca="false">IF(M25&gt;=0.2,"★★★ EXCELLENT",IF(M25&gt;=0.12,"★★  GOOD",IF(M25&gt;=0.07,"★  FAIR",IF(M25&gt;=0.025,"⚠  MARGINAL","✗  AVOID"))))</f>
        <v>✗  AVOID</v>
      </c>
    </row>
    <row r="26" customFormat="false" ht="15" hidden="false" customHeight="true" outlineLevel="0" collapsed="false">
      <c r="A26" s="218" t="n">
        <v>6.9</v>
      </c>
      <c r="B26" s="219" t="n">
        <f aca="false">IF(Calculator!$E$12="YES",IF(A26&lt;Calculator!$G$12,0,MIN(MIN(MOD(A26/Calculator!$F$12,1),1-MOD(A26/Calculator!$F$12,1)),ABS(MOD(A26/Calculator!$F$12,1)-0.5))),1)</f>
        <v>1</v>
      </c>
      <c r="C26" s="219" t="n">
        <f aca="false">IF(Calculator!$E$13="YES",IF(A26&lt;Calculator!$G$13,0,MIN(MIN(MOD(A26/Calculator!$F$13,1),1-MOD(A26/Calculator!$F$13,1)),ABS(MOD(A26/Calculator!$F$13,1)-0.5))),1)</f>
        <v>1</v>
      </c>
      <c r="D26" s="219" t="n">
        <f aca="false">IF(Calculator!$E$14="YES",IF(A26&lt;Calculator!$G$14,0,MIN(MIN(MOD(A26/Calculator!$F$14,1),1-MOD(A26/Calculator!$F$14,1)),ABS(MOD(A26/Calculator!$F$14,1)-0.5))),1)</f>
        <v>1</v>
      </c>
      <c r="E26" s="219" t="n">
        <f aca="false">IF(Calculator!$E$15="YES",IF(A26&lt;Calculator!$G$15,0,MIN(MIN(MOD(A26/Calculator!$F$15,1),1-MOD(A26/Calculator!$F$15,1)),ABS(MOD(A26/Calculator!$F$15,1)-0.5))),1)</f>
        <v>0</v>
      </c>
      <c r="F26" s="219" t="n">
        <f aca="false">IF(Calculator!$E$16="YES",IF(A26&lt;Calculator!$G$16,0,MIN(MIN(MOD(A26/Calculator!$F$16,1),1-MOD(A26/Calculator!$F$16,1)),ABS(MOD(A26/Calculator!$F$16,1)-0.5))),1)</f>
        <v>1</v>
      </c>
      <c r="G26" s="219" t="n">
        <f aca="false">IF(Calculator!$E$17="YES",IF(A26&lt;Calculator!$G$17,0,MIN(MIN(MOD(A26/Calculator!$F$17,1),1-MOD(A26/Calculator!$F$17,1)),ABS(MOD(A26/Calculator!$F$17,1)-0.5))),1)</f>
        <v>0.186368421052632</v>
      </c>
      <c r="H26" s="219" t="n">
        <f aca="false">IF(Calculator!$E$18="YES",IF(A26&lt;Calculator!$G$18,0,MIN(MIN(MOD(A26/Calculator!$F$18,1),1-MOD(A26/Calculator!$F$18,1)),ABS(MOD(A26/Calculator!$F$18,1)-0.5))),1)</f>
        <v>1</v>
      </c>
      <c r="I26" s="219" t="n">
        <f aca="false">IF(Calculator!$E$19="YES",IF(A26&lt;Calculator!$G$19,0,MIN(MIN(MOD(A26/Calculator!$F$19,1),1-MOD(A26/Calculator!$F$19,1)),ABS(MOD(A26/Calculator!$F$19,1)-0.5))),1)</f>
        <v>1</v>
      </c>
      <c r="J26" s="219" t="n">
        <f aca="false">IF(Calculator!$E$20="YES",IF(A26&lt;Calculator!$G$20,0,MIN(MIN(MOD(A26/Calculator!$F$20,1),1-MOD(A26/Calculator!$F$20,1)),ABS(MOD(A26/Calculator!$F$20,1)-0.5))),1)</f>
        <v>1</v>
      </c>
      <c r="K26" s="219" t="n">
        <f aca="false">IF(Calculator!$E$21="YES",IF(A26&lt;Calculator!$G$21,0,MIN(MIN(MOD(A26/Calculator!$F$21,1),1-MOD(A26/Calculator!$F$21,1)),ABS(MOD(A26/Calculator!$F$21,1)-0.5))),1)</f>
        <v>0.103052631578947</v>
      </c>
      <c r="L26" s="219" t="n">
        <f aca="false">IF(Calculator!$E$22="YES",IF(A26&lt;Calculator!$G$22,0,MIN(MIN(MOD(A26/Calculator!$F$22,1),1-MOD(A26/Calculator!$F$22,1)),ABS(MOD(A26/Calculator!$F$22,1)-0.5))),1)</f>
        <v>1</v>
      </c>
      <c r="M26" s="219" t="n">
        <f aca="false">MIN(B26:L26)</f>
        <v>0</v>
      </c>
      <c r="N26" s="219" t="n">
        <f aca="false">SUMPRODUCT(($M$7:$M$557&gt;M26)*1)+SUMPRODUCT(($M$7:$M$557=M26)*(ROW($M$7:$M$557)&lt;ROW(M26)))+1</f>
        <v>521</v>
      </c>
      <c r="O26" s="219" t="str">
        <f aca="false">IF(M26&gt;=0.2,"★★★ EXCELLENT",IF(M26&gt;=0.12,"★★  GOOD",IF(M26&gt;=0.07,"★  FAIR",IF(M26&gt;=0.025,"⚠  MARGINAL","✗  AVOID"))))</f>
        <v>✗  AVOID</v>
      </c>
    </row>
    <row r="27" customFormat="false" ht="15" hidden="false" customHeight="true" outlineLevel="0" collapsed="false">
      <c r="A27" s="216" t="n">
        <v>7</v>
      </c>
      <c r="B27" s="217" t="n">
        <f aca="false">IF(Calculator!$E$12="YES",IF(A27&lt;Calculator!$G$12,0,MIN(MIN(MOD(A27/Calculator!$F$12,1),1-MOD(A27/Calculator!$F$12,1)),ABS(MOD(A27/Calculator!$F$12,1)-0.5))),1)</f>
        <v>1</v>
      </c>
      <c r="C27" s="217" t="n">
        <f aca="false">IF(Calculator!$E$13="YES",IF(A27&lt;Calculator!$G$13,0,MIN(MIN(MOD(A27/Calculator!$F$13,1),1-MOD(A27/Calculator!$F$13,1)),ABS(MOD(A27/Calculator!$F$13,1)-0.5))),1)</f>
        <v>1</v>
      </c>
      <c r="D27" s="217" t="n">
        <f aca="false">IF(Calculator!$E$14="YES",IF(A27&lt;Calculator!$G$14,0,MIN(MIN(MOD(A27/Calculator!$F$14,1),1-MOD(A27/Calculator!$F$14,1)),ABS(MOD(A27/Calculator!$F$14,1)-0.5))),1)</f>
        <v>1</v>
      </c>
      <c r="E27" s="217" t="n">
        <f aca="false">IF(Calculator!$E$15="YES",IF(A27&lt;Calculator!$G$15,0,MIN(MIN(MOD(A27/Calculator!$F$15,1),1-MOD(A27/Calculator!$F$15,1)),ABS(MOD(A27/Calculator!$F$15,1)-0.5))),1)</f>
        <v>0</v>
      </c>
      <c r="F27" s="217" t="n">
        <f aca="false">IF(Calculator!$E$16="YES",IF(A27&lt;Calculator!$G$16,0,MIN(MIN(MOD(A27/Calculator!$F$16,1),1-MOD(A27/Calculator!$F$16,1)),ABS(MOD(A27/Calculator!$F$16,1)-0.5))),1)</f>
        <v>1</v>
      </c>
      <c r="G27" s="217" t="n">
        <f aca="false">IF(Calculator!$E$17="YES",IF(A27&lt;Calculator!$G$17,0,MIN(MIN(MOD(A27/Calculator!$F$17,1),1-MOD(A27/Calculator!$F$17,1)),ABS(MOD(A27/Calculator!$F$17,1)-0.5))),1)</f>
        <v>0.196315789473684</v>
      </c>
      <c r="H27" s="217" t="n">
        <f aca="false">IF(Calculator!$E$18="YES",IF(A27&lt;Calculator!$G$18,0,MIN(MIN(MOD(A27/Calculator!$F$18,1),1-MOD(A27/Calculator!$F$18,1)),ABS(MOD(A27/Calculator!$F$18,1)-0.5))),1)</f>
        <v>1</v>
      </c>
      <c r="I27" s="217" t="n">
        <f aca="false">IF(Calculator!$E$19="YES",IF(A27&lt;Calculator!$G$19,0,MIN(MIN(MOD(A27/Calculator!$F$19,1),1-MOD(A27/Calculator!$F$19,1)),ABS(MOD(A27/Calculator!$F$19,1)-0.5))),1)</f>
        <v>1</v>
      </c>
      <c r="J27" s="217" t="n">
        <f aca="false">IF(Calculator!$E$20="YES",IF(A27&lt;Calculator!$G$20,0,MIN(MIN(MOD(A27/Calculator!$F$20,1),1-MOD(A27/Calculator!$F$20,1)),ABS(MOD(A27/Calculator!$F$20,1)-0.5))),1)</f>
        <v>1</v>
      </c>
      <c r="K27" s="217" t="n">
        <f aca="false">IF(Calculator!$E$21="YES",IF(A27&lt;Calculator!$G$21,0,MIN(MIN(MOD(A27/Calculator!$F$21,1),1-MOD(A27/Calculator!$F$21,1)),ABS(MOD(A27/Calculator!$F$21,1)-0.5))),1)</f>
        <v>0.0828070175438598</v>
      </c>
      <c r="L27" s="217" t="n">
        <f aca="false">IF(Calculator!$E$22="YES",IF(A27&lt;Calculator!$G$22,0,MIN(MIN(MOD(A27/Calculator!$F$22,1),1-MOD(A27/Calculator!$F$22,1)),ABS(MOD(A27/Calculator!$F$22,1)-0.5))),1)</f>
        <v>1</v>
      </c>
      <c r="M27" s="217" t="n">
        <f aca="false">MIN(B27:L27)</f>
        <v>0</v>
      </c>
      <c r="N27" s="217" t="n">
        <f aca="false">SUMPRODUCT(($M$7:$M$557&gt;M27)*1)+SUMPRODUCT(($M$7:$M$557=M27)*(ROW($M$7:$M$557)&lt;ROW(M27)))+1</f>
        <v>522</v>
      </c>
      <c r="O27" s="217" t="str">
        <f aca="false">IF(M27&gt;=0.2,"★★★ EXCELLENT",IF(M27&gt;=0.12,"★★  GOOD",IF(M27&gt;=0.07,"★  FAIR",IF(M27&gt;=0.025,"⚠  MARGINAL","✗  AVOID"))))</f>
        <v>✗  AVOID</v>
      </c>
    </row>
    <row r="28" customFormat="false" ht="15" hidden="false" customHeight="true" outlineLevel="0" collapsed="false">
      <c r="A28" s="218" t="n">
        <v>7.1</v>
      </c>
      <c r="B28" s="219" t="n">
        <f aca="false">IF(Calculator!$E$12="YES",IF(A28&lt;Calculator!$G$12,0,MIN(MIN(MOD(A28/Calculator!$F$12,1),1-MOD(A28/Calculator!$F$12,1)),ABS(MOD(A28/Calculator!$F$12,1)-0.5))),1)</f>
        <v>1</v>
      </c>
      <c r="C28" s="219" t="n">
        <f aca="false">IF(Calculator!$E$13="YES",IF(A28&lt;Calculator!$G$13,0,MIN(MIN(MOD(A28/Calculator!$F$13,1),1-MOD(A28/Calculator!$F$13,1)),ABS(MOD(A28/Calculator!$F$13,1)-0.5))),1)</f>
        <v>1</v>
      </c>
      <c r="D28" s="219" t="n">
        <f aca="false">IF(Calculator!$E$14="YES",IF(A28&lt;Calculator!$G$14,0,MIN(MIN(MOD(A28/Calculator!$F$14,1),1-MOD(A28/Calculator!$F$14,1)),ABS(MOD(A28/Calculator!$F$14,1)-0.5))),1)</f>
        <v>1</v>
      </c>
      <c r="E28" s="219" t="n">
        <f aca="false">IF(Calculator!$E$15="YES",IF(A28&lt;Calculator!$G$15,0,MIN(MIN(MOD(A28/Calculator!$F$15,1),1-MOD(A28/Calculator!$F$15,1)),ABS(MOD(A28/Calculator!$F$15,1)-0.5))),1)</f>
        <v>0</v>
      </c>
      <c r="F28" s="219" t="n">
        <f aca="false">IF(Calculator!$E$16="YES",IF(A28&lt;Calculator!$G$16,0,MIN(MIN(MOD(A28/Calculator!$F$16,1),1-MOD(A28/Calculator!$F$16,1)),ABS(MOD(A28/Calculator!$F$16,1)-0.5))),1)</f>
        <v>1</v>
      </c>
      <c r="G28" s="219" t="n">
        <f aca="false">IF(Calculator!$E$17="YES",IF(A28&lt;Calculator!$G$17,0,MIN(MIN(MOD(A28/Calculator!$F$17,1),1-MOD(A28/Calculator!$F$17,1)),ABS(MOD(A28/Calculator!$F$17,1)-0.5))),1)</f>
        <v>0.206263157894737</v>
      </c>
      <c r="H28" s="219" t="n">
        <f aca="false">IF(Calculator!$E$18="YES",IF(A28&lt;Calculator!$G$18,0,MIN(MIN(MOD(A28/Calculator!$F$18,1),1-MOD(A28/Calculator!$F$18,1)),ABS(MOD(A28/Calculator!$F$18,1)-0.5))),1)</f>
        <v>1</v>
      </c>
      <c r="I28" s="219" t="n">
        <f aca="false">IF(Calculator!$E$19="YES",IF(A28&lt;Calculator!$G$19,0,MIN(MIN(MOD(A28/Calculator!$F$19,1),1-MOD(A28/Calculator!$F$19,1)),ABS(MOD(A28/Calculator!$F$19,1)-0.5))),1)</f>
        <v>1</v>
      </c>
      <c r="J28" s="219" t="n">
        <f aca="false">IF(Calculator!$E$20="YES",IF(A28&lt;Calculator!$G$20,0,MIN(MIN(MOD(A28/Calculator!$F$20,1),1-MOD(A28/Calculator!$F$20,1)),ABS(MOD(A28/Calculator!$F$20,1)-0.5))),1)</f>
        <v>1</v>
      </c>
      <c r="K28" s="219" t="n">
        <f aca="false">IF(Calculator!$E$21="YES",IF(A28&lt;Calculator!$G$21,0,MIN(MIN(MOD(A28/Calculator!$F$21,1),1-MOD(A28/Calculator!$F$21,1)),ABS(MOD(A28/Calculator!$F$21,1)-0.5))),1)</f>
        <v>0.062561403508772</v>
      </c>
      <c r="L28" s="219" t="n">
        <f aca="false">IF(Calculator!$E$22="YES",IF(A28&lt;Calculator!$G$22,0,MIN(MIN(MOD(A28/Calculator!$F$22,1),1-MOD(A28/Calculator!$F$22,1)),ABS(MOD(A28/Calculator!$F$22,1)-0.5))),1)</f>
        <v>1</v>
      </c>
      <c r="M28" s="219" t="n">
        <f aca="false">MIN(B28:L28)</f>
        <v>0</v>
      </c>
      <c r="N28" s="219" t="n">
        <f aca="false">SUMPRODUCT(($M$7:$M$557&gt;M28)*1)+SUMPRODUCT(($M$7:$M$557=M28)*(ROW($M$7:$M$557)&lt;ROW(M28)))+1</f>
        <v>523</v>
      </c>
      <c r="O28" s="219" t="str">
        <f aca="false">IF(M28&gt;=0.2,"★★★ EXCELLENT",IF(M28&gt;=0.12,"★★  GOOD",IF(M28&gt;=0.07,"★  FAIR",IF(M28&gt;=0.025,"⚠  MARGINAL","✗  AVOID"))))</f>
        <v>✗  AVOID</v>
      </c>
    </row>
    <row r="29" customFormat="false" ht="15" hidden="false" customHeight="true" outlineLevel="0" collapsed="false">
      <c r="A29" s="216" t="n">
        <v>7.2</v>
      </c>
      <c r="B29" s="217" t="n">
        <f aca="false">IF(Calculator!$E$12="YES",IF(A29&lt;Calculator!$G$12,0,MIN(MIN(MOD(A29/Calculator!$F$12,1),1-MOD(A29/Calculator!$F$12,1)),ABS(MOD(A29/Calculator!$F$12,1)-0.5))),1)</f>
        <v>1</v>
      </c>
      <c r="C29" s="217" t="n">
        <f aca="false">IF(Calculator!$E$13="YES",IF(A29&lt;Calculator!$G$13,0,MIN(MIN(MOD(A29/Calculator!$F$13,1),1-MOD(A29/Calculator!$F$13,1)),ABS(MOD(A29/Calculator!$F$13,1)-0.5))),1)</f>
        <v>1</v>
      </c>
      <c r="D29" s="217" t="n">
        <f aca="false">IF(Calculator!$E$14="YES",IF(A29&lt;Calculator!$G$14,0,MIN(MIN(MOD(A29/Calculator!$F$14,1),1-MOD(A29/Calculator!$F$14,1)),ABS(MOD(A29/Calculator!$F$14,1)-0.5))),1)</f>
        <v>1</v>
      </c>
      <c r="E29" s="217" t="n">
        <f aca="false">IF(Calculator!$E$15="YES",IF(A29&lt;Calculator!$G$15,0,MIN(MIN(MOD(A29/Calculator!$F$15,1),1-MOD(A29/Calculator!$F$15,1)),ABS(MOD(A29/Calculator!$F$15,1)-0.5))),1)</f>
        <v>0</v>
      </c>
      <c r="F29" s="217" t="n">
        <f aca="false">IF(Calculator!$E$16="YES",IF(A29&lt;Calculator!$G$16,0,MIN(MIN(MOD(A29/Calculator!$F$16,1),1-MOD(A29/Calculator!$F$16,1)),ABS(MOD(A29/Calculator!$F$16,1)-0.5))),1)</f>
        <v>1</v>
      </c>
      <c r="G29" s="217" t="n">
        <f aca="false">IF(Calculator!$E$17="YES",IF(A29&lt;Calculator!$G$17,0,MIN(MIN(MOD(A29/Calculator!$F$17,1),1-MOD(A29/Calculator!$F$17,1)),ABS(MOD(A29/Calculator!$F$17,1)-0.5))),1)</f>
        <v>0.21621052631579</v>
      </c>
      <c r="H29" s="217" t="n">
        <f aca="false">IF(Calculator!$E$18="YES",IF(A29&lt;Calculator!$G$18,0,MIN(MIN(MOD(A29/Calculator!$F$18,1),1-MOD(A29/Calculator!$F$18,1)),ABS(MOD(A29/Calculator!$F$18,1)-0.5))),1)</f>
        <v>1</v>
      </c>
      <c r="I29" s="217" t="n">
        <f aca="false">IF(Calculator!$E$19="YES",IF(A29&lt;Calculator!$G$19,0,MIN(MIN(MOD(A29/Calculator!$F$19,1),1-MOD(A29/Calculator!$F$19,1)),ABS(MOD(A29/Calculator!$F$19,1)-0.5))),1)</f>
        <v>1</v>
      </c>
      <c r="J29" s="217" t="n">
        <f aca="false">IF(Calculator!$E$20="YES",IF(A29&lt;Calculator!$G$20,0,MIN(MIN(MOD(A29/Calculator!$F$20,1),1-MOD(A29/Calculator!$F$20,1)),ABS(MOD(A29/Calculator!$F$20,1)-0.5))),1)</f>
        <v>1</v>
      </c>
      <c r="K29" s="217" t="n">
        <f aca="false">IF(Calculator!$E$21="YES",IF(A29&lt;Calculator!$G$21,0,MIN(MIN(MOD(A29/Calculator!$F$21,1),1-MOD(A29/Calculator!$F$21,1)),ABS(MOD(A29/Calculator!$F$21,1)-0.5))),1)</f>
        <v>0.0423157894736841</v>
      </c>
      <c r="L29" s="217" t="n">
        <f aca="false">IF(Calculator!$E$22="YES",IF(A29&lt;Calculator!$G$22,0,MIN(MIN(MOD(A29/Calculator!$F$22,1),1-MOD(A29/Calculator!$F$22,1)),ABS(MOD(A29/Calculator!$F$22,1)-0.5))),1)</f>
        <v>1</v>
      </c>
      <c r="M29" s="217" t="n">
        <f aca="false">MIN(B29:L29)</f>
        <v>0</v>
      </c>
      <c r="N29" s="217" t="n">
        <f aca="false">SUMPRODUCT(($M$7:$M$557&gt;M29)*1)+SUMPRODUCT(($M$7:$M$557=M29)*(ROW($M$7:$M$557)&lt;ROW(M29)))+1</f>
        <v>524</v>
      </c>
      <c r="O29" s="217" t="str">
        <f aca="false">IF(M29&gt;=0.2,"★★★ EXCELLENT",IF(M29&gt;=0.12,"★★  GOOD",IF(M29&gt;=0.07,"★  FAIR",IF(M29&gt;=0.025,"⚠  MARGINAL","✗  AVOID"))))</f>
        <v>✗  AVOID</v>
      </c>
    </row>
    <row r="30" customFormat="false" ht="15" hidden="false" customHeight="true" outlineLevel="0" collapsed="false">
      <c r="A30" s="218" t="n">
        <v>7.3</v>
      </c>
      <c r="B30" s="219" t="n">
        <f aca="false">IF(Calculator!$E$12="YES",IF(A30&lt;Calculator!$G$12,0,MIN(MIN(MOD(A30/Calculator!$F$12,1),1-MOD(A30/Calculator!$F$12,1)),ABS(MOD(A30/Calculator!$F$12,1)-0.5))),1)</f>
        <v>1</v>
      </c>
      <c r="C30" s="219" t="n">
        <f aca="false">IF(Calculator!$E$13="YES",IF(A30&lt;Calculator!$G$13,0,MIN(MIN(MOD(A30/Calculator!$F$13,1),1-MOD(A30/Calculator!$F$13,1)),ABS(MOD(A30/Calculator!$F$13,1)-0.5))),1)</f>
        <v>1</v>
      </c>
      <c r="D30" s="219" t="n">
        <f aca="false">IF(Calculator!$E$14="YES",IF(A30&lt;Calculator!$G$14,0,MIN(MIN(MOD(A30/Calculator!$F$14,1),1-MOD(A30/Calculator!$F$14,1)),ABS(MOD(A30/Calculator!$F$14,1)-0.5))),1)</f>
        <v>1</v>
      </c>
      <c r="E30" s="219" t="n">
        <f aca="false">IF(Calculator!$E$15="YES",IF(A30&lt;Calculator!$G$15,0,MIN(MIN(MOD(A30/Calculator!$F$15,1),1-MOD(A30/Calculator!$F$15,1)),ABS(MOD(A30/Calculator!$F$15,1)-0.5))),1)</f>
        <v>0</v>
      </c>
      <c r="F30" s="219" t="n">
        <f aca="false">IF(Calculator!$E$16="YES",IF(A30&lt;Calculator!$G$16,0,MIN(MIN(MOD(A30/Calculator!$F$16,1),1-MOD(A30/Calculator!$F$16,1)),ABS(MOD(A30/Calculator!$F$16,1)-0.5))),1)</f>
        <v>1</v>
      </c>
      <c r="G30" s="219" t="n">
        <f aca="false">IF(Calculator!$E$17="YES",IF(A30&lt;Calculator!$G$17,0,MIN(MIN(MOD(A30/Calculator!$F$17,1),1-MOD(A30/Calculator!$F$17,1)),ABS(MOD(A30/Calculator!$F$17,1)-0.5))),1)</f>
        <v>0.226157894736842</v>
      </c>
      <c r="H30" s="219" t="n">
        <f aca="false">IF(Calculator!$E$18="YES",IF(A30&lt;Calculator!$G$18,0,MIN(MIN(MOD(A30/Calculator!$F$18,1),1-MOD(A30/Calculator!$F$18,1)),ABS(MOD(A30/Calculator!$F$18,1)-0.5))),1)</f>
        <v>1</v>
      </c>
      <c r="I30" s="219" t="n">
        <f aca="false">IF(Calculator!$E$19="YES",IF(A30&lt;Calculator!$G$19,0,MIN(MIN(MOD(A30/Calculator!$F$19,1),1-MOD(A30/Calculator!$F$19,1)),ABS(MOD(A30/Calculator!$F$19,1)-0.5))),1)</f>
        <v>1</v>
      </c>
      <c r="J30" s="219" t="n">
        <f aca="false">IF(Calculator!$E$20="YES",IF(A30&lt;Calculator!$G$20,0,MIN(MIN(MOD(A30/Calculator!$F$20,1),1-MOD(A30/Calculator!$F$20,1)),ABS(MOD(A30/Calculator!$F$20,1)-0.5))),1)</f>
        <v>1</v>
      </c>
      <c r="K30" s="219" t="n">
        <f aca="false">IF(Calculator!$E$21="YES",IF(A30&lt;Calculator!$G$21,0,MIN(MIN(MOD(A30/Calculator!$F$21,1),1-MOD(A30/Calculator!$F$21,1)),ABS(MOD(A30/Calculator!$F$21,1)-0.5))),1)</f>
        <v>0.0220701754385966</v>
      </c>
      <c r="L30" s="219" t="n">
        <f aca="false">IF(Calculator!$E$22="YES",IF(A30&lt;Calculator!$G$22,0,MIN(MIN(MOD(A30/Calculator!$F$22,1),1-MOD(A30/Calculator!$F$22,1)),ABS(MOD(A30/Calculator!$F$22,1)-0.5))),1)</f>
        <v>1</v>
      </c>
      <c r="M30" s="219" t="n">
        <f aca="false">MIN(B30:L30)</f>
        <v>0</v>
      </c>
      <c r="N30" s="219" t="n">
        <f aca="false">SUMPRODUCT(($M$7:$M$557&gt;M30)*1)+SUMPRODUCT(($M$7:$M$557=M30)*(ROW($M$7:$M$557)&lt;ROW(M30)))+1</f>
        <v>525</v>
      </c>
      <c r="O30" s="219" t="str">
        <f aca="false">IF(M30&gt;=0.2,"★★★ EXCELLENT",IF(M30&gt;=0.12,"★★  GOOD",IF(M30&gt;=0.07,"★  FAIR",IF(M30&gt;=0.025,"⚠  MARGINAL","✗  AVOID"))))</f>
        <v>✗  AVOID</v>
      </c>
    </row>
    <row r="31" customFormat="false" ht="15" hidden="false" customHeight="true" outlineLevel="0" collapsed="false">
      <c r="A31" s="216" t="n">
        <v>7.4</v>
      </c>
      <c r="B31" s="217" t="n">
        <f aca="false">IF(Calculator!$E$12="YES",IF(A31&lt;Calculator!$G$12,0,MIN(MIN(MOD(A31/Calculator!$F$12,1),1-MOD(A31/Calculator!$F$12,1)),ABS(MOD(A31/Calculator!$F$12,1)-0.5))),1)</f>
        <v>1</v>
      </c>
      <c r="C31" s="217" t="n">
        <f aca="false">IF(Calculator!$E$13="YES",IF(A31&lt;Calculator!$G$13,0,MIN(MIN(MOD(A31/Calculator!$F$13,1),1-MOD(A31/Calculator!$F$13,1)),ABS(MOD(A31/Calculator!$F$13,1)-0.5))),1)</f>
        <v>1</v>
      </c>
      <c r="D31" s="217" t="n">
        <f aca="false">IF(Calculator!$E$14="YES",IF(A31&lt;Calculator!$G$14,0,MIN(MIN(MOD(A31/Calculator!$F$14,1),1-MOD(A31/Calculator!$F$14,1)),ABS(MOD(A31/Calculator!$F$14,1)-0.5))),1)</f>
        <v>1</v>
      </c>
      <c r="E31" s="217" t="n">
        <f aca="false">IF(Calculator!$E$15="YES",IF(A31&lt;Calculator!$G$15,0,MIN(MIN(MOD(A31/Calculator!$F$15,1),1-MOD(A31/Calculator!$F$15,1)),ABS(MOD(A31/Calculator!$F$15,1)-0.5))),1)</f>
        <v>0</v>
      </c>
      <c r="F31" s="217" t="n">
        <f aca="false">IF(Calculator!$E$16="YES",IF(A31&lt;Calculator!$G$16,0,MIN(MIN(MOD(A31/Calculator!$F$16,1),1-MOD(A31/Calculator!$F$16,1)),ABS(MOD(A31/Calculator!$F$16,1)-0.5))),1)</f>
        <v>1</v>
      </c>
      <c r="G31" s="217" t="n">
        <f aca="false">IF(Calculator!$E$17="YES",IF(A31&lt;Calculator!$G$17,0,MIN(MIN(MOD(A31/Calculator!$F$17,1),1-MOD(A31/Calculator!$F$17,1)),ABS(MOD(A31/Calculator!$F$17,1)-0.5))),1)</f>
        <v>0.236105263157895</v>
      </c>
      <c r="H31" s="217" t="n">
        <f aca="false">IF(Calculator!$E$18="YES",IF(A31&lt;Calculator!$G$18,0,MIN(MIN(MOD(A31/Calculator!$F$18,1),1-MOD(A31/Calculator!$F$18,1)),ABS(MOD(A31/Calculator!$F$18,1)-0.5))),1)</f>
        <v>1</v>
      </c>
      <c r="I31" s="217" t="n">
        <f aca="false">IF(Calculator!$E$19="YES",IF(A31&lt;Calculator!$G$19,0,MIN(MIN(MOD(A31/Calculator!$F$19,1),1-MOD(A31/Calculator!$F$19,1)),ABS(MOD(A31/Calculator!$F$19,1)-0.5))),1)</f>
        <v>1</v>
      </c>
      <c r="J31" s="217" t="n">
        <f aca="false">IF(Calculator!$E$20="YES",IF(A31&lt;Calculator!$G$20,0,MIN(MIN(MOD(A31/Calculator!$F$20,1),1-MOD(A31/Calculator!$F$20,1)),ABS(MOD(A31/Calculator!$F$20,1)-0.5))),1)</f>
        <v>1</v>
      </c>
      <c r="K31" s="217" t="n">
        <f aca="false">IF(Calculator!$E$21="YES",IF(A31&lt;Calculator!$G$21,0,MIN(MIN(MOD(A31/Calculator!$F$21,1),1-MOD(A31/Calculator!$F$21,1)),ABS(MOD(A31/Calculator!$F$21,1)-0.5))),1)</f>
        <v>0.00182456140350862</v>
      </c>
      <c r="L31" s="217" t="n">
        <f aca="false">IF(Calculator!$E$22="YES",IF(A31&lt;Calculator!$G$22,0,MIN(MIN(MOD(A31/Calculator!$F$22,1),1-MOD(A31/Calculator!$F$22,1)),ABS(MOD(A31/Calculator!$F$22,1)-0.5))),1)</f>
        <v>1</v>
      </c>
      <c r="M31" s="217" t="n">
        <f aca="false">MIN(B31:L31)</f>
        <v>0</v>
      </c>
      <c r="N31" s="217" t="n">
        <f aca="false">SUMPRODUCT(($M$7:$M$557&gt;M31)*1)+SUMPRODUCT(($M$7:$M$557=M31)*(ROW($M$7:$M$557)&lt;ROW(M31)))+1</f>
        <v>526</v>
      </c>
      <c r="O31" s="217" t="str">
        <f aca="false">IF(M31&gt;=0.2,"★★★ EXCELLENT",IF(M31&gt;=0.12,"★★  GOOD",IF(M31&gt;=0.07,"★  FAIR",IF(M31&gt;=0.025,"⚠  MARGINAL","✗  AVOID"))))</f>
        <v>✗  AVOID</v>
      </c>
    </row>
    <row r="32" customFormat="false" ht="15" hidden="false" customHeight="true" outlineLevel="0" collapsed="false">
      <c r="A32" s="218" t="n">
        <v>7.5</v>
      </c>
      <c r="B32" s="219" t="n">
        <f aca="false">IF(Calculator!$E$12="YES",IF(A32&lt;Calculator!$G$12,0,MIN(MIN(MOD(A32/Calculator!$F$12,1),1-MOD(A32/Calculator!$F$12,1)),ABS(MOD(A32/Calculator!$F$12,1)-0.5))),1)</f>
        <v>1</v>
      </c>
      <c r="C32" s="219" t="n">
        <f aca="false">IF(Calculator!$E$13="YES",IF(A32&lt;Calculator!$G$13,0,MIN(MIN(MOD(A32/Calculator!$F$13,1),1-MOD(A32/Calculator!$F$13,1)),ABS(MOD(A32/Calculator!$F$13,1)-0.5))),1)</f>
        <v>1</v>
      </c>
      <c r="D32" s="219" t="n">
        <f aca="false">IF(Calculator!$E$14="YES",IF(A32&lt;Calculator!$G$14,0,MIN(MIN(MOD(A32/Calculator!$F$14,1),1-MOD(A32/Calculator!$F$14,1)),ABS(MOD(A32/Calculator!$F$14,1)-0.5))),1)</f>
        <v>1</v>
      </c>
      <c r="E32" s="219" t="n">
        <f aca="false">IF(Calculator!$E$15="YES",IF(A32&lt;Calculator!$G$15,0,MIN(MIN(MOD(A32/Calculator!$F$15,1),1-MOD(A32/Calculator!$F$15,1)),ABS(MOD(A32/Calculator!$F$15,1)-0.5))),1)</f>
        <v>0</v>
      </c>
      <c r="F32" s="219" t="n">
        <f aca="false">IF(Calculator!$E$16="YES",IF(A32&lt;Calculator!$G$16,0,MIN(MIN(MOD(A32/Calculator!$F$16,1),1-MOD(A32/Calculator!$F$16,1)),ABS(MOD(A32/Calculator!$F$16,1)-0.5))),1)</f>
        <v>1</v>
      </c>
      <c r="G32" s="219" t="n">
        <f aca="false">IF(Calculator!$E$17="YES",IF(A32&lt;Calculator!$G$17,0,MIN(MIN(MOD(A32/Calculator!$F$17,1),1-MOD(A32/Calculator!$F$17,1)),ABS(MOD(A32/Calculator!$F$17,1)-0.5))),1)</f>
        <v>0.246052631578947</v>
      </c>
      <c r="H32" s="219" t="n">
        <f aca="false">IF(Calculator!$E$18="YES",IF(A32&lt;Calculator!$G$18,0,MIN(MIN(MOD(A32/Calculator!$F$18,1),1-MOD(A32/Calculator!$F$18,1)),ABS(MOD(A32/Calculator!$F$18,1)-0.5))),1)</f>
        <v>1</v>
      </c>
      <c r="I32" s="219" t="n">
        <f aca="false">IF(Calculator!$E$19="YES",IF(A32&lt;Calculator!$G$19,0,MIN(MIN(MOD(A32/Calculator!$F$19,1),1-MOD(A32/Calculator!$F$19,1)),ABS(MOD(A32/Calculator!$F$19,1)-0.5))),1)</f>
        <v>1</v>
      </c>
      <c r="J32" s="219" t="n">
        <f aca="false">IF(Calculator!$E$20="YES",IF(A32&lt;Calculator!$G$20,0,MIN(MIN(MOD(A32/Calculator!$F$20,1),1-MOD(A32/Calculator!$F$20,1)),ABS(MOD(A32/Calculator!$F$20,1)-0.5))),1)</f>
        <v>1</v>
      </c>
      <c r="K32" s="219" t="n">
        <f aca="false">IF(Calculator!$E$21="YES",IF(A32&lt;Calculator!$G$21,0,MIN(MIN(MOD(A32/Calculator!$F$21,1),1-MOD(A32/Calculator!$F$21,1)),ABS(MOD(A32/Calculator!$F$21,1)-0.5))),1)</f>
        <v>0.0184210526315789</v>
      </c>
      <c r="L32" s="219" t="n">
        <f aca="false">IF(Calculator!$E$22="YES",IF(A32&lt;Calculator!$G$22,0,MIN(MIN(MOD(A32/Calculator!$F$22,1),1-MOD(A32/Calculator!$F$22,1)),ABS(MOD(A32/Calculator!$F$22,1)-0.5))),1)</f>
        <v>1</v>
      </c>
      <c r="M32" s="219" t="n">
        <f aca="false">MIN(B32:L32)</f>
        <v>0</v>
      </c>
      <c r="N32" s="219" t="n">
        <f aca="false">SUMPRODUCT(($M$7:$M$557&gt;M32)*1)+SUMPRODUCT(($M$7:$M$557=M32)*(ROW($M$7:$M$557)&lt;ROW(M32)))+1</f>
        <v>527</v>
      </c>
      <c r="O32" s="219" t="str">
        <f aca="false">IF(M32&gt;=0.2,"★★★ EXCELLENT",IF(M32&gt;=0.12,"★★  GOOD",IF(M32&gt;=0.07,"★  FAIR",IF(M32&gt;=0.025,"⚠  MARGINAL","✗  AVOID"))))</f>
        <v>✗  AVOID</v>
      </c>
    </row>
    <row r="33" customFormat="false" ht="15" hidden="false" customHeight="true" outlineLevel="0" collapsed="false">
      <c r="A33" s="216" t="n">
        <v>7.6</v>
      </c>
      <c r="B33" s="217" t="n">
        <f aca="false">IF(Calculator!$E$12="YES",IF(A33&lt;Calculator!$G$12,0,MIN(MIN(MOD(A33/Calculator!$F$12,1),1-MOD(A33/Calculator!$F$12,1)),ABS(MOD(A33/Calculator!$F$12,1)-0.5))),1)</f>
        <v>1</v>
      </c>
      <c r="C33" s="217" t="n">
        <f aca="false">IF(Calculator!$E$13="YES",IF(A33&lt;Calculator!$G$13,0,MIN(MIN(MOD(A33/Calculator!$F$13,1),1-MOD(A33/Calculator!$F$13,1)),ABS(MOD(A33/Calculator!$F$13,1)-0.5))),1)</f>
        <v>1</v>
      </c>
      <c r="D33" s="217" t="n">
        <f aca="false">IF(Calculator!$E$14="YES",IF(A33&lt;Calculator!$G$14,0,MIN(MIN(MOD(A33/Calculator!$F$14,1),1-MOD(A33/Calculator!$F$14,1)),ABS(MOD(A33/Calculator!$F$14,1)-0.5))),1)</f>
        <v>1</v>
      </c>
      <c r="E33" s="217" t="n">
        <f aca="false">IF(Calculator!$E$15="YES",IF(A33&lt;Calculator!$G$15,0,MIN(MIN(MOD(A33/Calculator!$F$15,1),1-MOD(A33/Calculator!$F$15,1)),ABS(MOD(A33/Calculator!$F$15,1)-0.5))),1)</f>
        <v>0</v>
      </c>
      <c r="F33" s="217" t="n">
        <f aca="false">IF(Calculator!$E$16="YES",IF(A33&lt;Calculator!$G$16,0,MIN(MIN(MOD(A33/Calculator!$F$16,1),1-MOD(A33/Calculator!$F$16,1)),ABS(MOD(A33/Calculator!$F$16,1)-0.5))),1)</f>
        <v>1</v>
      </c>
      <c r="G33" s="217" t="n">
        <f aca="false">IF(Calculator!$E$17="YES",IF(A33&lt;Calculator!$G$17,0,MIN(MIN(MOD(A33/Calculator!$F$17,1),1-MOD(A33/Calculator!$F$17,1)),ABS(MOD(A33/Calculator!$F$17,1)-0.5))),1)</f>
        <v>0.244</v>
      </c>
      <c r="H33" s="217" t="n">
        <f aca="false">IF(Calculator!$E$18="YES",IF(A33&lt;Calculator!$G$18,0,MIN(MIN(MOD(A33/Calculator!$F$18,1),1-MOD(A33/Calculator!$F$18,1)),ABS(MOD(A33/Calculator!$F$18,1)-0.5))),1)</f>
        <v>1</v>
      </c>
      <c r="I33" s="217" t="n">
        <f aca="false">IF(Calculator!$E$19="YES",IF(A33&lt;Calculator!$G$19,0,MIN(MIN(MOD(A33/Calculator!$F$19,1),1-MOD(A33/Calculator!$F$19,1)),ABS(MOD(A33/Calculator!$F$19,1)-0.5))),1)</f>
        <v>1</v>
      </c>
      <c r="J33" s="217" t="n">
        <f aca="false">IF(Calculator!$E$20="YES",IF(A33&lt;Calculator!$G$20,0,MIN(MIN(MOD(A33/Calculator!$F$20,1),1-MOD(A33/Calculator!$F$20,1)),ABS(MOD(A33/Calculator!$F$20,1)-0.5))),1)</f>
        <v>1</v>
      </c>
      <c r="K33" s="217" t="n">
        <f aca="false">IF(Calculator!$E$21="YES",IF(A33&lt;Calculator!$G$21,0,MIN(MIN(MOD(A33/Calculator!$F$21,1),1-MOD(A33/Calculator!$F$21,1)),ABS(MOD(A33/Calculator!$F$21,1)-0.5))),1)</f>
        <v>0.0386666666666666</v>
      </c>
      <c r="L33" s="217" t="n">
        <f aca="false">IF(Calculator!$E$22="YES",IF(A33&lt;Calculator!$G$22,0,MIN(MIN(MOD(A33/Calculator!$F$22,1),1-MOD(A33/Calculator!$F$22,1)),ABS(MOD(A33/Calculator!$F$22,1)-0.5))),1)</f>
        <v>1</v>
      </c>
      <c r="M33" s="217" t="n">
        <f aca="false">MIN(B33:L33)</f>
        <v>0</v>
      </c>
      <c r="N33" s="217" t="n">
        <f aca="false">SUMPRODUCT(($M$7:$M$557&gt;M33)*1)+SUMPRODUCT(($M$7:$M$557=M33)*(ROW($M$7:$M$557)&lt;ROW(M33)))+1</f>
        <v>528</v>
      </c>
      <c r="O33" s="217" t="str">
        <f aca="false">IF(M33&gt;=0.2,"★★★ EXCELLENT",IF(M33&gt;=0.12,"★★  GOOD",IF(M33&gt;=0.07,"★  FAIR",IF(M33&gt;=0.025,"⚠  MARGINAL","✗  AVOID"))))</f>
        <v>✗  AVOID</v>
      </c>
    </row>
    <row r="34" customFormat="false" ht="15" hidden="false" customHeight="true" outlineLevel="0" collapsed="false">
      <c r="A34" s="218" t="n">
        <v>7.7</v>
      </c>
      <c r="B34" s="219" t="n">
        <f aca="false">IF(Calculator!$E$12="YES",IF(A34&lt;Calculator!$G$12,0,MIN(MIN(MOD(A34/Calculator!$F$12,1),1-MOD(A34/Calculator!$F$12,1)),ABS(MOD(A34/Calculator!$F$12,1)-0.5))),1)</f>
        <v>1</v>
      </c>
      <c r="C34" s="219" t="n">
        <f aca="false">IF(Calculator!$E$13="YES",IF(A34&lt;Calculator!$G$13,0,MIN(MIN(MOD(A34/Calculator!$F$13,1),1-MOD(A34/Calculator!$F$13,1)),ABS(MOD(A34/Calculator!$F$13,1)-0.5))),1)</f>
        <v>1</v>
      </c>
      <c r="D34" s="219" t="n">
        <f aca="false">IF(Calculator!$E$14="YES",IF(A34&lt;Calculator!$G$14,0,MIN(MIN(MOD(A34/Calculator!$F$14,1),1-MOD(A34/Calculator!$F$14,1)),ABS(MOD(A34/Calculator!$F$14,1)-0.5))),1)</f>
        <v>1</v>
      </c>
      <c r="E34" s="219" t="n">
        <f aca="false">IF(Calculator!$E$15="YES",IF(A34&lt;Calculator!$G$15,0,MIN(MIN(MOD(A34/Calculator!$F$15,1),1-MOD(A34/Calculator!$F$15,1)),ABS(MOD(A34/Calculator!$F$15,1)-0.5))),1)</f>
        <v>0</v>
      </c>
      <c r="F34" s="219" t="n">
        <f aca="false">IF(Calculator!$E$16="YES",IF(A34&lt;Calculator!$G$16,0,MIN(MIN(MOD(A34/Calculator!$F$16,1),1-MOD(A34/Calculator!$F$16,1)),ABS(MOD(A34/Calculator!$F$16,1)-0.5))),1)</f>
        <v>1</v>
      </c>
      <c r="G34" s="219" t="n">
        <f aca="false">IF(Calculator!$E$17="YES",IF(A34&lt;Calculator!$G$17,0,MIN(MIN(MOD(A34/Calculator!$F$17,1),1-MOD(A34/Calculator!$F$17,1)),ABS(MOD(A34/Calculator!$F$17,1)-0.5))),1)</f>
        <v>0.234052631578947</v>
      </c>
      <c r="H34" s="219" t="n">
        <f aca="false">IF(Calculator!$E$18="YES",IF(A34&lt;Calculator!$G$18,0,MIN(MIN(MOD(A34/Calculator!$F$18,1),1-MOD(A34/Calculator!$F$18,1)),ABS(MOD(A34/Calculator!$F$18,1)-0.5))),1)</f>
        <v>1</v>
      </c>
      <c r="I34" s="219" t="n">
        <f aca="false">IF(Calculator!$E$19="YES",IF(A34&lt;Calculator!$G$19,0,MIN(MIN(MOD(A34/Calculator!$F$19,1),1-MOD(A34/Calculator!$F$19,1)),ABS(MOD(A34/Calculator!$F$19,1)-0.5))),1)</f>
        <v>1</v>
      </c>
      <c r="J34" s="219" t="n">
        <f aca="false">IF(Calculator!$E$20="YES",IF(A34&lt;Calculator!$G$20,0,MIN(MIN(MOD(A34/Calculator!$F$20,1),1-MOD(A34/Calculator!$F$20,1)),ABS(MOD(A34/Calculator!$F$20,1)-0.5))),1)</f>
        <v>1</v>
      </c>
      <c r="K34" s="219" t="n">
        <f aca="false">IF(Calculator!$E$21="YES",IF(A34&lt;Calculator!$G$21,0,MIN(MIN(MOD(A34/Calculator!$F$21,1),1-MOD(A34/Calculator!$F$21,1)),ABS(MOD(A34/Calculator!$F$21,1)-0.5))),1)</f>
        <v>0.0589122807017544</v>
      </c>
      <c r="L34" s="219" t="n">
        <f aca="false">IF(Calculator!$E$22="YES",IF(A34&lt;Calculator!$G$22,0,MIN(MIN(MOD(A34/Calculator!$F$22,1),1-MOD(A34/Calculator!$F$22,1)),ABS(MOD(A34/Calculator!$F$22,1)-0.5))),1)</f>
        <v>1</v>
      </c>
      <c r="M34" s="219" t="n">
        <f aca="false">MIN(B34:L34)</f>
        <v>0</v>
      </c>
      <c r="N34" s="219" t="n">
        <f aca="false">SUMPRODUCT(($M$7:$M$557&gt;M34)*1)+SUMPRODUCT(($M$7:$M$557=M34)*(ROW($M$7:$M$557)&lt;ROW(M34)))+1</f>
        <v>529</v>
      </c>
      <c r="O34" s="219" t="str">
        <f aca="false">IF(M34&gt;=0.2,"★★★ EXCELLENT",IF(M34&gt;=0.12,"★★  GOOD",IF(M34&gt;=0.07,"★  FAIR",IF(M34&gt;=0.025,"⚠  MARGINAL","✗  AVOID"))))</f>
        <v>✗  AVOID</v>
      </c>
    </row>
    <row r="35" customFormat="false" ht="15" hidden="false" customHeight="true" outlineLevel="0" collapsed="false">
      <c r="A35" s="216" t="n">
        <v>7.8</v>
      </c>
      <c r="B35" s="217" t="n">
        <f aca="false">IF(Calculator!$E$12="YES",IF(A35&lt;Calculator!$G$12,0,MIN(MIN(MOD(A35/Calculator!$F$12,1),1-MOD(A35/Calculator!$F$12,1)),ABS(MOD(A35/Calculator!$F$12,1)-0.5))),1)</f>
        <v>1</v>
      </c>
      <c r="C35" s="217" t="n">
        <f aca="false">IF(Calculator!$E$13="YES",IF(A35&lt;Calculator!$G$13,0,MIN(MIN(MOD(A35/Calculator!$F$13,1),1-MOD(A35/Calculator!$F$13,1)),ABS(MOD(A35/Calculator!$F$13,1)-0.5))),1)</f>
        <v>1</v>
      </c>
      <c r="D35" s="217" t="n">
        <f aca="false">IF(Calculator!$E$14="YES",IF(A35&lt;Calculator!$G$14,0,MIN(MIN(MOD(A35/Calculator!$F$14,1),1-MOD(A35/Calculator!$F$14,1)),ABS(MOD(A35/Calculator!$F$14,1)-0.5))),1)</f>
        <v>1</v>
      </c>
      <c r="E35" s="217" t="n">
        <f aca="false">IF(Calculator!$E$15="YES",IF(A35&lt;Calculator!$G$15,0,MIN(MIN(MOD(A35/Calculator!$F$15,1),1-MOD(A35/Calculator!$F$15,1)),ABS(MOD(A35/Calculator!$F$15,1)-0.5))),1)</f>
        <v>0</v>
      </c>
      <c r="F35" s="217" t="n">
        <f aca="false">IF(Calculator!$E$16="YES",IF(A35&lt;Calculator!$G$16,0,MIN(MIN(MOD(A35/Calculator!$F$16,1),1-MOD(A35/Calculator!$F$16,1)),ABS(MOD(A35/Calculator!$F$16,1)-0.5))),1)</f>
        <v>1</v>
      </c>
      <c r="G35" s="217" t="n">
        <f aca="false">IF(Calculator!$E$17="YES",IF(A35&lt;Calculator!$G$17,0,MIN(MIN(MOD(A35/Calculator!$F$17,1),1-MOD(A35/Calculator!$F$17,1)),ABS(MOD(A35/Calculator!$F$17,1)-0.5))),1)</f>
        <v>0.224105263157895</v>
      </c>
      <c r="H35" s="217" t="n">
        <f aca="false">IF(Calculator!$E$18="YES",IF(A35&lt;Calculator!$G$18,0,MIN(MIN(MOD(A35/Calculator!$F$18,1),1-MOD(A35/Calculator!$F$18,1)),ABS(MOD(A35/Calculator!$F$18,1)-0.5))),1)</f>
        <v>1</v>
      </c>
      <c r="I35" s="217" t="n">
        <f aca="false">IF(Calculator!$E$19="YES",IF(A35&lt;Calculator!$G$19,0,MIN(MIN(MOD(A35/Calculator!$F$19,1),1-MOD(A35/Calculator!$F$19,1)),ABS(MOD(A35/Calculator!$F$19,1)-0.5))),1)</f>
        <v>1</v>
      </c>
      <c r="J35" s="217" t="n">
        <f aca="false">IF(Calculator!$E$20="YES",IF(A35&lt;Calculator!$G$20,0,MIN(MIN(MOD(A35/Calculator!$F$20,1),1-MOD(A35/Calculator!$F$20,1)),ABS(MOD(A35/Calculator!$F$20,1)-0.5))),1)</f>
        <v>1</v>
      </c>
      <c r="K35" s="217" t="n">
        <f aca="false">IF(Calculator!$E$21="YES",IF(A35&lt;Calculator!$G$21,0,MIN(MIN(MOD(A35/Calculator!$F$21,1),1-MOD(A35/Calculator!$F$21,1)),ABS(MOD(A35/Calculator!$F$21,1)-0.5))),1)</f>
        <v>0.0791578947368421</v>
      </c>
      <c r="L35" s="217" t="n">
        <f aca="false">IF(Calculator!$E$22="YES",IF(A35&lt;Calculator!$G$22,0,MIN(MIN(MOD(A35/Calculator!$F$22,1),1-MOD(A35/Calculator!$F$22,1)),ABS(MOD(A35/Calculator!$F$22,1)-0.5))),1)</f>
        <v>1</v>
      </c>
      <c r="M35" s="217" t="n">
        <f aca="false">MIN(B35:L35)</f>
        <v>0</v>
      </c>
      <c r="N35" s="217" t="n">
        <f aca="false">SUMPRODUCT(($M$7:$M$557&gt;M35)*1)+SUMPRODUCT(($M$7:$M$557=M35)*(ROW($M$7:$M$557)&lt;ROW(M35)))+1</f>
        <v>530</v>
      </c>
      <c r="O35" s="217" t="str">
        <f aca="false">IF(M35&gt;=0.2,"★★★ EXCELLENT",IF(M35&gt;=0.12,"★★  GOOD",IF(M35&gt;=0.07,"★  FAIR",IF(M35&gt;=0.025,"⚠  MARGINAL","✗  AVOID"))))</f>
        <v>✗  AVOID</v>
      </c>
    </row>
    <row r="36" customFormat="false" ht="15" hidden="false" customHeight="true" outlineLevel="0" collapsed="false">
      <c r="A36" s="218" t="n">
        <v>7.9</v>
      </c>
      <c r="B36" s="219" t="n">
        <f aca="false">IF(Calculator!$E$12="YES",IF(A36&lt;Calculator!$G$12,0,MIN(MIN(MOD(A36/Calculator!$F$12,1),1-MOD(A36/Calculator!$F$12,1)),ABS(MOD(A36/Calculator!$F$12,1)-0.5))),1)</f>
        <v>1</v>
      </c>
      <c r="C36" s="219" t="n">
        <f aca="false">IF(Calculator!$E$13="YES",IF(A36&lt;Calculator!$G$13,0,MIN(MIN(MOD(A36/Calculator!$F$13,1),1-MOD(A36/Calculator!$F$13,1)),ABS(MOD(A36/Calculator!$F$13,1)-0.5))),1)</f>
        <v>1</v>
      </c>
      <c r="D36" s="219" t="n">
        <f aca="false">IF(Calculator!$E$14="YES",IF(A36&lt;Calculator!$G$14,0,MIN(MIN(MOD(A36/Calculator!$F$14,1),1-MOD(A36/Calculator!$F$14,1)),ABS(MOD(A36/Calculator!$F$14,1)-0.5))),1)</f>
        <v>1</v>
      </c>
      <c r="E36" s="219" t="n">
        <f aca="false">IF(Calculator!$E$15="YES",IF(A36&lt;Calculator!$G$15,0,MIN(MIN(MOD(A36/Calculator!$F$15,1),1-MOD(A36/Calculator!$F$15,1)),ABS(MOD(A36/Calculator!$F$15,1)-0.5))),1)</f>
        <v>0</v>
      </c>
      <c r="F36" s="219" t="n">
        <f aca="false">IF(Calculator!$E$16="YES",IF(A36&lt;Calculator!$G$16,0,MIN(MIN(MOD(A36/Calculator!$F$16,1),1-MOD(A36/Calculator!$F$16,1)),ABS(MOD(A36/Calculator!$F$16,1)-0.5))),1)</f>
        <v>1</v>
      </c>
      <c r="G36" s="219" t="n">
        <f aca="false">IF(Calculator!$E$17="YES",IF(A36&lt;Calculator!$G$17,0,MIN(MIN(MOD(A36/Calculator!$F$17,1),1-MOD(A36/Calculator!$F$17,1)),ABS(MOD(A36/Calculator!$F$17,1)-0.5))),1)</f>
        <v>0.214157894736842</v>
      </c>
      <c r="H36" s="219" t="n">
        <f aca="false">IF(Calculator!$E$18="YES",IF(A36&lt;Calculator!$G$18,0,MIN(MIN(MOD(A36/Calculator!$F$18,1),1-MOD(A36/Calculator!$F$18,1)),ABS(MOD(A36/Calculator!$F$18,1)-0.5))),1)</f>
        <v>1</v>
      </c>
      <c r="I36" s="219" t="n">
        <f aca="false">IF(Calculator!$E$19="YES",IF(A36&lt;Calculator!$G$19,0,MIN(MIN(MOD(A36/Calculator!$F$19,1),1-MOD(A36/Calculator!$F$19,1)),ABS(MOD(A36/Calculator!$F$19,1)-0.5))),1)</f>
        <v>1</v>
      </c>
      <c r="J36" s="219" t="n">
        <f aca="false">IF(Calculator!$E$20="YES",IF(A36&lt;Calculator!$G$20,0,MIN(MIN(MOD(A36/Calculator!$F$20,1),1-MOD(A36/Calculator!$F$20,1)),ABS(MOD(A36/Calculator!$F$20,1)-0.5))),1)</f>
        <v>1</v>
      </c>
      <c r="K36" s="219" t="n">
        <f aca="false">IF(Calculator!$E$21="YES",IF(A36&lt;Calculator!$G$21,0,MIN(MIN(MOD(A36/Calculator!$F$21,1),1-MOD(A36/Calculator!$F$21,1)),ABS(MOD(A36/Calculator!$F$21,1)-0.5))),1)</f>
        <v>0.0994035087719298</v>
      </c>
      <c r="L36" s="219" t="n">
        <f aca="false">IF(Calculator!$E$22="YES",IF(A36&lt;Calculator!$G$22,0,MIN(MIN(MOD(A36/Calculator!$F$22,1),1-MOD(A36/Calculator!$F$22,1)),ABS(MOD(A36/Calculator!$F$22,1)-0.5))),1)</f>
        <v>1</v>
      </c>
      <c r="M36" s="219" t="n">
        <f aca="false">MIN(B36:L36)</f>
        <v>0</v>
      </c>
      <c r="N36" s="219" t="n">
        <f aca="false">SUMPRODUCT(($M$7:$M$557&gt;M36)*1)+SUMPRODUCT(($M$7:$M$557=M36)*(ROW($M$7:$M$557)&lt;ROW(M36)))+1</f>
        <v>531</v>
      </c>
      <c r="O36" s="219" t="str">
        <f aca="false">IF(M36&gt;=0.2,"★★★ EXCELLENT",IF(M36&gt;=0.12,"★★  GOOD",IF(M36&gt;=0.07,"★  FAIR",IF(M36&gt;=0.025,"⚠  MARGINAL","✗  AVOID"))))</f>
        <v>✗  AVOID</v>
      </c>
    </row>
    <row r="37" customFormat="false" ht="15" hidden="false" customHeight="true" outlineLevel="0" collapsed="false">
      <c r="A37" s="216" t="n">
        <v>8</v>
      </c>
      <c r="B37" s="217" t="n">
        <f aca="false">IF(Calculator!$E$12="YES",IF(A37&lt;Calculator!$G$12,0,MIN(MIN(MOD(A37/Calculator!$F$12,1),1-MOD(A37/Calculator!$F$12,1)),ABS(MOD(A37/Calculator!$F$12,1)-0.5))),1)</f>
        <v>1</v>
      </c>
      <c r="C37" s="217" t="n">
        <f aca="false">IF(Calculator!$E$13="YES",IF(A37&lt;Calculator!$G$13,0,MIN(MIN(MOD(A37/Calculator!$F$13,1),1-MOD(A37/Calculator!$F$13,1)),ABS(MOD(A37/Calculator!$F$13,1)-0.5))),1)</f>
        <v>1</v>
      </c>
      <c r="D37" s="217" t="n">
        <f aca="false">IF(Calculator!$E$14="YES",IF(A37&lt;Calculator!$G$14,0,MIN(MIN(MOD(A37/Calculator!$F$14,1),1-MOD(A37/Calculator!$F$14,1)),ABS(MOD(A37/Calculator!$F$14,1)-0.5))),1)</f>
        <v>1</v>
      </c>
      <c r="E37" s="217" t="n">
        <f aca="false">IF(Calculator!$E$15="YES",IF(A37&lt;Calculator!$G$15,0,MIN(MIN(MOD(A37/Calculator!$F$15,1),1-MOD(A37/Calculator!$F$15,1)),ABS(MOD(A37/Calculator!$F$15,1)-0.5))),1)</f>
        <v>0</v>
      </c>
      <c r="F37" s="217" t="n">
        <f aca="false">IF(Calculator!$E$16="YES",IF(A37&lt;Calculator!$G$16,0,MIN(MIN(MOD(A37/Calculator!$F$16,1),1-MOD(A37/Calculator!$F$16,1)),ABS(MOD(A37/Calculator!$F$16,1)-0.5))),1)</f>
        <v>1</v>
      </c>
      <c r="G37" s="217" t="n">
        <f aca="false">IF(Calculator!$E$17="YES",IF(A37&lt;Calculator!$G$17,0,MIN(MIN(MOD(A37/Calculator!$F$17,1),1-MOD(A37/Calculator!$F$17,1)),ABS(MOD(A37/Calculator!$F$17,1)-0.5))),1)</f>
        <v>0.204210526315789</v>
      </c>
      <c r="H37" s="217" t="n">
        <f aca="false">IF(Calculator!$E$18="YES",IF(A37&lt;Calculator!$G$18,0,MIN(MIN(MOD(A37/Calculator!$F$18,1),1-MOD(A37/Calculator!$F$18,1)),ABS(MOD(A37/Calculator!$F$18,1)-0.5))),1)</f>
        <v>1</v>
      </c>
      <c r="I37" s="217" t="n">
        <f aca="false">IF(Calculator!$E$19="YES",IF(A37&lt;Calculator!$G$19,0,MIN(MIN(MOD(A37/Calculator!$F$19,1),1-MOD(A37/Calculator!$F$19,1)),ABS(MOD(A37/Calculator!$F$19,1)-0.5))),1)</f>
        <v>1</v>
      </c>
      <c r="J37" s="217" t="n">
        <f aca="false">IF(Calculator!$E$20="YES",IF(A37&lt;Calculator!$G$20,0,MIN(MIN(MOD(A37/Calculator!$F$20,1),1-MOD(A37/Calculator!$F$20,1)),ABS(MOD(A37/Calculator!$F$20,1)-0.5))),1)</f>
        <v>1</v>
      </c>
      <c r="K37" s="217" t="n">
        <f aca="false">IF(Calculator!$E$21="YES",IF(A37&lt;Calculator!$G$21,0,MIN(MIN(MOD(A37/Calculator!$F$21,1),1-MOD(A37/Calculator!$F$21,1)),ABS(MOD(A37/Calculator!$F$21,1)-0.5))),1)</f>
        <v>0.119649122807018</v>
      </c>
      <c r="L37" s="217" t="n">
        <f aca="false">IF(Calculator!$E$22="YES",IF(A37&lt;Calculator!$G$22,0,MIN(MIN(MOD(A37/Calculator!$F$22,1),1-MOD(A37/Calculator!$F$22,1)),ABS(MOD(A37/Calculator!$F$22,1)-0.5))),1)</f>
        <v>1</v>
      </c>
      <c r="M37" s="217" t="n">
        <f aca="false">MIN(B37:L37)</f>
        <v>0</v>
      </c>
      <c r="N37" s="217" t="n">
        <f aca="false">SUMPRODUCT(($M$7:$M$557&gt;M37)*1)+SUMPRODUCT(($M$7:$M$557=M37)*(ROW($M$7:$M$557)&lt;ROW(M37)))+1</f>
        <v>532</v>
      </c>
      <c r="O37" s="217" t="str">
        <f aca="false">IF(M37&gt;=0.2,"★★★ EXCELLENT",IF(M37&gt;=0.12,"★★  GOOD",IF(M37&gt;=0.07,"★  FAIR",IF(M37&gt;=0.025,"⚠  MARGINAL","✗  AVOID"))))</f>
        <v>✗  AVOID</v>
      </c>
    </row>
    <row r="38" customFormat="false" ht="15" hidden="false" customHeight="true" outlineLevel="0" collapsed="false">
      <c r="A38" s="218" t="n">
        <v>8.1</v>
      </c>
      <c r="B38" s="219" t="n">
        <f aca="false">IF(Calculator!$E$12="YES",IF(A38&lt;Calculator!$G$12,0,MIN(MIN(MOD(A38/Calculator!$F$12,1),1-MOD(A38/Calculator!$F$12,1)),ABS(MOD(A38/Calculator!$F$12,1)-0.5))),1)</f>
        <v>1</v>
      </c>
      <c r="C38" s="219" t="n">
        <f aca="false">IF(Calculator!$E$13="YES",IF(A38&lt;Calculator!$G$13,0,MIN(MIN(MOD(A38/Calculator!$F$13,1),1-MOD(A38/Calculator!$F$13,1)),ABS(MOD(A38/Calculator!$F$13,1)-0.5))),1)</f>
        <v>1</v>
      </c>
      <c r="D38" s="219" t="n">
        <f aca="false">IF(Calculator!$E$14="YES",IF(A38&lt;Calculator!$G$14,0,MIN(MIN(MOD(A38/Calculator!$F$14,1),1-MOD(A38/Calculator!$F$14,1)),ABS(MOD(A38/Calculator!$F$14,1)-0.5))),1)</f>
        <v>1</v>
      </c>
      <c r="E38" s="219" t="n">
        <f aca="false">IF(Calculator!$E$15="YES",IF(A38&lt;Calculator!$G$15,0,MIN(MIN(MOD(A38/Calculator!$F$15,1),1-MOD(A38/Calculator!$F$15,1)),ABS(MOD(A38/Calculator!$F$15,1)-0.5))),1)</f>
        <v>0</v>
      </c>
      <c r="F38" s="219" t="n">
        <f aca="false">IF(Calculator!$E$16="YES",IF(A38&lt;Calculator!$G$16,0,MIN(MIN(MOD(A38/Calculator!$F$16,1),1-MOD(A38/Calculator!$F$16,1)),ABS(MOD(A38/Calculator!$F$16,1)-0.5))),1)</f>
        <v>1</v>
      </c>
      <c r="G38" s="219" t="n">
        <f aca="false">IF(Calculator!$E$17="YES",IF(A38&lt;Calculator!$G$17,0,MIN(MIN(MOD(A38/Calculator!$F$17,1),1-MOD(A38/Calculator!$F$17,1)),ABS(MOD(A38/Calculator!$F$17,1)-0.5))),1)</f>
        <v>0.194263157894737</v>
      </c>
      <c r="H38" s="219" t="n">
        <f aca="false">IF(Calculator!$E$18="YES",IF(A38&lt;Calculator!$G$18,0,MIN(MIN(MOD(A38/Calculator!$F$18,1),1-MOD(A38/Calculator!$F$18,1)),ABS(MOD(A38/Calculator!$F$18,1)-0.5))),1)</f>
        <v>1</v>
      </c>
      <c r="I38" s="219" t="n">
        <f aca="false">IF(Calculator!$E$19="YES",IF(A38&lt;Calculator!$G$19,0,MIN(MIN(MOD(A38/Calculator!$F$19,1),1-MOD(A38/Calculator!$F$19,1)),ABS(MOD(A38/Calculator!$F$19,1)-0.5))),1)</f>
        <v>1</v>
      </c>
      <c r="J38" s="219" t="n">
        <f aca="false">IF(Calculator!$E$20="YES",IF(A38&lt;Calculator!$G$20,0,MIN(MIN(MOD(A38/Calculator!$F$20,1),1-MOD(A38/Calculator!$F$20,1)),ABS(MOD(A38/Calculator!$F$20,1)-0.5))),1)</f>
        <v>1</v>
      </c>
      <c r="K38" s="219" t="n">
        <f aca="false">IF(Calculator!$E$21="YES",IF(A38&lt;Calculator!$G$21,0,MIN(MIN(MOD(A38/Calculator!$F$21,1),1-MOD(A38/Calculator!$F$21,1)),ABS(MOD(A38/Calculator!$F$21,1)-0.5))),1)</f>
        <v>0.139894736842105</v>
      </c>
      <c r="L38" s="219" t="n">
        <f aca="false">IF(Calculator!$E$22="YES",IF(A38&lt;Calculator!$G$22,0,MIN(MIN(MOD(A38/Calculator!$F$22,1),1-MOD(A38/Calculator!$F$22,1)),ABS(MOD(A38/Calculator!$F$22,1)-0.5))),1)</f>
        <v>1</v>
      </c>
      <c r="M38" s="219" t="n">
        <f aca="false">MIN(B38:L38)</f>
        <v>0</v>
      </c>
      <c r="N38" s="219" t="n">
        <f aca="false">SUMPRODUCT(($M$7:$M$557&gt;M38)*1)+SUMPRODUCT(($M$7:$M$557=M38)*(ROW($M$7:$M$557)&lt;ROW(M38)))+1</f>
        <v>533</v>
      </c>
      <c r="O38" s="219" t="str">
        <f aca="false">IF(M38&gt;=0.2,"★★★ EXCELLENT",IF(M38&gt;=0.12,"★★  GOOD",IF(M38&gt;=0.07,"★  FAIR",IF(M38&gt;=0.025,"⚠  MARGINAL","✗  AVOID"))))</f>
        <v>✗  AVOID</v>
      </c>
    </row>
    <row r="39" customFormat="false" ht="15" hidden="false" customHeight="true" outlineLevel="0" collapsed="false">
      <c r="A39" s="216" t="n">
        <v>8.2</v>
      </c>
      <c r="B39" s="217" t="n">
        <f aca="false">IF(Calculator!$E$12="YES",IF(A39&lt;Calculator!$G$12,0,MIN(MIN(MOD(A39/Calculator!$F$12,1),1-MOD(A39/Calculator!$F$12,1)),ABS(MOD(A39/Calculator!$F$12,1)-0.5))),1)</f>
        <v>1</v>
      </c>
      <c r="C39" s="217" t="n">
        <f aca="false">IF(Calculator!$E$13="YES",IF(A39&lt;Calculator!$G$13,0,MIN(MIN(MOD(A39/Calculator!$F$13,1),1-MOD(A39/Calculator!$F$13,1)),ABS(MOD(A39/Calculator!$F$13,1)-0.5))),1)</f>
        <v>1</v>
      </c>
      <c r="D39" s="217" t="n">
        <f aca="false">IF(Calculator!$E$14="YES",IF(A39&lt;Calculator!$G$14,0,MIN(MIN(MOD(A39/Calculator!$F$14,1),1-MOD(A39/Calculator!$F$14,1)),ABS(MOD(A39/Calculator!$F$14,1)-0.5))),1)</f>
        <v>1</v>
      </c>
      <c r="E39" s="217" t="n">
        <f aca="false">IF(Calculator!$E$15="YES",IF(A39&lt;Calculator!$G$15,0,MIN(MIN(MOD(A39/Calculator!$F$15,1),1-MOD(A39/Calculator!$F$15,1)),ABS(MOD(A39/Calculator!$F$15,1)-0.5))),1)</f>
        <v>0</v>
      </c>
      <c r="F39" s="217" t="n">
        <f aca="false">IF(Calculator!$E$16="YES",IF(A39&lt;Calculator!$G$16,0,MIN(MIN(MOD(A39/Calculator!$F$16,1),1-MOD(A39/Calculator!$F$16,1)),ABS(MOD(A39/Calculator!$F$16,1)-0.5))),1)</f>
        <v>1</v>
      </c>
      <c r="G39" s="217" t="n">
        <f aca="false">IF(Calculator!$E$17="YES",IF(A39&lt;Calculator!$G$17,0,MIN(MIN(MOD(A39/Calculator!$F$17,1),1-MOD(A39/Calculator!$F$17,1)),ABS(MOD(A39/Calculator!$F$17,1)-0.5))),1)</f>
        <v>0.184315789473684</v>
      </c>
      <c r="H39" s="217" t="n">
        <f aca="false">IF(Calculator!$E$18="YES",IF(A39&lt;Calculator!$G$18,0,MIN(MIN(MOD(A39/Calculator!$F$18,1),1-MOD(A39/Calculator!$F$18,1)),ABS(MOD(A39/Calculator!$F$18,1)-0.5))),1)</f>
        <v>1</v>
      </c>
      <c r="I39" s="217" t="n">
        <f aca="false">IF(Calculator!$E$19="YES",IF(A39&lt;Calculator!$G$19,0,MIN(MIN(MOD(A39/Calculator!$F$19,1),1-MOD(A39/Calculator!$F$19,1)),ABS(MOD(A39/Calculator!$F$19,1)-0.5))),1)</f>
        <v>1</v>
      </c>
      <c r="J39" s="217" t="n">
        <f aca="false">IF(Calculator!$E$20="YES",IF(A39&lt;Calculator!$G$20,0,MIN(MIN(MOD(A39/Calculator!$F$20,1),1-MOD(A39/Calculator!$F$20,1)),ABS(MOD(A39/Calculator!$F$20,1)-0.5))),1)</f>
        <v>1</v>
      </c>
      <c r="K39" s="217" t="n">
        <f aca="false">IF(Calculator!$E$21="YES",IF(A39&lt;Calculator!$G$21,0,MIN(MIN(MOD(A39/Calculator!$F$21,1),1-MOD(A39/Calculator!$F$21,1)),ABS(MOD(A39/Calculator!$F$21,1)-0.5))),1)</f>
        <v>0.160140350877193</v>
      </c>
      <c r="L39" s="217" t="n">
        <f aca="false">IF(Calculator!$E$22="YES",IF(A39&lt;Calculator!$G$22,0,MIN(MIN(MOD(A39/Calculator!$F$22,1),1-MOD(A39/Calculator!$F$22,1)),ABS(MOD(A39/Calculator!$F$22,1)-0.5))),1)</f>
        <v>1</v>
      </c>
      <c r="M39" s="217" t="n">
        <f aca="false">MIN(B39:L39)</f>
        <v>0</v>
      </c>
      <c r="N39" s="217" t="n">
        <f aca="false">SUMPRODUCT(($M$7:$M$557&gt;M39)*1)+SUMPRODUCT(($M$7:$M$557=M39)*(ROW($M$7:$M$557)&lt;ROW(M39)))+1</f>
        <v>534</v>
      </c>
      <c r="O39" s="217" t="str">
        <f aca="false">IF(M39&gt;=0.2,"★★★ EXCELLENT",IF(M39&gt;=0.12,"★★  GOOD",IF(M39&gt;=0.07,"★  FAIR",IF(M39&gt;=0.025,"⚠  MARGINAL","✗  AVOID"))))</f>
        <v>✗  AVOID</v>
      </c>
    </row>
    <row r="40" customFormat="false" ht="15" hidden="false" customHeight="true" outlineLevel="0" collapsed="false">
      <c r="A40" s="218" t="n">
        <v>8.3</v>
      </c>
      <c r="B40" s="219" t="n">
        <f aca="false">IF(Calculator!$E$12="YES",IF(A40&lt;Calculator!$G$12,0,MIN(MIN(MOD(A40/Calculator!$F$12,1),1-MOD(A40/Calculator!$F$12,1)),ABS(MOD(A40/Calculator!$F$12,1)-0.5))),1)</f>
        <v>1</v>
      </c>
      <c r="C40" s="219" t="n">
        <f aca="false">IF(Calculator!$E$13="YES",IF(A40&lt;Calculator!$G$13,0,MIN(MIN(MOD(A40/Calculator!$F$13,1),1-MOD(A40/Calculator!$F$13,1)),ABS(MOD(A40/Calculator!$F$13,1)-0.5))),1)</f>
        <v>1</v>
      </c>
      <c r="D40" s="219" t="n">
        <f aca="false">IF(Calculator!$E$14="YES",IF(A40&lt;Calculator!$G$14,0,MIN(MIN(MOD(A40/Calculator!$F$14,1),1-MOD(A40/Calculator!$F$14,1)),ABS(MOD(A40/Calculator!$F$14,1)-0.5))),1)</f>
        <v>1</v>
      </c>
      <c r="E40" s="219" t="n">
        <f aca="false">IF(Calculator!$E$15="YES",IF(A40&lt;Calculator!$G$15,0,MIN(MIN(MOD(A40/Calculator!$F$15,1),1-MOD(A40/Calculator!$F$15,1)),ABS(MOD(A40/Calculator!$F$15,1)-0.5))),1)</f>
        <v>0</v>
      </c>
      <c r="F40" s="219" t="n">
        <f aca="false">IF(Calculator!$E$16="YES",IF(A40&lt;Calculator!$G$16,0,MIN(MIN(MOD(A40/Calculator!$F$16,1),1-MOD(A40/Calculator!$F$16,1)),ABS(MOD(A40/Calculator!$F$16,1)-0.5))),1)</f>
        <v>1</v>
      </c>
      <c r="G40" s="219" t="n">
        <f aca="false">IF(Calculator!$E$17="YES",IF(A40&lt;Calculator!$G$17,0,MIN(MIN(MOD(A40/Calculator!$F$17,1),1-MOD(A40/Calculator!$F$17,1)),ABS(MOD(A40/Calculator!$F$17,1)-0.5))),1)</f>
        <v>0.174368421052631</v>
      </c>
      <c r="H40" s="219" t="n">
        <f aca="false">IF(Calculator!$E$18="YES",IF(A40&lt;Calculator!$G$18,0,MIN(MIN(MOD(A40/Calculator!$F$18,1),1-MOD(A40/Calculator!$F$18,1)),ABS(MOD(A40/Calculator!$F$18,1)-0.5))),1)</f>
        <v>1</v>
      </c>
      <c r="I40" s="219" t="n">
        <f aca="false">IF(Calculator!$E$19="YES",IF(A40&lt;Calculator!$G$19,0,MIN(MIN(MOD(A40/Calculator!$F$19,1),1-MOD(A40/Calculator!$F$19,1)),ABS(MOD(A40/Calculator!$F$19,1)-0.5))),1)</f>
        <v>1</v>
      </c>
      <c r="J40" s="219" t="n">
        <f aca="false">IF(Calculator!$E$20="YES",IF(A40&lt;Calculator!$G$20,0,MIN(MIN(MOD(A40/Calculator!$F$20,1),1-MOD(A40/Calculator!$F$20,1)),ABS(MOD(A40/Calculator!$F$20,1)-0.5))),1)</f>
        <v>1</v>
      </c>
      <c r="K40" s="219" t="n">
        <f aca="false">IF(Calculator!$E$21="YES",IF(A40&lt;Calculator!$G$21,0,MIN(MIN(MOD(A40/Calculator!$F$21,1),1-MOD(A40/Calculator!$F$21,1)),ABS(MOD(A40/Calculator!$F$21,1)-0.5))),1)</f>
        <v>0.180385964912281</v>
      </c>
      <c r="L40" s="219" t="n">
        <f aca="false">IF(Calculator!$E$22="YES",IF(A40&lt;Calculator!$G$22,0,MIN(MIN(MOD(A40/Calculator!$F$22,1),1-MOD(A40/Calculator!$F$22,1)),ABS(MOD(A40/Calculator!$F$22,1)-0.5))),1)</f>
        <v>1</v>
      </c>
      <c r="M40" s="219" t="n">
        <f aca="false">MIN(B40:L40)</f>
        <v>0</v>
      </c>
      <c r="N40" s="219" t="n">
        <f aca="false">SUMPRODUCT(($M$7:$M$557&gt;M40)*1)+SUMPRODUCT(($M$7:$M$557=M40)*(ROW($M$7:$M$557)&lt;ROW(M40)))+1</f>
        <v>535</v>
      </c>
      <c r="O40" s="219" t="str">
        <f aca="false">IF(M40&gt;=0.2,"★★★ EXCELLENT",IF(M40&gt;=0.12,"★★  GOOD",IF(M40&gt;=0.07,"★  FAIR",IF(M40&gt;=0.025,"⚠  MARGINAL","✗  AVOID"))))</f>
        <v>✗  AVOID</v>
      </c>
    </row>
    <row r="41" customFormat="false" ht="15" hidden="false" customHeight="true" outlineLevel="0" collapsed="false">
      <c r="A41" s="216" t="n">
        <v>8.4</v>
      </c>
      <c r="B41" s="217" t="n">
        <f aca="false">IF(Calculator!$E$12="YES",IF(A41&lt;Calculator!$G$12,0,MIN(MIN(MOD(A41/Calculator!$F$12,1),1-MOD(A41/Calculator!$F$12,1)),ABS(MOD(A41/Calculator!$F$12,1)-0.5))),1)</f>
        <v>1</v>
      </c>
      <c r="C41" s="217" t="n">
        <f aca="false">IF(Calculator!$E$13="YES",IF(A41&lt;Calculator!$G$13,0,MIN(MIN(MOD(A41/Calculator!$F$13,1),1-MOD(A41/Calculator!$F$13,1)),ABS(MOD(A41/Calculator!$F$13,1)-0.5))),1)</f>
        <v>1</v>
      </c>
      <c r="D41" s="217" t="n">
        <f aca="false">IF(Calculator!$E$14="YES",IF(A41&lt;Calculator!$G$14,0,MIN(MIN(MOD(A41/Calculator!$F$14,1),1-MOD(A41/Calculator!$F$14,1)),ABS(MOD(A41/Calculator!$F$14,1)-0.5))),1)</f>
        <v>1</v>
      </c>
      <c r="E41" s="217" t="n">
        <f aca="false">IF(Calculator!$E$15="YES",IF(A41&lt;Calculator!$G$15,0,MIN(MIN(MOD(A41/Calculator!$F$15,1),1-MOD(A41/Calculator!$F$15,1)),ABS(MOD(A41/Calculator!$F$15,1)-0.5))),1)</f>
        <v>0</v>
      </c>
      <c r="F41" s="217" t="n">
        <f aca="false">IF(Calculator!$E$16="YES",IF(A41&lt;Calculator!$G$16,0,MIN(MIN(MOD(A41/Calculator!$F$16,1),1-MOD(A41/Calculator!$F$16,1)),ABS(MOD(A41/Calculator!$F$16,1)-0.5))),1)</f>
        <v>1</v>
      </c>
      <c r="G41" s="217" t="n">
        <f aca="false">IF(Calculator!$E$17="YES",IF(A41&lt;Calculator!$G$17,0,MIN(MIN(MOD(A41/Calculator!$F$17,1),1-MOD(A41/Calculator!$F$17,1)),ABS(MOD(A41/Calculator!$F$17,1)-0.5))),1)</f>
        <v>0.164421052631579</v>
      </c>
      <c r="H41" s="217" t="n">
        <f aca="false">IF(Calculator!$E$18="YES",IF(A41&lt;Calculator!$G$18,0,MIN(MIN(MOD(A41/Calculator!$F$18,1),1-MOD(A41/Calculator!$F$18,1)),ABS(MOD(A41/Calculator!$F$18,1)-0.5))),1)</f>
        <v>1</v>
      </c>
      <c r="I41" s="217" t="n">
        <f aca="false">IF(Calculator!$E$19="YES",IF(A41&lt;Calculator!$G$19,0,MIN(MIN(MOD(A41/Calculator!$F$19,1),1-MOD(A41/Calculator!$F$19,1)),ABS(MOD(A41/Calculator!$F$19,1)-0.5))),1)</f>
        <v>1</v>
      </c>
      <c r="J41" s="217" t="n">
        <f aca="false">IF(Calculator!$E$20="YES",IF(A41&lt;Calculator!$G$20,0,MIN(MIN(MOD(A41/Calculator!$F$20,1),1-MOD(A41/Calculator!$F$20,1)),ABS(MOD(A41/Calculator!$F$20,1)-0.5))),1)</f>
        <v>1</v>
      </c>
      <c r="K41" s="217" t="n">
        <f aca="false">IF(Calculator!$E$21="YES",IF(A41&lt;Calculator!$G$21,0,MIN(MIN(MOD(A41/Calculator!$F$21,1),1-MOD(A41/Calculator!$F$21,1)),ABS(MOD(A41/Calculator!$F$21,1)-0.5))),1)</f>
        <v>0.200631578947369</v>
      </c>
      <c r="L41" s="217" t="n">
        <f aca="false">IF(Calculator!$E$22="YES",IF(A41&lt;Calculator!$G$22,0,MIN(MIN(MOD(A41/Calculator!$F$22,1),1-MOD(A41/Calculator!$F$22,1)),ABS(MOD(A41/Calculator!$F$22,1)-0.5))),1)</f>
        <v>1</v>
      </c>
      <c r="M41" s="217" t="n">
        <f aca="false">MIN(B41:L41)</f>
        <v>0</v>
      </c>
      <c r="N41" s="217" t="n">
        <f aca="false">SUMPRODUCT(($M$7:$M$557&gt;M41)*1)+SUMPRODUCT(($M$7:$M$557=M41)*(ROW($M$7:$M$557)&lt;ROW(M41)))+1</f>
        <v>536</v>
      </c>
      <c r="O41" s="217" t="str">
        <f aca="false">IF(M41&gt;=0.2,"★★★ EXCELLENT",IF(M41&gt;=0.12,"★★  GOOD",IF(M41&gt;=0.07,"★  FAIR",IF(M41&gt;=0.025,"⚠  MARGINAL","✗  AVOID"))))</f>
        <v>✗  AVOID</v>
      </c>
    </row>
    <row r="42" customFormat="false" ht="15" hidden="false" customHeight="true" outlineLevel="0" collapsed="false">
      <c r="A42" s="218" t="n">
        <v>8.5</v>
      </c>
      <c r="B42" s="219" t="n">
        <f aca="false">IF(Calculator!$E$12="YES",IF(A42&lt;Calculator!$G$12,0,MIN(MIN(MOD(A42/Calculator!$F$12,1),1-MOD(A42/Calculator!$F$12,1)),ABS(MOD(A42/Calculator!$F$12,1)-0.5))),1)</f>
        <v>1</v>
      </c>
      <c r="C42" s="219" t="n">
        <f aca="false">IF(Calculator!$E$13="YES",IF(A42&lt;Calculator!$G$13,0,MIN(MIN(MOD(A42/Calculator!$F$13,1),1-MOD(A42/Calculator!$F$13,1)),ABS(MOD(A42/Calculator!$F$13,1)-0.5))),1)</f>
        <v>1</v>
      </c>
      <c r="D42" s="219" t="n">
        <f aca="false">IF(Calculator!$E$14="YES",IF(A42&lt;Calculator!$G$14,0,MIN(MIN(MOD(A42/Calculator!$F$14,1),1-MOD(A42/Calculator!$F$14,1)),ABS(MOD(A42/Calculator!$F$14,1)-0.5))),1)</f>
        <v>1</v>
      </c>
      <c r="E42" s="219" t="n">
        <f aca="false">IF(Calculator!$E$15="YES",IF(A42&lt;Calculator!$G$15,0,MIN(MIN(MOD(A42/Calculator!$F$15,1),1-MOD(A42/Calculator!$F$15,1)),ABS(MOD(A42/Calculator!$F$15,1)-0.5))),1)</f>
        <v>0</v>
      </c>
      <c r="F42" s="219" t="n">
        <f aca="false">IF(Calculator!$E$16="YES",IF(A42&lt;Calculator!$G$16,0,MIN(MIN(MOD(A42/Calculator!$F$16,1),1-MOD(A42/Calculator!$F$16,1)),ABS(MOD(A42/Calculator!$F$16,1)-0.5))),1)</f>
        <v>1</v>
      </c>
      <c r="G42" s="219" t="n">
        <f aca="false">IF(Calculator!$E$17="YES",IF(A42&lt;Calculator!$G$17,0,MIN(MIN(MOD(A42/Calculator!$F$17,1),1-MOD(A42/Calculator!$F$17,1)),ABS(MOD(A42/Calculator!$F$17,1)-0.5))),1)</f>
        <v>0.154473684210526</v>
      </c>
      <c r="H42" s="219" t="n">
        <f aca="false">IF(Calculator!$E$18="YES",IF(A42&lt;Calculator!$G$18,0,MIN(MIN(MOD(A42/Calculator!$F$18,1),1-MOD(A42/Calculator!$F$18,1)),ABS(MOD(A42/Calculator!$F$18,1)-0.5))),1)</f>
        <v>1</v>
      </c>
      <c r="I42" s="219" t="n">
        <f aca="false">IF(Calculator!$E$19="YES",IF(A42&lt;Calculator!$G$19,0,MIN(MIN(MOD(A42/Calculator!$F$19,1),1-MOD(A42/Calculator!$F$19,1)),ABS(MOD(A42/Calculator!$F$19,1)-0.5))),1)</f>
        <v>1</v>
      </c>
      <c r="J42" s="219" t="n">
        <f aca="false">IF(Calculator!$E$20="YES",IF(A42&lt;Calculator!$G$20,0,MIN(MIN(MOD(A42/Calculator!$F$20,1),1-MOD(A42/Calculator!$F$20,1)),ABS(MOD(A42/Calculator!$F$20,1)-0.5))),1)</f>
        <v>1</v>
      </c>
      <c r="K42" s="219" t="n">
        <f aca="false">IF(Calculator!$E$21="YES",IF(A42&lt;Calculator!$G$21,0,MIN(MIN(MOD(A42/Calculator!$F$21,1),1-MOD(A42/Calculator!$F$21,1)),ABS(MOD(A42/Calculator!$F$21,1)-0.5))),1)</f>
        <v>0.220877192982456</v>
      </c>
      <c r="L42" s="219" t="n">
        <f aca="false">IF(Calculator!$E$22="YES",IF(A42&lt;Calculator!$G$22,0,MIN(MIN(MOD(A42/Calculator!$F$22,1),1-MOD(A42/Calculator!$F$22,1)),ABS(MOD(A42/Calculator!$F$22,1)-0.5))),1)</f>
        <v>1</v>
      </c>
      <c r="M42" s="219" t="n">
        <f aca="false">MIN(B42:L42)</f>
        <v>0</v>
      </c>
      <c r="N42" s="219" t="n">
        <f aca="false">SUMPRODUCT(($M$7:$M$557&gt;M42)*1)+SUMPRODUCT(($M$7:$M$557=M42)*(ROW($M$7:$M$557)&lt;ROW(M42)))+1</f>
        <v>537</v>
      </c>
      <c r="O42" s="219" t="str">
        <f aca="false">IF(M42&gt;=0.2,"★★★ EXCELLENT",IF(M42&gt;=0.12,"★★  GOOD",IF(M42&gt;=0.07,"★  FAIR",IF(M42&gt;=0.025,"⚠  MARGINAL","✗  AVOID"))))</f>
        <v>✗  AVOID</v>
      </c>
    </row>
    <row r="43" customFormat="false" ht="15" hidden="false" customHeight="true" outlineLevel="0" collapsed="false">
      <c r="A43" s="216" t="n">
        <v>8.6</v>
      </c>
      <c r="B43" s="217" t="n">
        <f aca="false">IF(Calculator!$E$12="YES",IF(A43&lt;Calculator!$G$12,0,MIN(MIN(MOD(A43/Calculator!$F$12,1),1-MOD(A43/Calculator!$F$12,1)),ABS(MOD(A43/Calculator!$F$12,1)-0.5))),1)</f>
        <v>1</v>
      </c>
      <c r="C43" s="217" t="n">
        <f aca="false">IF(Calculator!$E$13="YES",IF(A43&lt;Calculator!$G$13,0,MIN(MIN(MOD(A43/Calculator!$F$13,1),1-MOD(A43/Calculator!$F$13,1)),ABS(MOD(A43/Calculator!$F$13,1)-0.5))),1)</f>
        <v>1</v>
      </c>
      <c r="D43" s="217" t="n">
        <f aca="false">IF(Calculator!$E$14="YES",IF(A43&lt;Calculator!$G$14,0,MIN(MIN(MOD(A43/Calculator!$F$14,1),1-MOD(A43/Calculator!$F$14,1)),ABS(MOD(A43/Calculator!$F$14,1)-0.5))),1)</f>
        <v>1</v>
      </c>
      <c r="E43" s="217" t="n">
        <f aca="false">IF(Calculator!$E$15="YES",IF(A43&lt;Calculator!$G$15,0,MIN(MIN(MOD(A43/Calculator!$F$15,1),1-MOD(A43/Calculator!$F$15,1)),ABS(MOD(A43/Calculator!$F$15,1)-0.5))),1)</f>
        <v>0</v>
      </c>
      <c r="F43" s="217" t="n">
        <f aca="false">IF(Calculator!$E$16="YES",IF(A43&lt;Calculator!$G$16,0,MIN(MIN(MOD(A43/Calculator!$F$16,1),1-MOD(A43/Calculator!$F$16,1)),ABS(MOD(A43/Calculator!$F$16,1)-0.5))),1)</f>
        <v>1</v>
      </c>
      <c r="G43" s="217" t="n">
        <f aca="false">IF(Calculator!$E$17="YES",IF(A43&lt;Calculator!$G$17,0,MIN(MIN(MOD(A43/Calculator!$F$17,1),1-MOD(A43/Calculator!$F$17,1)),ABS(MOD(A43/Calculator!$F$17,1)-0.5))),1)</f>
        <v>0.144526315789474</v>
      </c>
      <c r="H43" s="217" t="n">
        <f aca="false">IF(Calculator!$E$18="YES",IF(A43&lt;Calculator!$G$18,0,MIN(MIN(MOD(A43/Calculator!$F$18,1),1-MOD(A43/Calculator!$F$18,1)),ABS(MOD(A43/Calculator!$F$18,1)-0.5))),1)</f>
        <v>1</v>
      </c>
      <c r="I43" s="217" t="n">
        <f aca="false">IF(Calculator!$E$19="YES",IF(A43&lt;Calculator!$G$19,0,MIN(MIN(MOD(A43/Calculator!$F$19,1),1-MOD(A43/Calculator!$F$19,1)),ABS(MOD(A43/Calculator!$F$19,1)-0.5))),1)</f>
        <v>1</v>
      </c>
      <c r="J43" s="217" t="n">
        <f aca="false">IF(Calculator!$E$20="YES",IF(A43&lt;Calculator!$G$20,0,MIN(MIN(MOD(A43/Calculator!$F$20,1),1-MOD(A43/Calculator!$F$20,1)),ABS(MOD(A43/Calculator!$F$20,1)-0.5))),1)</f>
        <v>1</v>
      </c>
      <c r="K43" s="217" t="n">
        <f aca="false">IF(Calculator!$E$21="YES",IF(A43&lt;Calculator!$G$21,0,MIN(MIN(MOD(A43/Calculator!$F$21,1),1-MOD(A43/Calculator!$F$21,1)),ABS(MOD(A43/Calculator!$F$21,1)-0.5))),1)</f>
        <v>0.241122807017544</v>
      </c>
      <c r="L43" s="217" t="n">
        <f aca="false">IF(Calculator!$E$22="YES",IF(A43&lt;Calculator!$G$22,0,MIN(MIN(MOD(A43/Calculator!$F$22,1),1-MOD(A43/Calculator!$F$22,1)),ABS(MOD(A43/Calculator!$F$22,1)-0.5))),1)</f>
        <v>1</v>
      </c>
      <c r="M43" s="217" t="n">
        <f aca="false">MIN(B43:L43)</f>
        <v>0</v>
      </c>
      <c r="N43" s="217" t="n">
        <f aca="false">SUMPRODUCT(($M$7:$M$557&gt;M43)*1)+SUMPRODUCT(($M$7:$M$557=M43)*(ROW($M$7:$M$557)&lt;ROW(M43)))+1</f>
        <v>538</v>
      </c>
      <c r="O43" s="217" t="str">
        <f aca="false">IF(M43&gt;=0.2,"★★★ EXCELLENT",IF(M43&gt;=0.12,"★★  GOOD",IF(M43&gt;=0.07,"★  FAIR",IF(M43&gt;=0.025,"⚠  MARGINAL","✗  AVOID"))))</f>
        <v>✗  AVOID</v>
      </c>
    </row>
    <row r="44" customFormat="false" ht="15" hidden="false" customHeight="true" outlineLevel="0" collapsed="false">
      <c r="A44" s="218" t="n">
        <v>8.7</v>
      </c>
      <c r="B44" s="219" t="n">
        <f aca="false">IF(Calculator!$E$12="YES",IF(A44&lt;Calculator!$G$12,0,MIN(MIN(MOD(A44/Calculator!$F$12,1),1-MOD(A44/Calculator!$F$12,1)),ABS(MOD(A44/Calculator!$F$12,1)-0.5))),1)</f>
        <v>1</v>
      </c>
      <c r="C44" s="219" t="n">
        <f aca="false">IF(Calculator!$E$13="YES",IF(A44&lt;Calculator!$G$13,0,MIN(MIN(MOD(A44/Calculator!$F$13,1),1-MOD(A44/Calculator!$F$13,1)),ABS(MOD(A44/Calculator!$F$13,1)-0.5))),1)</f>
        <v>1</v>
      </c>
      <c r="D44" s="219" t="n">
        <f aca="false">IF(Calculator!$E$14="YES",IF(A44&lt;Calculator!$G$14,0,MIN(MIN(MOD(A44/Calculator!$F$14,1),1-MOD(A44/Calculator!$F$14,1)),ABS(MOD(A44/Calculator!$F$14,1)-0.5))),1)</f>
        <v>1</v>
      </c>
      <c r="E44" s="219" t="n">
        <f aca="false">IF(Calculator!$E$15="YES",IF(A44&lt;Calculator!$G$15,0,MIN(MIN(MOD(A44/Calculator!$F$15,1),1-MOD(A44/Calculator!$F$15,1)),ABS(MOD(A44/Calculator!$F$15,1)-0.5))),1)</f>
        <v>0</v>
      </c>
      <c r="F44" s="219" t="n">
        <f aca="false">IF(Calculator!$E$16="YES",IF(A44&lt;Calculator!$G$16,0,MIN(MIN(MOD(A44/Calculator!$F$16,1),1-MOD(A44/Calculator!$F$16,1)),ABS(MOD(A44/Calculator!$F$16,1)-0.5))),1)</f>
        <v>1</v>
      </c>
      <c r="G44" s="219" t="n">
        <f aca="false">IF(Calculator!$E$17="YES",IF(A44&lt;Calculator!$G$17,0,MIN(MIN(MOD(A44/Calculator!$F$17,1),1-MOD(A44/Calculator!$F$17,1)),ABS(MOD(A44/Calculator!$F$17,1)-0.5))),1)</f>
        <v>0.134578947368421</v>
      </c>
      <c r="H44" s="219" t="n">
        <f aca="false">IF(Calculator!$E$18="YES",IF(A44&lt;Calculator!$G$18,0,MIN(MIN(MOD(A44/Calculator!$F$18,1),1-MOD(A44/Calculator!$F$18,1)),ABS(MOD(A44/Calculator!$F$18,1)-0.5))),1)</f>
        <v>1</v>
      </c>
      <c r="I44" s="219" t="n">
        <f aca="false">IF(Calculator!$E$19="YES",IF(A44&lt;Calculator!$G$19,0,MIN(MIN(MOD(A44/Calculator!$F$19,1),1-MOD(A44/Calculator!$F$19,1)),ABS(MOD(A44/Calculator!$F$19,1)-0.5))),1)</f>
        <v>1</v>
      </c>
      <c r="J44" s="219" t="n">
        <f aca="false">IF(Calculator!$E$20="YES",IF(A44&lt;Calculator!$G$20,0,MIN(MIN(MOD(A44/Calculator!$F$20,1),1-MOD(A44/Calculator!$F$20,1)),ABS(MOD(A44/Calculator!$F$20,1)-0.5))),1)</f>
        <v>1</v>
      </c>
      <c r="K44" s="219" t="n">
        <f aca="false">IF(Calculator!$E$21="YES",IF(A44&lt;Calculator!$G$21,0,MIN(MIN(MOD(A44/Calculator!$F$21,1),1-MOD(A44/Calculator!$F$21,1)),ABS(MOD(A44/Calculator!$F$21,1)-0.5))),1)</f>
        <v>0.238631578947369</v>
      </c>
      <c r="L44" s="219" t="n">
        <f aca="false">IF(Calculator!$E$22="YES",IF(A44&lt;Calculator!$G$22,0,MIN(MIN(MOD(A44/Calculator!$F$22,1),1-MOD(A44/Calculator!$F$22,1)),ABS(MOD(A44/Calculator!$F$22,1)-0.5))),1)</f>
        <v>1</v>
      </c>
      <c r="M44" s="219" t="n">
        <f aca="false">MIN(B44:L44)</f>
        <v>0</v>
      </c>
      <c r="N44" s="219" t="n">
        <f aca="false">SUMPRODUCT(($M$7:$M$557&gt;M44)*1)+SUMPRODUCT(($M$7:$M$557=M44)*(ROW($M$7:$M$557)&lt;ROW(M44)))+1</f>
        <v>539</v>
      </c>
      <c r="O44" s="219" t="str">
        <f aca="false">IF(M44&gt;=0.2,"★★★ EXCELLENT",IF(M44&gt;=0.12,"★★  GOOD",IF(M44&gt;=0.07,"★  FAIR",IF(M44&gt;=0.025,"⚠  MARGINAL","✗  AVOID"))))</f>
        <v>✗  AVOID</v>
      </c>
    </row>
    <row r="45" customFormat="false" ht="15" hidden="false" customHeight="true" outlineLevel="0" collapsed="false">
      <c r="A45" s="216" t="n">
        <v>8.8</v>
      </c>
      <c r="B45" s="217" t="n">
        <f aca="false">IF(Calculator!$E$12="YES",IF(A45&lt;Calculator!$G$12,0,MIN(MIN(MOD(A45/Calculator!$F$12,1),1-MOD(A45/Calculator!$F$12,1)),ABS(MOD(A45/Calculator!$F$12,1)-0.5))),1)</f>
        <v>1</v>
      </c>
      <c r="C45" s="217" t="n">
        <f aca="false">IF(Calculator!$E$13="YES",IF(A45&lt;Calculator!$G$13,0,MIN(MIN(MOD(A45/Calculator!$F$13,1),1-MOD(A45/Calculator!$F$13,1)),ABS(MOD(A45/Calculator!$F$13,1)-0.5))),1)</f>
        <v>1</v>
      </c>
      <c r="D45" s="217" t="n">
        <f aca="false">IF(Calculator!$E$14="YES",IF(A45&lt;Calculator!$G$14,0,MIN(MIN(MOD(A45/Calculator!$F$14,1),1-MOD(A45/Calculator!$F$14,1)),ABS(MOD(A45/Calculator!$F$14,1)-0.5))),1)</f>
        <v>1</v>
      </c>
      <c r="E45" s="217" t="n">
        <f aca="false">IF(Calculator!$E$15="YES",IF(A45&lt;Calculator!$G$15,0,MIN(MIN(MOD(A45/Calculator!$F$15,1),1-MOD(A45/Calculator!$F$15,1)),ABS(MOD(A45/Calculator!$F$15,1)-0.5))),1)</f>
        <v>0</v>
      </c>
      <c r="F45" s="217" t="n">
        <f aca="false">IF(Calculator!$E$16="YES",IF(A45&lt;Calculator!$G$16,0,MIN(MIN(MOD(A45/Calculator!$F$16,1),1-MOD(A45/Calculator!$F$16,1)),ABS(MOD(A45/Calculator!$F$16,1)-0.5))),1)</f>
        <v>1</v>
      </c>
      <c r="G45" s="217" t="n">
        <f aca="false">IF(Calculator!$E$17="YES",IF(A45&lt;Calculator!$G$17,0,MIN(MIN(MOD(A45/Calculator!$F$17,1),1-MOD(A45/Calculator!$F$17,1)),ABS(MOD(A45/Calculator!$F$17,1)-0.5))),1)</f>
        <v>0.124631578947368</v>
      </c>
      <c r="H45" s="217" t="n">
        <f aca="false">IF(Calculator!$E$18="YES",IF(A45&lt;Calculator!$G$18,0,MIN(MIN(MOD(A45/Calculator!$F$18,1),1-MOD(A45/Calculator!$F$18,1)),ABS(MOD(A45/Calculator!$F$18,1)-0.5))),1)</f>
        <v>1</v>
      </c>
      <c r="I45" s="217" t="n">
        <f aca="false">IF(Calculator!$E$19="YES",IF(A45&lt;Calculator!$G$19,0,MIN(MIN(MOD(A45/Calculator!$F$19,1),1-MOD(A45/Calculator!$F$19,1)),ABS(MOD(A45/Calculator!$F$19,1)-0.5))),1)</f>
        <v>1</v>
      </c>
      <c r="J45" s="217" t="n">
        <f aca="false">IF(Calculator!$E$20="YES",IF(A45&lt;Calculator!$G$20,0,MIN(MIN(MOD(A45/Calculator!$F$20,1),1-MOD(A45/Calculator!$F$20,1)),ABS(MOD(A45/Calculator!$F$20,1)-0.5))),1)</f>
        <v>1</v>
      </c>
      <c r="K45" s="217" t="n">
        <f aca="false">IF(Calculator!$E$21="YES",IF(A45&lt;Calculator!$G$21,0,MIN(MIN(MOD(A45/Calculator!$F$21,1),1-MOD(A45/Calculator!$F$21,1)),ABS(MOD(A45/Calculator!$F$21,1)-0.5))),1)</f>
        <v>0.218385964912281</v>
      </c>
      <c r="L45" s="217" t="n">
        <f aca="false">IF(Calculator!$E$22="YES",IF(A45&lt;Calculator!$G$22,0,MIN(MIN(MOD(A45/Calculator!$F$22,1),1-MOD(A45/Calculator!$F$22,1)),ABS(MOD(A45/Calculator!$F$22,1)-0.5))),1)</f>
        <v>1</v>
      </c>
      <c r="M45" s="217" t="n">
        <f aca="false">MIN(B45:L45)</f>
        <v>0</v>
      </c>
      <c r="N45" s="217" t="n">
        <f aca="false">SUMPRODUCT(($M$7:$M$557&gt;M45)*1)+SUMPRODUCT(($M$7:$M$557=M45)*(ROW($M$7:$M$557)&lt;ROW(M45)))+1</f>
        <v>540</v>
      </c>
      <c r="O45" s="217" t="str">
        <f aca="false">IF(M45&gt;=0.2,"★★★ EXCELLENT",IF(M45&gt;=0.12,"★★  GOOD",IF(M45&gt;=0.07,"★  FAIR",IF(M45&gt;=0.025,"⚠  MARGINAL","✗  AVOID"))))</f>
        <v>✗  AVOID</v>
      </c>
    </row>
    <row r="46" customFormat="false" ht="15" hidden="false" customHeight="true" outlineLevel="0" collapsed="false">
      <c r="A46" s="218" t="n">
        <v>8.9</v>
      </c>
      <c r="B46" s="219" t="n">
        <f aca="false">IF(Calculator!$E$12="YES",IF(A46&lt;Calculator!$G$12,0,MIN(MIN(MOD(A46/Calculator!$F$12,1),1-MOD(A46/Calculator!$F$12,1)),ABS(MOD(A46/Calculator!$F$12,1)-0.5))),1)</f>
        <v>1</v>
      </c>
      <c r="C46" s="219" t="n">
        <f aca="false">IF(Calculator!$E$13="YES",IF(A46&lt;Calculator!$G$13,0,MIN(MIN(MOD(A46/Calculator!$F$13,1),1-MOD(A46/Calculator!$F$13,1)),ABS(MOD(A46/Calculator!$F$13,1)-0.5))),1)</f>
        <v>1</v>
      </c>
      <c r="D46" s="219" t="n">
        <f aca="false">IF(Calculator!$E$14="YES",IF(A46&lt;Calculator!$G$14,0,MIN(MIN(MOD(A46/Calculator!$F$14,1),1-MOD(A46/Calculator!$F$14,1)),ABS(MOD(A46/Calculator!$F$14,1)-0.5))),1)</f>
        <v>1</v>
      </c>
      <c r="E46" s="219" t="n">
        <f aca="false">IF(Calculator!$E$15="YES",IF(A46&lt;Calculator!$G$15,0,MIN(MIN(MOD(A46/Calculator!$F$15,1),1-MOD(A46/Calculator!$F$15,1)),ABS(MOD(A46/Calculator!$F$15,1)-0.5))),1)</f>
        <v>0</v>
      </c>
      <c r="F46" s="219" t="n">
        <f aca="false">IF(Calculator!$E$16="YES",IF(A46&lt;Calculator!$G$16,0,MIN(MIN(MOD(A46/Calculator!$F$16,1),1-MOD(A46/Calculator!$F$16,1)),ABS(MOD(A46/Calculator!$F$16,1)-0.5))),1)</f>
        <v>1</v>
      </c>
      <c r="G46" s="219" t="n">
        <f aca="false">IF(Calculator!$E$17="YES",IF(A46&lt;Calculator!$G$17,0,MIN(MIN(MOD(A46/Calculator!$F$17,1),1-MOD(A46/Calculator!$F$17,1)),ABS(MOD(A46/Calculator!$F$17,1)-0.5))),1)</f>
        <v>0.114684210526316</v>
      </c>
      <c r="H46" s="219" t="n">
        <f aca="false">IF(Calculator!$E$18="YES",IF(A46&lt;Calculator!$G$18,0,MIN(MIN(MOD(A46/Calculator!$F$18,1),1-MOD(A46/Calculator!$F$18,1)),ABS(MOD(A46/Calculator!$F$18,1)-0.5))),1)</f>
        <v>1</v>
      </c>
      <c r="I46" s="219" t="n">
        <f aca="false">IF(Calculator!$E$19="YES",IF(A46&lt;Calculator!$G$19,0,MIN(MIN(MOD(A46/Calculator!$F$19,1),1-MOD(A46/Calculator!$F$19,1)),ABS(MOD(A46/Calculator!$F$19,1)-0.5))),1)</f>
        <v>1</v>
      </c>
      <c r="J46" s="219" t="n">
        <f aca="false">IF(Calculator!$E$20="YES",IF(A46&lt;Calculator!$G$20,0,MIN(MIN(MOD(A46/Calculator!$F$20,1),1-MOD(A46/Calculator!$F$20,1)),ABS(MOD(A46/Calculator!$F$20,1)-0.5))),1)</f>
        <v>1</v>
      </c>
      <c r="K46" s="219" t="n">
        <f aca="false">IF(Calculator!$E$21="YES",IF(A46&lt;Calculator!$G$21,0,MIN(MIN(MOD(A46/Calculator!$F$21,1),1-MOD(A46/Calculator!$F$21,1)),ABS(MOD(A46/Calculator!$F$21,1)-0.5))),1)</f>
        <v>0.198140350877193</v>
      </c>
      <c r="L46" s="219" t="n">
        <f aca="false">IF(Calculator!$E$22="YES",IF(A46&lt;Calculator!$G$22,0,MIN(MIN(MOD(A46/Calculator!$F$22,1),1-MOD(A46/Calculator!$F$22,1)),ABS(MOD(A46/Calculator!$F$22,1)-0.5))),1)</f>
        <v>1</v>
      </c>
      <c r="M46" s="219" t="n">
        <f aca="false">MIN(B46:L46)</f>
        <v>0</v>
      </c>
      <c r="N46" s="219" t="n">
        <f aca="false">SUMPRODUCT(($M$7:$M$557&gt;M46)*1)+SUMPRODUCT(($M$7:$M$557=M46)*(ROW($M$7:$M$557)&lt;ROW(M46)))+1</f>
        <v>541</v>
      </c>
      <c r="O46" s="219" t="str">
        <f aca="false">IF(M46&gt;=0.2,"★★★ EXCELLENT",IF(M46&gt;=0.12,"★★  GOOD",IF(M46&gt;=0.07,"★  FAIR",IF(M46&gt;=0.025,"⚠  MARGINAL","✗  AVOID"))))</f>
        <v>✗  AVOID</v>
      </c>
    </row>
    <row r="47" customFormat="false" ht="15" hidden="false" customHeight="true" outlineLevel="0" collapsed="false">
      <c r="A47" s="216" t="n">
        <v>9</v>
      </c>
      <c r="B47" s="217" t="n">
        <f aca="false">IF(Calculator!$E$12="YES",IF(A47&lt;Calculator!$G$12,0,MIN(MIN(MOD(A47/Calculator!$F$12,1),1-MOD(A47/Calculator!$F$12,1)),ABS(MOD(A47/Calculator!$F$12,1)-0.5))),1)</f>
        <v>1</v>
      </c>
      <c r="C47" s="217" t="n">
        <f aca="false">IF(Calculator!$E$13="YES",IF(A47&lt;Calculator!$G$13,0,MIN(MIN(MOD(A47/Calculator!$F$13,1),1-MOD(A47/Calculator!$F$13,1)),ABS(MOD(A47/Calculator!$F$13,1)-0.5))),1)</f>
        <v>1</v>
      </c>
      <c r="D47" s="217" t="n">
        <f aca="false">IF(Calculator!$E$14="YES",IF(A47&lt;Calculator!$G$14,0,MIN(MIN(MOD(A47/Calculator!$F$14,1),1-MOD(A47/Calculator!$F$14,1)),ABS(MOD(A47/Calculator!$F$14,1)-0.5))),1)</f>
        <v>1</v>
      </c>
      <c r="E47" s="217" t="n">
        <f aca="false">IF(Calculator!$E$15="YES",IF(A47&lt;Calculator!$G$15,0,MIN(MIN(MOD(A47/Calculator!$F$15,1),1-MOD(A47/Calculator!$F$15,1)),ABS(MOD(A47/Calculator!$F$15,1)-0.5))),1)</f>
        <v>0</v>
      </c>
      <c r="F47" s="217" t="n">
        <f aca="false">IF(Calculator!$E$16="YES",IF(A47&lt;Calculator!$G$16,0,MIN(MIN(MOD(A47/Calculator!$F$16,1),1-MOD(A47/Calculator!$F$16,1)),ABS(MOD(A47/Calculator!$F$16,1)-0.5))),1)</f>
        <v>1</v>
      </c>
      <c r="G47" s="217" t="n">
        <f aca="false">IF(Calculator!$E$17="YES",IF(A47&lt;Calculator!$G$17,0,MIN(MIN(MOD(A47/Calculator!$F$17,1),1-MOD(A47/Calculator!$F$17,1)),ABS(MOD(A47/Calculator!$F$17,1)-0.5))),1)</f>
        <v>0.104736842105263</v>
      </c>
      <c r="H47" s="217" t="n">
        <f aca="false">IF(Calculator!$E$18="YES",IF(A47&lt;Calculator!$G$18,0,MIN(MIN(MOD(A47/Calculator!$F$18,1),1-MOD(A47/Calculator!$F$18,1)),ABS(MOD(A47/Calculator!$F$18,1)-0.5))),1)</f>
        <v>1</v>
      </c>
      <c r="I47" s="217" t="n">
        <f aca="false">IF(Calculator!$E$19="YES",IF(A47&lt;Calculator!$G$19,0,MIN(MIN(MOD(A47/Calculator!$F$19,1),1-MOD(A47/Calculator!$F$19,1)),ABS(MOD(A47/Calculator!$F$19,1)-0.5))),1)</f>
        <v>1</v>
      </c>
      <c r="J47" s="217" t="n">
        <f aca="false">IF(Calculator!$E$20="YES",IF(A47&lt;Calculator!$G$20,0,MIN(MIN(MOD(A47/Calculator!$F$20,1),1-MOD(A47/Calculator!$F$20,1)),ABS(MOD(A47/Calculator!$F$20,1)-0.5))),1)</f>
        <v>1</v>
      </c>
      <c r="K47" s="217" t="n">
        <f aca="false">IF(Calculator!$E$21="YES",IF(A47&lt;Calculator!$G$21,0,MIN(MIN(MOD(A47/Calculator!$F$21,1),1-MOD(A47/Calculator!$F$21,1)),ABS(MOD(A47/Calculator!$F$21,1)-0.5))),1)</f>
        <v>0.177894736842105</v>
      </c>
      <c r="L47" s="217" t="n">
        <f aca="false">IF(Calculator!$E$22="YES",IF(A47&lt;Calculator!$G$22,0,MIN(MIN(MOD(A47/Calculator!$F$22,1),1-MOD(A47/Calculator!$F$22,1)),ABS(MOD(A47/Calculator!$F$22,1)-0.5))),1)</f>
        <v>1</v>
      </c>
      <c r="M47" s="217" t="n">
        <f aca="false">MIN(B47:L47)</f>
        <v>0</v>
      </c>
      <c r="N47" s="217" t="n">
        <f aca="false">SUMPRODUCT(($M$7:$M$557&gt;M47)*1)+SUMPRODUCT(($M$7:$M$557=M47)*(ROW($M$7:$M$557)&lt;ROW(M47)))+1</f>
        <v>542</v>
      </c>
      <c r="O47" s="217" t="str">
        <f aca="false">IF(M47&gt;=0.2,"★★★ EXCELLENT",IF(M47&gt;=0.12,"★★  GOOD",IF(M47&gt;=0.07,"★  FAIR",IF(M47&gt;=0.025,"⚠  MARGINAL","✗  AVOID"))))</f>
        <v>✗  AVOID</v>
      </c>
    </row>
    <row r="48" customFormat="false" ht="15" hidden="false" customHeight="true" outlineLevel="0" collapsed="false">
      <c r="A48" s="218" t="n">
        <v>9.1</v>
      </c>
      <c r="B48" s="219" t="n">
        <f aca="false">IF(Calculator!$E$12="YES",IF(A48&lt;Calculator!$G$12,0,MIN(MIN(MOD(A48/Calculator!$F$12,1),1-MOD(A48/Calculator!$F$12,1)),ABS(MOD(A48/Calculator!$F$12,1)-0.5))),1)</f>
        <v>1</v>
      </c>
      <c r="C48" s="219" t="n">
        <f aca="false">IF(Calculator!$E$13="YES",IF(A48&lt;Calculator!$G$13,0,MIN(MIN(MOD(A48/Calculator!$F$13,1),1-MOD(A48/Calculator!$F$13,1)),ABS(MOD(A48/Calculator!$F$13,1)-0.5))),1)</f>
        <v>1</v>
      </c>
      <c r="D48" s="219" t="n">
        <f aca="false">IF(Calculator!$E$14="YES",IF(A48&lt;Calculator!$G$14,0,MIN(MIN(MOD(A48/Calculator!$F$14,1),1-MOD(A48/Calculator!$F$14,1)),ABS(MOD(A48/Calculator!$F$14,1)-0.5))),1)</f>
        <v>1</v>
      </c>
      <c r="E48" s="219" t="n">
        <f aca="false">IF(Calculator!$E$15="YES",IF(A48&lt;Calculator!$G$15,0,MIN(MIN(MOD(A48/Calculator!$F$15,1),1-MOD(A48/Calculator!$F$15,1)),ABS(MOD(A48/Calculator!$F$15,1)-0.5))),1)</f>
        <v>0</v>
      </c>
      <c r="F48" s="219" t="n">
        <f aca="false">IF(Calculator!$E$16="YES",IF(A48&lt;Calculator!$G$16,0,MIN(MIN(MOD(A48/Calculator!$F$16,1),1-MOD(A48/Calculator!$F$16,1)),ABS(MOD(A48/Calculator!$F$16,1)-0.5))),1)</f>
        <v>1</v>
      </c>
      <c r="G48" s="219" t="n">
        <f aca="false">IF(Calculator!$E$17="YES",IF(A48&lt;Calculator!$G$17,0,MIN(MIN(MOD(A48/Calculator!$F$17,1),1-MOD(A48/Calculator!$F$17,1)),ABS(MOD(A48/Calculator!$F$17,1)-0.5))),1)</f>
        <v>0.0947894736842105</v>
      </c>
      <c r="H48" s="219" t="n">
        <f aca="false">IF(Calculator!$E$18="YES",IF(A48&lt;Calculator!$G$18,0,MIN(MIN(MOD(A48/Calculator!$F$18,1),1-MOD(A48/Calculator!$F$18,1)),ABS(MOD(A48/Calculator!$F$18,1)-0.5))),1)</f>
        <v>1</v>
      </c>
      <c r="I48" s="219" t="n">
        <f aca="false">IF(Calculator!$E$19="YES",IF(A48&lt;Calculator!$G$19,0,MIN(MIN(MOD(A48/Calculator!$F$19,1),1-MOD(A48/Calculator!$F$19,1)),ABS(MOD(A48/Calculator!$F$19,1)-0.5))),1)</f>
        <v>1</v>
      </c>
      <c r="J48" s="219" t="n">
        <f aca="false">IF(Calculator!$E$20="YES",IF(A48&lt;Calculator!$G$20,0,MIN(MIN(MOD(A48/Calculator!$F$20,1),1-MOD(A48/Calculator!$F$20,1)),ABS(MOD(A48/Calculator!$F$20,1)-0.5))),1)</f>
        <v>1</v>
      </c>
      <c r="K48" s="219" t="n">
        <f aca="false">IF(Calculator!$E$21="YES",IF(A48&lt;Calculator!$G$21,0,MIN(MIN(MOD(A48/Calculator!$F$21,1),1-MOD(A48/Calculator!$F$21,1)),ABS(MOD(A48/Calculator!$F$21,1)-0.5))),1)</f>
        <v>0.157649122807018</v>
      </c>
      <c r="L48" s="219" t="n">
        <f aca="false">IF(Calculator!$E$22="YES",IF(A48&lt;Calculator!$G$22,0,MIN(MIN(MOD(A48/Calculator!$F$22,1),1-MOD(A48/Calculator!$F$22,1)),ABS(MOD(A48/Calculator!$F$22,1)-0.5))),1)</f>
        <v>1</v>
      </c>
      <c r="M48" s="219" t="n">
        <f aca="false">MIN(B48:L48)</f>
        <v>0</v>
      </c>
      <c r="N48" s="219" t="n">
        <f aca="false">SUMPRODUCT(($M$7:$M$557&gt;M48)*1)+SUMPRODUCT(($M$7:$M$557=M48)*(ROW($M$7:$M$557)&lt;ROW(M48)))+1</f>
        <v>543</v>
      </c>
      <c r="O48" s="219" t="str">
        <f aca="false">IF(M48&gt;=0.2,"★★★ EXCELLENT",IF(M48&gt;=0.12,"★★  GOOD",IF(M48&gt;=0.07,"★  FAIR",IF(M48&gt;=0.025,"⚠  MARGINAL","✗  AVOID"))))</f>
        <v>✗  AVOID</v>
      </c>
    </row>
    <row r="49" customFormat="false" ht="15" hidden="false" customHeight="true" outlineLevel="0" collapsed="false">
      <c r="A49" s="216" t="n">
        <v>9.2</v>
      </c>
      <c r="B49" s="217" t="n">
        <f aca="false">IF(Calculator!$E$12="YES",IF(A49&lt;Calculator!$G$12,0,MIN(MIN(MOD(A49/Calculator!$F$12,1),1-MOD(A49/Calculator!$F$12,1)),ABS(MOD(A49/Calculator!$F$12,1)-0.5))),1)</f>
        <v>1</v>
      </c>
      <c r="C49" s="217" t="n">
        <f aca="false">IF(Calculator!$E$13="YES",IF(A49&lt;Calculator!$G$13,0,MIN(MIN(MOD(A49/Calculator!$F$13,1),1-MOD(A49/Calculator!$F$13,1)),ABS(MOD(A49/Calculator!$F$13,1)-0.5))),1)</f>
        <v>1</v>
      </c>
      <c r="D49" s="217" t="n">
        <f aca="false">IF(Calculator!$E$14="YES",IF(A49&lt;Calculator!$G$14,0,MIN(MIN(MOD(A49/Calculator!$F$14,1),1-MOD(A49/Calculator!$F$14,1)),ABS(MOD(A49/Calculator!$F$14,1)-0.5))),1)</f>
        <v>1</v>
      </c>
      <c r="E49" s="217" t="n">
        <f aca="false">IF(Calculator!$E$15="YES",IF(A49&lt;Calculator!$G$15,0,MIN(MIN(MOD(A49/Calculator!$F$15,1),1-MOD(A49/Calculator!$F$15,1)),ABS(MOD(A49/Calculator!$F$15,1)-0.5))),1)</f>
        <v>0</v>
      </c>
      <c r="F49" s="217" t="n">
        <f aca="false">IF(Calculator!$E$16="YES",IF(A49&lt;Calculator!$G$16,0,MIN(MIN(MOD(A49/Calculator!$F$16,1),1-MOD(A49/Calculator!$F$16,1)),ABS(MOD(A49/Calculator!$F$16,1)-0.5))),1)</f>
        <v>1</v>
      </c>
      <c r="G49" s="217" t="n">
        <f aca="false">IF(Calculator!$E$17="YES",IF(A49&lt;Calculator!$G$17,0,MIN(MIN(MOD(A49/Calculator!$F$17,1),1-MOD(A49/Calculator!$F$17,1)),ABS(MOD(A49/Calculator!$F$17,1)-0.5))),1)</f>
        <v>0.0848421052631579</v>
      </c>
      <c r="H49" s="217" t="n">
        <f aca="false">IF(Calculator!$E$18="YES",IF(A49&lt;Calculator!$G$18,0,MIN(MIN(MOD(A49/Calculator!$F$18,1),1-MOD(A49/Calculator!$F$18,1)),ABS(MOD(A49/Calculator!$F$18,1)-0.5))),1)</f>
        <v>1</v>
      </c>
      <c r="I49" s="217" t="n">
        <f aca="false">IF(Calculator!$E$19="YES",IF(A49&lt;Calculator!$G$19,0,MIN(MIN(MOD(A49/Calculator!$F$19,1),1-MOD(A49/Calculator!$F$19,1)),ABS(MOD(A49/Calculator!$F$19,1)-0.5))),1)</f>
        <v>1</v>
      </c>
      <c r="J49" s="217" t="n">
        <f aca="false">IF(Calculator!$E$20="YES",IF(A49&lt;Calculator!$G$20,0,MIN(MIN(MOD(A49/Calculator!$F$20,1),1-MOD(A49/Calculator!$F$20,1)),ABS(MOD(A49/Calculator!$F$20,1)-0.5))),1)</f>
        <v>1</v>
      </c>
      <c r="K49" s="217" t="n">
        <f aca="false">IF(Calculator!$E$21="YES",IF(A49&lt;Calculator!$G$21,0,MIN(MIN(MOD(A49/Calculator!$F$21,1),1-MOD(A49/Calculator!$F$21,1)),ABS(MOD(A49/Calculator!$F$21,1)-0.5))),1)</f>
        <v>0.13740350877193</v>
      </c>
      <c r="L49" s="217" t="n">
        <f aca="false">IF(Calculator!$E$22="YES",IF(A49&lt;Calculator!$G$22,0,MIN(MIN(MOD(A49/Calculator!$F$22,1),1-MOD(A49/Calculator!$F$22,1)),ABS(MOD(A49/Calculator!$F$22,1)-0.5))),1)</f>
        <v>1</v>
      </c>
      <c r="M49" s="217" t="n">
        <f aca="false">MIN(B49:L49)</f>
        <v>0</v>
      </c>
      <c r="N49" s="217" t="n">
        <f aca="false">SUMPRODUCT(($M$7:$M$557&gt;M49)*1)+SUMPRODUCT(($M$7:$M$557=M49)*(ROW($M$7:$M$557)&lt;ROW(M49)))+1</f>
        <v>544</v>
      </c>
      <c r="O49" s="217" t="str">
        <f aca="false">IF(M49&gt;=0.2,"★★★ EXCELLENT",IF(M49&gt;=0.12,"★★  GOOD",IF(M49&gt;=0.07,"★  FAIR",IF(M49&gt;=0.025,"⚠  MARGINAL","✗  AVOID"))))</f>
        <v>✗  AVOID</v>
      </c>
    </row>
    <row r="50" customFormat="false" ht="15" hidden="false" customHeight="true" outlineLevel="0" collapsed="false">
      <c r="A50" s="218" t="n">
        <v>9.3</v>
      </c>
      <c r="B50" s="219" t="n">
        <f aca="false">IF(Calculator!$E$12="YES",IF(A50&lt;Calculator!$G$12,0,MIN(MIN(MOD(A50/Calculator!$F$12,1),1-MOD(A50/Calculator!$F$12,1)),ABS(MOD(A50/Calculator!$F$12,1)-0.5))),1)</f>
        <v>1</v>
      </c>
      <c r="C50" s="219" t="n">
        <f aca="false">IF(Calculator!$E$13="YES",IF(A50&lt;Calculator!$G$13,0,MIN(MIN(MOD(A50/Calculator!$F$13,1),1-MOD(A50/Calculator!$F$13,1)),ABS(MOD(A50/Calculator!$F$13,1)-0.5))),1)</f>
        <v>1</v>
      </c>
      <c r="D50" s="219" t="n">
        <f aca="false">IF(Calculator!$E$14="YES",IF(A50&lt;Calculator!$G$14,0,MIN(MIN(MOD(A50/Calculator!$F$14,1),1-MOD(A50/Calculator!$F$14,1)),ABS(MOD(A50/Calculator!$F$14,1)-0.5))),1)</f>
        <v>1</v>
      </c>
      <c r="E50" s="219" t="n">
        <f aca="false">IF(Calculator!$E$15="YES",IF(A50&lt;Calculator!$G$15,0,MIN(MIN(MOD(A50/Calculator!$F$15,1),1-MOD(A50/Calculator!$F$15,1)),ABS(MOD(A50/Calculator!$F$15,1)-0.5))),1)</f>
        <v>0</v>
      </c>
      <c r="F50" s="219" t="n">
        <f aca="false">IF(Calculator!$E$16="YES",IF(A50&lt;Calculator!$G$16,0,MIN(MIN(MOD(A50/Calculator!$F$16,1),1-MOD(A50/Calculator!$F$16,1)),ABS(MOD(A50/Calculator!$F$16,1)-0.5))),1)</f>
        <v>1</v>
      </c>
      <c r="G50" s="219" t="n">
        <f aca="false">IF(Calculator!$E$17="YES",IF(A50&lt;Calculator!$G$17,0,MIN(MIN(MOD(A50/Calculator!$F$17,1),1-MOD(A50/Calculator!$F$17,1)),ABS(MOD(A50/Calculator!$F$17,1)-0.5))),1)</f>
        <v>0.0748947368421051</v>
      </c>
      <c r="H50" s="219" t="n">
        <f aca="false">IF(Calculator!$E$18="YES",IF(A50&lt;Calculator!$G$18,0,MIN(MIN(MOD(A50/Calculator!$F$18,1),1-MOD(A50/Calculator!$F$18,1)),ABS(MOD(A50/Calculator!$F$18,1)-0.5))),1)</f>
        <v>1</v>
      </c>
      <c r="I50" s="219" t="n">
        <f aca="false">IF(Calculator!$E$19="YES",IF(A50&lt;Calculator!$G$19,0,MIN(MIN(MOD(A50/Calculator!$F$19,1),1-MOD(A50/Calculator!$F$19,1)),ABS(MOD(A50/Calculator!$F$19,1)-0.5))),1)</f>
        <v>1</v>
      </c>
      <c r="J50" s="219" t="n">
        <f aca="false">IF(Calculator!$E$20="YES",IF(A50&lt;Calculator!$G$20,0,MIN(MIN(MOD(A50/Calculator!$F$20,1),1-MOD(A50/Calculator!$F$20,1)),ABS(MOD(A50/Calculator!$F$20,1)-0.5))),1)</f>
        <v>1</v>
      </c>
      <c r="K50" s="219" t="n">
        <f aca="false">IF(Calculator!$E$21="YES",IF(A50&lt;Calculator!$G$21,0,MIN(MIN(MOD(A50/Calculator!$F$21,1),1-MOD(A50/Calculator!$F$21,1)),ABS(MOD(A50/Calculator!$F$21,1)-0.5))),1)</f>
        <v>0.117157894736842</v>
      </c>
      <c r="L50" s="219" t="n">
        <f aca="false">IF(Calculator!$E$22="YES",IF(A50&lt;Calculator!$G$22,0,MIN(MIN(MOD(A50/Calculator!$F$22,1),1-MOD(A50/Calculator!$F$22,1)),ABS(MOD(A50/Calculator!$F$22,1)-0.5))),1)</f>
        <v>1</v>
      </c>
      <c r="M50" s="219" t="n">
        <f aca="false">MIN(B50:L50)</f>
        <v>0</v>
      </c>
      <c r="N50" s="219" t="n">
        <f aca="false">SUMPRODUCT(($M$7:$M$557&gt;M50)*1)+SUMPRODUCT(($M$7:$M$557=M50)*(ROW($M$7:$M$557)&lt;ROW(M50)))+1</f>
        <v>545</v>
      </c>
      <c r="O50" s="219" t="str">
        <f aca="false">IF(M50&gt;=0.2,"★★★ EXCELLENT",IF(M50&gt;=0.12,"★★  GOOD",IF(M50&gt;=0.07,"★  FAIR",IF(M50&gt;=0.025,"⚠  MARGINAL","✗  AVOID"))))</f>
        <v>✗  AVOID</v>
      </c>
    </row>
    <row r="51" customFormat="false" ht="15" hidden="false" customHeight="true" outlineLevel="0" collapsed="false">
      <c r="A51" s="216" t="n">
        <v>9.4</v>
      </c>
      <c r="B51" s="217" t="n">
        <f aca="false">IF(Calculator!$E$12="YES",IF(A51&lt;Calculator!$G$12,0,MIN(MIN(MOD(A51/Calculator!$F$12,1),1-MOD(A51/Calculator!$F$12,1)),ABS(MOD(A51/Calculator!$F$12,1)-0.5))),1)</f>
        <v>1</v>
      </c>
      <c r="C51" s="217" t="n">
        <f aca="false">IF(Calculator!$E$13="YES",IF(A51&lt;Calculator!$G$13,0,MIN(MIN(MOD(A51/Calculator!$F$13,1),1-MOD(A51/Calculator!$F$13,1)),ABS(MOD(A51/Calculator!$F$13,1)-0.5))),1)</f>
        <v>1</v>
      </c>
      <c r="D51" s="217" t="n">
        <f aca="false">IF(Calculator!$E$14="YES",IF(A51&lt;Calculator!$G$14,0,MIN(MIN(MOD(A51/Calculator!$F$14,1),1-MOD(A51/Calculator!$F$14,1)),ABS(MOD(A51/Calculator!$F$14,1)-0.5))),1)</f>
        <v>1</v>
      </c>
      <c r="E51" s="217" t="n">
        <f aca="false">IF(Calculator!$E$15="YES",IF(A51&lt;Calculator!$G$15,0,MIN(MIN(MOD(A51/Calculator!$F$15,1),1-MOD(A51/Calculator!$F$15,1)),ABS(MOD(A51/Calculator!$F$15,1)-0.5))),1)</f>
        <v>0</v>
      </c>
      <c r="F51" s="217" t="n">
        <f aca="false">IF(Calculator!$E$16="YES",IF(A51&lt;Calculator!$G$16,0,MIN(MIN(MOD(A51/Calculator!$F$16,1),1-MOD(A51/Calculator!$F$16,1)),ABS(MOD(A51/Calculator!$F$16,1)-0.5))),1)</f>
        <v>1</v>
      </c>
      <c r="G51" s="217" t="n">
        <f aca="false">IF(Calculator!$E$17="YES",IF(A51&lt;Calculator!$G$17,0,MIN(MIN(MOD(A51/Calculator!$F$17,1),1-MOD(A51/Calculator!$F$17,1)),ABS(MOD(A51/Calculator!$F$17,1)-0.5))),1)</f>
        <v>0.0649473684210525</v>
      </c>
      <c r="H51" s="217" t="n">
        <f aca="false">IF(Calculator!$E$18="YES",IF(A51&lt;Calculator!$G$18,0,MIN(MIN(MOD(A51/Calculator!$F$18,1),1-MOD(A51/Calculator!$F$18,1)),ABS(MOD(A51/Calculator!$F$18,1)-0.5))),1)</f>
        <v>1</v>
      </c>
      <c r="I51" s="217" t="n">
        <f aca="false">IF(Calculator!$E$19="YES",IF(A51&lt;Calculator!$G$19,0,MIN(MIN(MOD(A51/Calculator!$F$19,1),1-MOD(A51/Calculator!$F$19,1)),ABS(MOD(A51/Calculator!$F$19,1)-0.5))),1)</f>
        <v>1</v>
      </c>
      <c r="J51" s="217" t="n">
        <f aca="false">IF(Calculator!$E$20="YES",IF(A51&lt;Calculator!$G$20,0,MIN(MIN(MOD(A51/Calculator!$F$20,1),1-MOD(A51/Calculator!$F$20,1)),ABS(MOD(A51/Calculator!$F$20,1)-0.5))),1)</f>
        <v>1</v>
      </c>
      <c r="K51" s="217" t="n">
        <f aca="false">IF(Calculator!$E$21="YES",IF(A51&lt;Calculator!$G$21,0,MIN(MIN(MOD(A51/Calculator!$F$21,1),1-MOD(A51/Calculator!$F$21,1)),ABS(MOD(A51/Calculator!$F$21,1)-0.5))),1)</f>
        <v>0.0969122807017544</v>
      </c>
      <c r="L51" s="217" t="n">
        <f aca="false">IF(Calculator!$E$22="YES",IF(A51&lt;Calculator!$G$22,0,MIN(MIN(MOD(A51/Calculator!$F$22,1),1-MOD(A51/Calculator!$F$22,1)),ABS(MOD(A51/Calculator!$F$22,1)-0.5))),1)</f>
        <v>1</v>
      </c>
      <c r="M51" s="217" t="n">
        <f aca="false">MIN(B51:L51)</f>
        <v>0</v>
      </c>
      <c r="N51" s="217" t="n">
        <f aca="false">SUMPRODUCT(($M$7:$M$557&gt;M51)*1)+SUMPRODUCT(($M$7:$M$557=M51)*(ROW($M$7:$M$557)&lt;ROW(M51)))+1</f>
        <v>546</v>
      </c>
      <c r="O51" s="217" t="str">
        <f aca="false">IF(M51&gt;=0.2,"★★★ EXCELLENT",IF(M51&gt;=0.12,"★★  GOOD",IF(M51&gt;=0.07,"★  FAIR",IF(M51&gt;=0.025,"⚠  MARGINAL","✗  AVOID"))))</f>
        <v>✗  AVOID</v>
      </c>
    </row>
    <row r="52" customFormat="false" ht="15" hidden="false" customHeight="true" outlineLevel="0" collapsed="false">
      <c r="A52" s="218" t="n">
        <v>9.5</v>
      </c>
      <c r="B52" s="219" t="n">
        <f aca="false">IF(Calculator!$E$12="YES",IF(A52&lt;Calculator!$G$12,0,MIN(MIN(MOD(A52/Calculator!$F$12,1),1-MOD(A52/Calculator!$F$12,1)),ABS(MOD(A52/Calculator!$F$12,1)-0.5))),1)</f>
        <v>1</v>
      </c>
      <c r="C52" s="219" t="n">
        <f aca="false">IF(Calculator!$E$13="YES",IF(A52&lt;Calculator!$G$13,0,MIN(MIN(MOD(A52/Calculator!$F$13,1),1-MOD(A52/Calculator!$F$13,1)),ABS(MOD(A52/Calculator!$F$13,1)-0.5))),1)</f>
        <v>1</v>
      </c>
      <c r="D52" s="219" t="n">
        <f aca="false">IF(Calculator!$E$14="YES",IF(A52&lt;Calculator!$G$14,0,MIN(MIN(MOD(A52/Calculator!$F$14,1),1-MOD(A52/Calculator!$F$14,1)),ABS(MOD(A52/Calculator!$F$14,1)-0.5))),1)</f>
        <v>1</v>
      </c>
      <c r="E52" s="219" t="n">
        <f aca="false">IF(Calculator!$E$15="YES",IF(A52&lt;Calculator!$G$15,0,MIN(MIN(MOD(A52/Calculator!$F$15,1),1-MOD(A52/Calculator!$F$15,1)),ABS(MOD(A52/Calculator!$F$15,1)-0.5))),1)</f>
        <v>0</v>
      </c>
      <c r="F52" s="219" t="n">
        <f aca="false">IF(Calculator!$E$16="YES",IF(A52&lt;Calculator!$G$16,0,MIN(MIN(MOD(A52/Calculator!$F$16,1),1-MOD(A52/Calculator!$F$16,1)),ABS(MOD(A52/Calculator!$F$16,1)-0.5))),1)</f>
        <v>1</v>
      </c>
      <c r="G52" s="219" t="n">
        <f aca="false">IF(Calculator!$E$17="YES",IF(A52&lt;Calculator!$G$17,0,MIN(MIN(MOD(A52/Calculator!$F$17,1),1-MOD(A52/Calculator!$F$17,1)),ABS(MOD(A52/Calculator!$F$17,1)-0.5))),1)</f>
        <v>0.0549999999999999</v>
      </c>
      <c r="H52" s="219" t="n">
        <f aca="false">IF(Calculator!$E$18="YES",IF(A52&lt;Calculator!$G$18,0,MIN(MIN(MOD(A52/Calculator!$F$18,1),1-MOD(A52/Calculator!$F$18,1)),ABS(MOD(A52/Calculator!$F$18,1)-0.5))),1)</f>
        <v>1</v>
      </c>
      <c r="I52" s="219" t="n">
        <f aca="false">IF(Calculator!$E$19="YES",IF(A52&lt;Calculator!$G$19,0,MIN(MIN(MOD(A52/Calculator!$F$19,1),1-MOD(A52/Calculator!$F$19,1)),ABS(MOD(A52/Calculator!$F$19,1)-0.5))),1)</f>
        <v>1</v>
      </c>
      <c r="J52" s="219" t="n">
        <f aca="false">IF(Calculator!$E$20="YES",IF(A52&lt;Calculator!$G$20,0,MIN(MIN(MOD(A52/Calculator!$F$20,1),1-MOD(A52/Calculator!$F$20,1)),ABS(MOD(A52/Calculator!$F$20,1)-0.5))),1)</f>
        <v>1</v>
      </c>
      <c r="K52" s="219" t="n">
        <f aca="false">IF(Calculator!$E$21="YES",IF(A52&lt;Calculator!$G$21,0,MIN(MIN(MOD(A52/Calculator!$F$21,1),1-MOD(A52/Calculator!$F$21,1)),ABS(MOD(A52/Calculator!$F$21,1)-0.5))),1)</f>
        <v>0.0766666666666667</v>
      </c>
      <c r="L52" s="219" t="n">
        <f aca="false">IF(Calculator!$E$22="YES",IF(A52&lt;Calculator!$G$22,0,MIN(MIN(MOD(A52/Calculator!$F$22,1),1-MOD(A52/Calculator!$F$22,1)),ABS(MOD(A52/Calculator!$F$22,1)-0.5))),1)</f>
        <v>1</v>
      </c>
      <c r="M52" s="219" t="n">
        <f aca="false">MIN(B52:L52)</f>
        <v>0</v>
      </c>
      <c r="N52" s="219" t="n">
        <f aca="false">SUMPRODUCT(($M$7:$M$557&gt;M52)*1)+SUMPRODUCT(($M$7:$M$557=M52)*(ROW($M$7:$M$557)&lt;ROW(M52)))+1</f>
        <v>547</v>
      </c>
      <c r="O52" s="219" t="str">
        <f aca="false">IF(M52&gt;=0.2,"★★★ EXCELLENT",IF(M52&gt;=0.12,"★★  GOOD",IF(M52&gt;=0.07,"★  FAIR",IF(M52&gt;=0.025,"⚠  MARGINAL","✗  AVOID"))))</f>
        <v>✗  AVOID</v>
      </c>
    </row>
    <row r="53" customFormat="false" ht="15" hidden="false" customHeight="true" outlineLevel="0" collapsed="false">
      <c r="A53" s="216" t="n">
        <v>9.6</v>
      </c>
      <c r="B53" s="217" t="n">
        <f aca="false">IF(Calculator!$E$12="YES",IF(A53&lt;Calculator!$G$12,0,MIN(MIN(MOD(A53/Calculator!$F$12,1),1-MOD(A53/Calculator!$F$12,1)),ABS(MOD(A53/Calculator!$F$12,1)-0.5))),1)</f>
        <v>1</v>
      </c>
      <c r="C53" s="217" t="n">
        <f aca="false">IF(Calculator!$E$13="YES",IF(A53&lt;Calculator!$G$13,0,MIN(MIN(MOD(A53/Calculator!$F$13,1),1-MOD(A53/Calculator!$F$13,1)),ABS(MOD(A53/Calculator!$F$13,1)-0.5))),1)</f>
        <v>1</v>
      </c>
      <c r="D53" s="217" t="n">
        <f aca="false">IF(Calculator!$E$14="YES",IF(A53&lt;Calculator!$G$14,0,MIN(MIN(MOD(A53/Calculator!$F$14,1),1-MOD(A53/Calculator!$F$14,1)),ABS(MOD(A53/Calculator!$F$14,1)-0.5))),1)</f>
        <v>1</v>
      </c>
      <c r="E53" s="217" t="n">
        <f aca="false">IF(Calculator!$E$15="YES",IF(A53&lt;Calculator!$G$15,0,MIN(MIN(MOD(A53/Calculator!$F$15,1),1-MOD(A53/Calculator!$F$15,1)),ABS(MOD(A53/Calculator!$F$15,1)-0.5))),1)</f>
        <v>0</v>
      </c>
      <c r="F53" s="217" t="n">
        <f aca="false">IF(Calculator!$E$16="YES",IF(A53&lt;Calculator!$G$16,0,MIN(MIN(MOD(A53/Calculator!$F$16,1),1-MOD(A53/Calculator!$F$16,1)),ABS(MOD(A53/Calculator!$F$16,1)-0.5))),1)</f>
        <v>1</v>
      </c>
      <c r="G53" s="217" t="n">
        <f aca="false">IF(Calculator!$E$17="YES",IF(A53&lt;Calculator!$G$17,0,MIN(MIN(MOD(A53/Calculator!$F$17,1),1-MOD(A53/Calculator!$F$17,1)),ABS(MOD(A53/Calculator!$F$17,1)-0.5))),1)</f>
        <v>0.0450526315789473</v>
      </c>
      <c r="H53" s="217" t="n">
        <f aca="false">IF(Calculator!$E$18="YES",IF(A53&lt;Calculator!$G$18,0,MIN(MIN(MOD(A53/Calculator!$F$18,1),1-MOD(A53/Calculator!$F$18,1)),ABS(MOD(A53/Calculator!$F$18,1)-0.5))),1)</f>
        <v>1</v>
      </c>
      <c r="I53" s="217" t="n">
        <f aca="false">IF(Calculator!$E$19="YES",IF(A53&lt;Calculator!$G$19,0,MIN(MIN(MOD(A53/Calculator!$F$19,1),1-MOD(A53/Calculator!$F$19,1)),ABS(MOD(A53/Calculator!$F$19,1)-0.5))),1)</f>
        <v>1</v>
      </c>
      <c r="J53" s="217" t="n">
        <f aca="false">IF(Calculator!$E$20="YES",IF(A53&lt;Calculator!$G$20,0,MIN(MIN(MOD(A53/Calculator!$F$20,1),1-MOD(A53/Calculator!$F$20,1)),ABS(MOD(A53/Calculator!$F$20,1)-0.5))),1)</f>
        <v>1</v>
      </c>
      <c r="K53" s="217" t="n">
        <f aca="false">IF(Calculator!$E$21="YES",IF(A53&lt;Calculator!$G$21,0,MIN(MIN(MOD(A53/Calculator!$F$21,1),1-MOD(A53/Calculator!$F$21,1)),ABS(MOD(A53/Calculator!$F$21,1)-0.5))),1)</f>
        <v>0.0564210526315792</v>
      </c>
      <c r="L53" s="217" t="n">
        <f aca="false">IF(Calculator!$E$22="YES",IF(A53&lt;Calculator!$G$22,0,MIN(MIN(MOD(A53/Calculator!$F$22,1),1-MOD(A53/Calculator!$F$22,1)),ABS(MOD(A53/Calculator!$F$22,1)-0.5))),1)</f>
        <v>1</v>
      </c>
      <c r="M53" s="217" t="n">
        <f aca="false">MIN(B53:L53)</f>
        <v>0</v>
      </c>
      <c r="N53" s="217" t="n">
        <f aca="false">SUMPRODUCT(($M$7:$M$557&gt;M53)*1)+SUMPRODUCT(($M$7:$M$557=M53)*(ROW($M$7:$M$557)&lt;ROW(M53)))+1</f>
        <v>548</v>
      </c>
      <c r="O53" s="217" t="str">
        <f aca="false">IF(M53&gt;=0.2,"★★★ EXCELLENT",IF(M53&gt;=0.12,"★★  GOOD",IF(M53&gt;=0.07,"★  FAIR",IF(M53&gt;=0.025,"⚠  MARGINAL","✗  AVOID"))))</f>
        <v>✗  AVOID</v>
      </c>
    </row>
    <row r="54" customFormat="false" ht="15" hidden="false" customHeight="true" outlineLevel="0" collapsed="false">
      <c r="A54" s="218" t="n">
        <v>9.7</v>
      </c>
      <c r="B54" s="219" t="n">
        <f aca="false">IF(Calculator!$E$12="YES",IF(A54&lt;Calculator!$G$12,0,MIN(MIN(MOD(A54/Calculator!$F$12,1),1-MOD(A54/Calculator!$F$12,1)),ABS(MOD(A54/Calculator!$F$12,1)-0.5))),1)</f>
        <v>1</v>
      </c>
      <c r="C54" s="219" t="n">
        <f aca="false">IF(Calculator!$E$13="YES",IF(A54&lt;Calculator!$G$13,0,MIN(MIN(MOD(A54/Calculator!$F$13,1),1-MOD(A54/Calculator!$F$13,1)),ABS(MOD(A54/Calculator!$F$13,1)-0.5))),1)</f>
        <v>1</v>
      </c>
      <c r="D54" s="219" t="n">
        <f aca="false">IF(Calculator!$E$14="YES",IF(A54&lt;Calculator!$G$14,0,MIN(MIN(MOD(A54/Calculator!$F$14,1),1-MOD(A54/Calculator!$F$14,1)),ABS(MOD(A54/Calculator!$F$14,1)-0.5))),1)</f>
        <v>1</v>
      </c>
      <c r="E54" s="219" t="n">
        <f aca="false">IF(Calculator!$E$15="YES",IF(A54&lt;Calculator!$G$15,0,MIN(MIN(MOD(A54/Calculator!$F$15,1),1-MOD(A54/Calculator!$F$15,1)),ABS(MOD(A54/Calculator!$F$15,1)-0.5))),1)</f>
        <v>0</v>
      </c>
      <c r="F54" s="219" t="n">
        <f aca="false">IF(Calculator!$E$16="YES",IF(A54&lt;Calculator!$G$16,0,MIN(MIN(MOD(A54/Calculator!$F$16,1),1-MOD(A54/Calculator!$F$16,1)),ABS(MOD(A54/Calculator!$F$16,1)-0.5))),1)</f>
        <v>1</v>
      </c>
      <c r="G54" s="219" t="n">
        <f aca="false">IF(Calculator!$E$17="YES",IF(A54&lt;Calculator!$G$17,0,MIN(MIN(MOD(A54/Calculator!$F$17,1),1-MOD(A54/Calculator!$F$17,1)),ABS(MOD(A54/Calculator!$F$17,1)-0.5))),1)</f>
        <v>0.0351052631578948</v>
      </c>
      <c r="H54" s="219" t="n">
        <f aca="false">IF(Calculator!$E$18="YES",IF(A54&lt;Calculator!$G$18,0,MIN(MIN(MOD(A54/Calculator!$F$18,1),1-MOD(A54/Calculator!$F$18,1)),ABS(MOD(A54/Calculator!$F$18,1)-0.5))),1)</f>
        <v>1</v>
      </c>
      <c r="I54" s="219" t="n">
        <f aca="false">IF(Calculator!$E$19="YES",IF(A54&lt;Calculator!$G$19,0,MIN(MIN(MOD(A54/Calculator!$F$19,1),1-MOD(A54/Calculator!$F$19,1)),ABS(MOD(A54/Calculator!$F$19,1)-0.5))),1)</f>
        <v>1</v>
      </c>
      <c r="J54" s="219" t="n">
        <f aca="false">IF(Calculator!$E$20="YES",IF(A54&lt;Calculator!$G$20,0,MIN(MIN(MOD(A54/Calculator!$F$20,1),1-MOD(A54/Calculator!$F$20,1)),ABS(MOD(A54/Calculator!$F$20,1)-0.5))),1)</f>
        <v>1</v>
      </c>
      <c r="K54" s="219" t="n">
        <f aca="false">IF(Calculator!$E$21="YES",IF(A54&lt;Calculator!$G$21,0,MIN(MIN(MOD(A54/Calculator!$F$21,1),1-MOD(A54/Calculator!$F$21,1)),ABS(MOD(A54/Calculator!$F$21,1)-0.5))),1)</f>
        <v>0.0361754385964914</v>
      </c>
      <c r="L54" s="219" t="n">
        <f aca="false">IF(Calculator!$E$22="YES",IF(A54&lt;Calculator!$G$22,0,MIN(MIN(MOD(A54/Calculator!$F$22,1),1-MOD(A54/Calculator!$F$22,1)),ABS(MOD(A54/Calculator!$F$22,1)-0.5))),1)</f>
        <v>1</v>
      </c>
      <c r="M54" s="219" t="n">
        <f aca="false">MIN(B54:L54)</f>
        <v>0</v>
      </c>
      <c r="N54" s="219" t="n">
        <f aca="false">SUMPRODUCT(($M$7:$M$557&gt;M54)*1)+SUMPRODUCT(($M$7:$M$557=M54)*(ROW($M$7:$M$557)&lt;ROW(M54)))+1</f>
        <v>549</v>
      </c>
      <c r="O54" s="219" t="str">
        <f aca="false">IF(M54&gt;=0.2,"★★★ EXCELLENT",IF(M54&gt;=0.12,"★★  GOOD",IF(M54&gt;=0.07,"★  FAIR",IF(M54&gt;=0.025,"⚠  MARGINAL","✗  AVOID"))))</f>
        <v>✗  AVOID</v>
      </c>
    </row>
    <row r="55" customFormat="false" ht="15" hidden="false" customHeight="true" outlineLevel="0" collapsed="false">
      <c r="A55" s="216" t="n">
        <v>9.8</v>
      </c>
      <c r="B55" s="217" t="n">
        <f aca="false">IF(Calculator!$E$12="YES",IF(A55&lt;Calculator!$G$12,0,MIN(MIN(MOD(A55/Calculator!$F$12,1),1-MOD(A55/Calculator!$F$12,1)),ABS(MOD(A55/Calculator!$F$12,1)-0.5))),1)</f>
        <v>1</v>
      </c>
      <c r="C55" s="217" t="n">
        <f aca="false">IF(Calculator!$E$13="YES",IF(A55&lt;Calculator!$G$13,0,MIN(MIN(MOD(A55/Calculator!$F$13,1),1-MOD(A55/Calculator!$F$13,1)),ABS(MOD(A55/Calculator!$F$13,1)-0.5))),1)</f>
        <v>1</v>
      </c>
      <c r="D55" s="217" t="n">
        <f aca="false">IF(Calculator!$E$14="YES",IF(A55&lt;Calculator!$G$14,0,MIN(MIN(MOD(A55/Calculator!$F$14,1),1-MOD(A55/Calculator!$F$14,1)),ABS(MOD(A55/Calculator!$F$14,1)-0.5))),1)</f>
        <v>1</v>
      </c>
      <c r="E55" s="217" t="n">
        <f aca="false">IF(Calculator!$E$15="YES",IF(A55&lt;Calculator!$G$15,0,MIN(MIN(MOD(A55/Calculator!$F$15,1),1-MOD(A55/Calculator!$F$15,1)),ABS(MOD(A55/Calculator!$F$15,1)-0.5))),1)</f>
        <v>0</v>
      </c>
      <c r="F55" s="217" t="n">
        <f aca="false">IF(Calculator!$E$16="YES",IF(A55&lt;Calculator!$G$16,0,MIN(MIN(MOD(A55/Calculator!$F$16,1),1-MOD(A55/Calculator!$F$16,1)),ABS(MOD(A55/Calculator!$F$16,1)-0.5))),1)</f>
        <v>1</v>
      </c>
      <c r="G55" s="217" t="n">
        <f aca="false">IF(Calculator!$E$17="YES",IF(A55&lt;Calculator!$G$17,0,MIN(MIN(MOD(A55/Calculator!$F$17,1),1-MOD(A55/Calculator!$F$17,1)),ABS(MOD(A55/Calculator!$F$17,1)-0.5))),1)</f>
        <v>0.0251578947368419</v>
      </c>
      <c r="H55" s="217" t="n">
        <f aca="false">IF(Calculator!$E$18="YES",IF(A55&lt;Calculator!$G$18,0,MIN(MIN(MOD(A55/Calculator!$F$18,1),1-MOD(A55/Calculator!$F$18,1)),ABS(MOD(A55/Calculator!$F$18,1)-0.5))),1)</f>
        <v>1</v>
      </c>
      <c r="I55" s="217" t="n">
        <f aca="false">IF(Calculator!$E$19="YES",IF(A55&lt;Calculator!$G$19,0,MIN(MIN(MOD(A55/Calculator!$F$19,1),1-MOD(A55/Calculator!$F$19,1)),ABS(MOD(A55/Calculator!$F$19,1)-0.5))),1)</f>
        <v>1</v>
      </c>
      <c r="J55" s="217" t="n">
        <f aca="false">IF(Calculator!$E$20="YES",IF(A55&lt;Calculator!$G$20,0,MIN(MIN(MOD(A55/Calculator!$F$20,1),1-MOD(A55/Calculator!$F$20,1)),ABS(MOD(A55/Calculator!$F$20,1)-0.5))),1)</f>
        <v>1</v>
      </c>
      <c r="K55" s="217" t="n">
        <f aca="false">IF(Calculator!$E$21="YES",IF(A55&lt;Calculator!$G$21,0,MIN(MIN(MOD(A55/Calculator!$F$21,1),1-MOD(A55/Calculator!$F$21,1)),ABS(MOD(A55/Calculator!$F$21,1)-0.5))),1)</f>
        <v>0.0159298245614035</v>
      </c>
      <c r="L55" s="217" t="n">
        <f aca="false">IF(Calculator!$E$22="YES",IF(A55&lt;Calculator!$G$22,0,MIN(MIN(MOD(A55/Calculator!$F$22,1),1-MOD(A55/Calculator!$F$22,1)),ABS(MOD(A55/Calculator!$F$22,1)-0.5))),1)</f>
        <v>1</v>
      </c>
      <c r="M55" s="217" t="n">
        <f aca="false">MIN(B55:L55)</f>
        <v>0</v>
      </c>
      <c r="N55" s="217" t="n">
        <f aca="false">SUMPRODUCT(($M$7:$M$557&gt;M55)*1)+SUMPRODUCT(($M$7:$M$557=M55)*(ROW($M$7:$M$557)&lt;ROW(M55)))+1</f>
        <v>550</v>
      </c>
      <c r="O55" s="217" t="str">
        <f aca="false">IF(M55&gt;=0.2,"★★★ EXCELLENT",IF(M55&gt;=0.12,"★★  GOOD",IF(M55&gt;=0.07,"★  FAIR",IF(M55&gt;=0.025,"⚠  MARGINAL","✗  AVOID"))))</f>
        <v>✗  AVOID</v>
      </c>
    </row>
    <row r="56" customFormat="false" ht="15" hidden="false" customHeight="true" outlineLevel="0" collapsed="false">
      <c r="A56" s="218" t="n">
        <v>9.9</v>
      </c>
      <c r="B56" s="219" t="n">
        <f aca="false">IF(Calculator!$E$12="YES",IF(A56&lt;Calculator!$G$12,0,MIN(MIN(MOD(A56/Calculator!$F$12,1),1-MOD(A56/Calculator!$F$12,1)),ABS(MOD(A56/Calculator!$F$12,1)-0.5))),1)</f>
        <v>1</v>
      </c>
      <c r="C56" s="219" t="n">
        <f aca="false">IF(Calculator!$E$13="YES",IF(A56&lt;Calculator!$G$13,0,MIN(MIN(MOD(A56/Calculator!$F$13,1),1-MOD(A56/Calculator!$F$13,1)),ABS(MOD(A56/Calculator!$F$13,1)-0.5))),1)</f>
        <v>1</v>
      </c>
      <c r="D56" s="219" t="n">
        <f aca="false">IF(Calculator!$E$14="YES",IF(A56&lt;Calculator!$G$14,0,MIN(MIN(MOD(A56/Calculator!$F$14,1),1-MOD(A56/Calculator!$F$14,1)),ABS(MOD(A56/Calculator!$F$14,1)-0.5))),1)</f>
        <v>1</v>
      </c>
      <c r="E56" s="219" t="n">
        <f aca="false">IF(Calculator!$E$15="YES",IF(A56&lt;Calculator!$G$15,0,MIN(MIN(MOD(A56/Calculator!$F$15,1),1-MOD(A56/Calculator!$F$15,1)),ABS(MOD(A56/Calculator!$F$15,1)-0.5))),1)</f>
        <v>0</v>
      </c>
      <c r="F56" s="219" t="n">
        <f aca="false">IF(Calculator!$E$16="YES",IF(A56&lt;Calculator!$G$16,0,MIN(MIN(MOD(A56/Calculator!$F$16,1),1-MOD(A56/Calculator!$F$16,1)),ABS(MOD(A56/Calculator!$F$16,1)-0.5))),1)</f>
        <v>1</v>
      </c>
      <c r="G56" s="219" t="n">
        <f aca="false">IF(Calculator!$E$17="YES",IF(A56&lt;Calculator!$G$17,0,MIN(MIN(MOD(A56/Calculator!$F$17,1),1-MOD(A56/Calculator!$F$17,1)),ABS(MOD(A56/Calculator!$F$17,1)-0.5))),1)</f>
        <v>0.0152105263157893</v>
      </c>
      <c r="H56" s="219" t="n">
        <f aca="false">IF(Calculator!$E$18="YES",IF(A56&lt;Calculator!$G$18,0,MIN(MIN(MOD(A56/Calculator!$F$18,1),1-MOD(A56/Calculator!$F$18,1)),ABS(MOD(A56/Calculator!$F$18,1)-0.5))),1)</f>
        <v>1</v>
      </c>
      <c r="I56" s="219" t="n">
        <f aca="false">IF(Calculator!$E$19="YES",IF(A56&lt;Calculator!$G$19,0,MIN(MIN(MOD(A56/Calculator!$F$19,1),1-MOD(A56/Calculator!$F$19,1)),ABS(MOD(A56/Calculator!$F$19,1)-0.5))),1)</f>
        <v>1</v>
      </c>
      <c r="J56" s="219" t="n">
        <f aca="false">IF(Calculator!$E$20="YES",IF(A56&lt;Calculator!$G$20,0,MIN(MIN(MOD(A56/Calculator!$F$20,1),1-MOD(A56/Calculator!$F$20,1)),ABS(MOD(A56/Calculator!$F$20,1)-0.5))),1)</f>
        <v>1</v>
      </c>
      <c r="K56" s="219" t="n">
        <f aca="false">IF(Calculator!$E$21="YES",IF(A56&lt;Calculator!$G$21,0,MIN(MIN(MOD(A56/Calculator!$F$21,1),1-MOD(A56/Calculator!$F$21,1)),ABS(MOD(A56/Calculator!$F$21,1)-0.5))),1)</f>
        <v>0.00431578947368427</v>
      </c>
      <c r="L56" s="219" t="n">
        <f aca="false">IF(Calculator!$E$22="YES",IF(A56&lt;Calculator!$G$22,0,MIN(MIN(MOD(A56/Calculator!$F$22,1),1-MOD(A56/Calculator!$F$22,1)),ABS(MOD(A56/Calculator!$F$22,1)-0.5))),1)</f>
        <v>1</v>
      </c>
      <c r="M56" s="219" t="n">
        <f aca="false">MIN(B56:L56)</f>
        <v>0</v>
      </c>
      <c r="N56" s="219" t="n">
        <f aca="false">SUMPRODUCT(($M$7:$M$557&gt;M56)*1)+SUMPRODUCT(($M$7:$M$557=M56)*(ROW($M$7:$M$557)&lt;ROW(M56)))+1</f>
        <v>551</v>
      </c>
      <c r="O56" s="219" t="str">
        <f aca="false">IF(M56&gt;=0.2,"★★★ EXCELLENT",IF(M56&gt;=0.12,"★★  GOOD",IF(M56&gt;=0.07,"★  FAIR",IF(M56&gt;=0.025,"⚠  MARGINAL","✗  AVOID"))))</f>
        <v>✗  AVOID</v>
      </c>
    </row>
    <row r="57" customFormat="false" ht="15" hidden="false" customHeight="true" outlineLevel="0" collapsed="false">
      <c r="A57" s="216" t="n">
        <v>10</v>
      </c>
      <c r="B57" s="217" t="n">
        <f aca="false">IF(Calculator!$E$12="YES",IF(A57&lt;Calculator!$G$12,0,MIN(MIN(MOD(A57/Calculator!$F$12,1),1-MOD(A57/Calculator!$F$12,1)),ABS(MOD(A57/Calculator!$F$12,1)-0.5))),1)</f>
        <v>1</v>
      </c>
      <c r="C57" s="217" t="n">
        <f aca="false">IF(Calculator!$E$13="YES",IF(A57&lt;Calculator!$G$13,0,MIN(MIN(MOD(A57/Calculator!$F$13,1),1-MOD(A57/Calculator!$F$13,1)),ABS(MOD(A57/Calculator!$F$13,1)-0.5))),1)</f>
        <v>1</v>
      </c>
      <c r="D57" s="217" t="n">
        <f aca="false">IF(Calculator!$E$14="YES",IF(A57&lt;Calculator!$G$14,0,MIN(MIN(MOD(A57/Calculator!$F$14,1),1-MOD(A57/Calculator!$F$14,1)),ABS(MOD(A57/Calculator!$F$14,1)-0.5))),1)</f>
        <v>1</v>
      </c>
      <c r="E57" s="217" t="n">
        <f aca="false">IF(Calculator!$E$15="YES",IF(A57&lt;Calculator!$G$15,0,MIN(MIN(MOD(A57/Calculator!$F$15,1),1-MOD(A57/Calculator!$F$15,1)),ABS(MOD(A57/Calculator!$F$15,1)-0.5))),1)</f>
        <v>0.00175438596491229</v>
      </c>
      <c r="F57" s="217" t="n">
        <f aca="false">IF(Calculator!$E$16="YES",IF(A57&lt;Calculator!$G$16,0,MIN(MIN(MOD(A57/Calculator!$F$16,1),1-MOD(A57/Calculator!$F$16,1)),ABS(MOD(A57/Calculator!$F$16,1)-0.5))),1)</f>
        <v>1</v>
      </c>
      <c r="G57" s="217" t="n">
        <f aca="false">IF(Calculator!$E$17="YES",IF(A57&lt;Calculator!$G$17,0,MIN(MIN(MOD(A57/Calculator!$F$17,1),1-MOD(A57/Calculator!$F$17,1)),ABS(MOD(A57/Calculator!$F$17,1)-0.5))),1)</f>
        <v>0.00526315789473675</v>
      </c>
      <c r="H57" s="217" t="n">
        <f aca="false">IF(Calculator!$E$18="YES",IF(A57&lt;Calculator!$G$18,0,MIN(MIN(MOD(A57/Calculator!$F$18,1),1-MOD(A57/Calculator!$F$18,1)),ABS(MOD(A57/Calculator!$F$18,1)-0.5))),1)</f>
        <v>1</v>
      </c>
      <c r="I57" s="217" t="n">
        <f aca="false">IF(Calculator!$E$19="YES",IF(A57&lt;Calculator!$G$19,0,MIN(MIN(MOD(A57/Calculator!$F$19,1),1-MOD(A57/Calculator!$F$19,1)),ABS(MOD(A57/Calculator!$F$19,1)-0.5))),1)</f>
        <v>1</v>
      </c>
      <c r="J57" s="217" t="n">
        <f aca="false">IF(Calculator!$E$20="YES",IF(A57&lt;Calculator!$G$20,0,MIN(MIN(MOD(A57/Calculator!$F$20,1),1-MOD(A57/Calculator!$F$20,1)),ABS(MOD(A57/Calculator!$F$20,1)-0.5))),1)</f>
        <v>1</v>
      </c>
      <c r="K57" s="217" t="n">
        <f aca="false">IF(Calculator!$E$21="YES",IF(A57&lt;Calculator!$G$21,0,MIN(MIN(MOD(A57/Calculator!$F$21,1),1-MOD(A57/Calculator!$F$21,1)),ABS(MOD(A57/Calculator!$F$21,1)-0.5))),1)</f>
        <v>0.024561403508772</v>
      </c>
      <c r="L57" s="217" t="n">
        <f aca="false">IF(Calculator!$E$22="YES",IF(A57&lt;Calculator!$G$22,0,MIN(MIN(MOD(A57/Calculator!$F$22,1),1-MOD(A57/Calculator!$F$22,1)),ABS(MOD(A57/Calculator!$F$22,1)-0.5))),1)</f>
        <v>1</v>
      </c>
      <c r="M57" s="217" t="n">
        <f aca="false">MIN(B57:L57)</f>
        <v>0.00175438596491229</v>
      </c>
      <c r="N57" s="217" t="n">
        <f aca="false">SUMPRODUCT(($M$7:$M$557&gt;M57)*1)+SUMPRODUCT(($M$7:$M$557=M57)*(ROW($M$7:$M$557)&lt;ROW(M57)))+1</f>
        <v>489</v>
      </c>
      <c r="O57" s="217" t="str">
        <f aca="false">IF(M57&gt;=0.2,"★★★ EXCELLENT",IF(M57&gt;=0.12,"★★  GOOD",IF(M57&gt;=0.07,"★  FAIR",IF(M57&gt;=0.025,"⚠  MARGINAL","✗  AVOID"))))</f>
        <v>✗  AVOID</v>
      </c>
    </row>
    <row r="58" customFormat="false" ht="15" hidden="false" customHeight="true" outlineLevel="0" collapsed="false">
      <c r="A58" s="218" t="n">
        <v>10.1</v>
      </c>
      <c r="B58" s="219" t="n">
        <f aca="false">IF(Calculator!$E$12="YES",IF(A58&lt;Calculator!$G$12,0,MIN(MIN(MOD(A58/Calculator!$F$12,1),1-MOD(A58/Calculator!$F$12,1)),ABS(MOD(A58/Calculator!$F$12,1)-0.5))),1)</f>
        <v>1</v>
      </c>
      <c r="C58" s="219" t="n">
        <f aca="false">IF(Calculator!$E$13="YES",IF(A58&lt;Calculator!$G$13,0,MIN(MIN(MOD(A58/Calculator!$F$13,1),1-MOD(A58/Calculator!$F$13,1)),ABS(MOD(A58/Calculator!$F$13,1)-0.5))),1)</f>
        <v>1</v>
      </c>
      <c r="D58" s="219" t="n">
        <f aca="false">IF(Calculator!$E$14="YES",IF(A58&lt;Calculator!$G$14,0,MIN(MIN(MOD(A58/Calculator!$F$14,1),1-MOD(A58/Calculator!$F$14,1)),ABS(MOD(A58/Calculator!$F$14,1)-0.5))),1)</f>
        <v>1</v>
      </c>
      <c r="E58" s="219" t="n">
        <f aca="false">IF(Calculator!$E$15="YES",IF(A58&lt;Calculator!$G$15,0,MIN(MIN(MOD(A58/Calculator!$F$15,1),1-MOD(A58/Calculator!$F$15,1)),ABS(MOD(A58/Calculator!$F$15,1)-0.5))),1)</f>
        <v>0.00677192982456143</v>
      </c>
      <c r="F58" s="219" t="n">
        <f aca="false">IF(Calculator!$E$16="YES",IF(A58&lt;Calculator!$G$16,0,MIN(MIN(MOD(A58/Calculator!$F$16,1),1-MOD(A58/Calculator!$F$16,1)),ABS(MOD(A58/Calculator!$F$16,1)-0.5))),1)</f>
        <v>1</v>
      </c>
      <c r="G58" s="219" t="n">
        <f aca="false">IF(Calculator!$E$17="YES",IF(A58&lt;Calculator!$G$17,0,MIN(MIN(MOD(A58/Calculator!$F$17,1),1-MOD(A58/Calculator!$F$17,1)),ABS(MOD(A58/Calculator!$F$17,1)-0.5))),1)</f>
        <v>0.00468421052631585</v>
      </c>
      <c r="H58" s="219" t="n">
        <f aca="false">IF(Calculator!$E$18="YES",IF(A58&lt;Calculator!$G$18,0,MIN(MIN(MOD(A58/Calculator!$F$18,1),1-MOD(A58/Calculator!$F$18,1)),ABS(MOD(A58/Calculator!$F$18,1)-0.5))),1)</f>
        <v>1</v>
      </c>
      <c r="I58" s="219" t="n">
        <f aca="false">IF(Calculator!$E$19="YES",IF(A58&lt;Calculator!$G$19,0,MIN(MIN(MOD(A58/Calculator!$F$19,1),1-MOD(A58/Calculator!$F$19,1)),ABS(MOD(A58/Calculator!$F$19,1)-0.5))),1)</f>
        <v>1</v>
      </c>
      <c r="J58" s="219" t="n">
        <f aca="false">IF(Calculator!$E$20="YES",IF(A58&lt;Calculator!$G$20,0,MIN(MIN(MOD(A58/Calculator!$F$20,1),1-MOD(A58/Calculator!$F$20,1)),ABS(MOD(A58/Calculator!$F$20,1)-0.5))),1)</f>
        <v>1</v>
      </c>
      <c r="K58" s="219" t="n">
        <f aca="false">IF(Calculator!$E$21="YES",IF(A58&lt;Calculator!$G$21,0,MIN(MIN(MOD(A58/Calculator!$F$21,1),1-MOD(A58/Calculator!$F$21,1)),ABS(MOD(A58/Calculator!$F$21,1)-0.5))),1)</f>
        <v>0.0448070175438597</v>
      </c>
      <c r="L58" s="219" t="n">
        <f aca="false">IF(Calculator!$E$22="YES",IF(A58&lt;Calculator!$G$22,0,MIN(MIN(MOD(A58/Calculator!$F$22,1),1-MOD(A58/Calculator!$F$22,1)),ABS(MOD(A58/Calculator!$F$22,1)-0.5))),1)</f>
        <v>1</v>
      </c>
      <c r="M58" s="219" t="n">
        <f aca="false">MIN(B58:L58)</f>
        <v>0.00468421052631585</v>
      </c>
      <c r="N58" s="219" t="n">
        <f aca="false">SUMPRODUCT(($M$7:$M$557&gt;M58)*1)+SUMPRODUCT(($M$7:$M$557=M58)*(ROW($M$7:$M$557)&lt;ROW(M58)))+1</f>
        <v>474</v>
      </c>
      <c r="O58" s="219" t="str">
        <f aca="false">IF(M58&gt;=0.2,"★★★ EXCELLENT",IF(M58&gt;=0.12,"★★  GOOD",IF(M58&gt;=0.07,"★  FAIR",IF(M58&gt;=0.025,"⚠  MARGINAL","✗  AVOID"))))</f>
        <v>✗  AVOID</v>
      </c>
    </row>
    <row r="59" customFormat="false" ht="15" hidden="false" customHeight="true" outlineLevel="0" collapsed="false">
      <c r="A59" s="216" t="n">
        <v>10.2</v>
      </c>
      <c r="B59" s="217" t="n">
        <f aca="false">IF(Calculator!$E$12="YES",IF(A59&lt;Calculator!$G$12,0,MIN(MIN(MOD(A59/Calculator!$F$12,1),1-MOD(A59/Calculator!$F$12,1)),ABS(MOD(A59/Calculator!$F$12,1)-0.5))),1)</f>
        <v>1</v>
      </c>
      <c r="C59" s="217" t="n">
        <f aca="false">IF(Calculator!$E$13="YES",IF(A59&lt;Calculator!$G$13,0,MIN(MIN(MOD(A59/Calculator!$F$13,1),1-MOD(A59/Calculator!$F$13,1)),ABS(MOD(A59/Calculator!$F$13,1)-0.5))),1)</f>
        <v>1</v>
      </c>
      <c r="D59" s="217" t="n">
        <f aca="false">IF(Calculator!$E$14="YES",IF(A59&lt;Calculator!$G$14,0,MIN(MIN(MOD(A59/Calculator!$F$14,1),1-MOD(A59/Calculator!$F$14,1)),ABS(MOD(A59/Calculator!$F$14,1)-0.5))),1)</f>
        <v>1</v>
      </c>
      <c r="E59" s="217" t="n">
        <f aca="false">IF(Calculator!$E$15="YES",IF(A59&lt;Calculator!$G$15,0,MIN(MIN(MOD(A59/Calculator!$F$15,1),1-MOD(A59/Calculator!$F$15,1)),ABS(MOD(A59/Calculator!$F$15,1)-0.5))),1)</f>
        <v>0.0117894736842105</v>
      </c>
      <c r="F59" s="217" t="n">
        <f aca="false">IF(Calculator!$E$16="YES",IF(A59&lt;Calculator!$G$16,0,MIN(MIN(MOD(A59/Calculator!$F$16,1),1-MOD(A59/Calculator!$F$16,1)),ABS(MOD(A59/Calculator!$F$16,1)-0.5))),1)</f>
        <v>1</v>
      </c>
      <c r="G59" s="217" t="n">
        <f aca="false">IF(Calculator!$E$17="YES",IF(A59&lt;Calculator!$G$17,0,MIN(MIN(MOD(A59/Calculator!$F$17,1),1-MOD(A59/Calculator!$F$17,1)),ABS(MOD(A59/Calculator!$F$17,1)-0.5))),1)</f>
        <v>0.0146315789473683</v>
      </c>
      <c r="H59" s="217" t="n">
        <f aca="false">IF(Calculator!$E$18="YES",IF(A59&lt;Calculator!$G$18,0,MIN(MIN(MOD(A59/Calculator!$F$18,1),1-MOD(A59/Calculator!$F$18,1)),ABS(MOD(A59/Calculator!$F$18,1)-0.5))),1)</f>
        <v>1</v>
      </c>
      <c r="I59" s="217" t="n">
        <f aca="false">IF(Calculator!$E$19="YES",IF(A59&lt;Calculator!$G$19,0,MIN(MIN(MOD(A59/Calculator!$F$19,1),1-MOD(A59/Calculator!$F$19,1)),ABS(MOD(A59/Calculator!$F$19,1)-0.5))),1)</f>
        <v>1</v>
      </c>
      <c r="J59" s="217" t="n">
        <f aca="false">IF(Calculator!$E$20="YES",IF(A59&lt;Calculator!$G$20,0,MIN(MIN(MOD(A59/Calculator!$F$20,1),1-MOD(A59/Calculator!$F$20,1)),ABS(MOD(A59/Calculator!$F$20,1)-0.5))),1)</f>
        <v>1</v>
      </c>
      <c r="K59" s="217" t="n">
        <f aca="false">IF(Calculator!$E$21="YES",IF(A59&lt;Calculator!$G$21,0,MIN(MIN(MOD(A59/Calculator!$F$21,1),1-MOD(A59/Calculator!$F$21,1)),ABS(MOD(A59/Calculator!$F$21,1)-0.5))),1)</f>
        <v>0.065052631578947</v>
      </c>
      <c r="L59" s="217" t="n">
        <f aca="false">IF(Calculator!$E$22="YES",IF(A59&lt;Calculator!$G$22,0,MIN(MIN(MOD(A59/Calculator!$F$22,1),1-MOD(A59/Calculator!$F$22,1)),ABS(MOD(A59/Calculator!$F$22,1)-0.5))),1)</f>
        <v>1</v>
      </c>
      <c r="M59" s="217" t="n">
        <f aca="false">MIN(B59:L59)</f>
        <v>0.0117894736842105</v>
      </c>
      <c r="N59" s="217" t="n">
        <f aca="false">SUMPRODUCT(($M$7:$M$557&gt;M59)*1)+SUMPRODUCT(($M$7:$M$557=M59)*(ROW($M$7:$M$557)&lt;ROW(M59)))+1</f>
        <v>434</v>
      </c>
      <c r="O59" s="217" t="str">
        <f aca="false">IF(M59&gt;=0.2,"★★★ EXCELLENT",IF(M59&gt;=0.12,"★★  GOOD",IF(M59&gt;=0.07,"★  FAIR",IF(M59&gt;=0.025,"⚠  MARGINAL","✗  AVOID"))))</f>
        <v>✗  AVOID</v>
      </c>
    </row>
    <row r="60" customFormat="false" ht="15" hidden="false" customHeight="true" outlineLevel="0" collapsed="false">
      <c r="A60" s="218" t="n">
        <v>10.3</v>
      </c>
      <c r="B60" s="219" t="n">
        <f aca="false">IF(Calculator!$E$12="YES",IF(A60&lt;Calculator!$G$12,0,MIN(MIN(MOD(A60/Calculator!$F$12,1),1-MOD(A60/Calculator!$F$12,1)),ABS(MOD(A60/Calculator!$F$12,1)-0.5))),1)</f>
        <v>1</v>
      </c>
      <c r="C60" s="219" t="n">
        <f aca="false">IF(Calculator!$E$13="YES",IF(A60&lt;Calculator!$G$13,0,MIN(MIN(MOD(A60/Calculator!$F$13,1),1-MOD(A60/Calculator!$F$13,1)),ABS(MOD(A60/Calculator!$F$13,1)-0.5))),1)</f>
        <v>1</v>
      </c>
      <c r="D60" s="219" t="n">
        <f aca="false">IF(Calculator!$E$14="YES",IF(A60&lt;Calculator!$G$14,0,MIN(MIN(MOD(A60/Calculator!$F$14,1),1-MOD(A60/Calculator!$F$14,1)),ABS(MOD(A60/Calculator!$F$14,1)-0.5))),1)</f>
        <v>1</v>
      </c>
      <c r="E60" s="219" t="n">
        <f aca="false">IF(Calculator!$E$15="YES",IF(A60&lt;Calculator!$G$15,0,MIN(MIN(MOD(A60/Calculator!$F$15,1),1-MOD(A60/Calculator!$F$15,1)),ABS(MOD(A60/Calculator!$F$15,1)-0.5))),1)</f>
        <v>0.0168070175438597</v>
      </c>
      <c r="F60" s="219" t="n">
        <f aca="false">IF(Calculator!$E$16="YES",IF(A60&lt;Calculator!$G$16,0,MIN(MIN(MOD(A60/Calculator!$F$16,1),1-MOD(A60/Calculator!$F$16,1)),ABS(MOD(A60/Calculator!$F$16,1)-0.5))),1)</f>
        <v>1</v>
      </c>
      <c r="G60" s="219" t="n">
        <f aca="false">IF(Calculator!$E$17="YES",IF(A60&lt;Calculator!$G$17,0,MIN(MIN(MOD(A60/Calculator!$F$17,1),1-MOD(A60/Calculator!$F$17,1)),ABS(MOD(A60/Calculator!$F$17,1)-0.5))),1)</f>
        <v>0.0245789473684213</v>
      </c>
      <c r="H60" s="219" t="n">
        <f aca="false">IF(Calculator!$E$18="YES",IF(A60&lt;Calculator!$G$18,0,MIN(MIN(MOD(A60/Calculator!$F$18,1),1-MOD(A60/Calculator!$F$18,1)),ABS(MOD(A60/Calculator!$F$18,1)-0.5))),1)</f>
        <v>1</v>
      </c>
      <c r="I60" s="219" t="n">
        <f aca="false">IF(Calculator!$E$19="YES",IF(A60&lt;Calculator!$G$19,0,MIN(MIN(MOD(A60/Calculator!$F$19,1),1-MOD(A60/Calculator!$F$19,1)),ABS(MOD(A60/Calculator!$F$19,1)-0.5))),1)</f>
        <v>1</v>
      </c>
      <c r="J60" s="219" t="n">
        <f aca="false">IF(Calculator!$E$20="YES",IF(A60&lt;Calculator!$G$20,0,MIN(MIN(MOD(A60/Calculator!$F$20,1),1-MOD(A60/Calculator!$F$20,1)),ABS(MOD(A60/Calculator!$F$20,1)-0.5))),1)</f>
        <v>1</v>
      </c>
      <c r="K60" s="219" t="n">
        <f aca="false">IF(Calculator!$E$21="YES",IF(A60&lt;Calculator!$G$21,0,MIN(MIN(MOD(A60/Calculator!$F$21,1),1-MOD(A60/Calculator!$F$21,1)),ABS(MOD(A60/Calculator!$F$21,1)-0.5))),1)</f>
        <v>0.0852982456140352</v>
      </c>
      <c r="L60" s="219" t="n">
        <f aca="false">IF(Calculator!$E$22="YES",IF(A60&lt;Calculator!$G$22,0,MIN(MIN(MOD(A60/Calculator!$F$22,1),1-MOD(A60/Calculator!$F$22,1)),ABS(MOD(A60/Calculator!$F$22,1)-0.5))),1)</f>
        <v>1</v>
      </c>
      <c r="M60" s="219" t="n">
        <f aca="false">MIN(B60:L60)</f>
        <v>0.0168070175438597</v>
      </c>
      <c r="N60" s="219" t="n">
        <f aca="false">SUMPRODUCT(($M$7:$M$557&gt;M60)*1)+SUMPRODUCT(($M$7:$M$557=M60)*(ROW($M$7:$M$557)&lt;ROW(M60)))+1</f>
        <v>413</v>
      </c>
      <c r="O60" s="219" t="str">
        <f aca="false">IF(M60&gt;=0.2,"★★★ EXCELLENT",IF(M60&gt;=0.12,"★★  GOOD",IF(M60&gt;=0.07,"★  FAIR",IF(M60&gt;=0.025,"⚠  MARGINAL","✗  AVOID"))))</f>
        <v>✗  AVOID</v>
      </c>
    </row>
    <row r="61" customFormat="false" ht="15" hidden="false" customHeight="true" outlineLevel="0" collapsed="false">
      <c r="A61" s="216" t="n">
        <v>10.4</v>
      </c>
      <c r="B61" s="217" t="n">
        <f aca="false">IF(Calculator!$E$12="YES",IF(A61&lt;Calculator!$G$12,0,MIN(MIN(MOD(A61/Calculator!$F$12,1),1-MOD(A61/Calculator!$F$12,1)),ABS(MOD(A61/Calculator!$F$12,1)-0.5))),1)</f>
        <v>1</v>
      </c>
      <c r="C61" s="217" t="n">
        <f aca="false">IF(Calculator!$E$13="YES",IF(A61&lt;Calculator!$G$13,0,MIN(MIN(MOD(A61/Calculator!$F$13,1),1-MOD(A61/Calculator!$F$13,1)),ABS(MOD(A61/Calculator!$F$13,1)-0.5))),1)</f>
        <v>1</v>
      </c>
      <c r="D61" s="217" t="n">
        <f aca="false">IF(Calculator!$E$14="YES",IF(A61&lt;Calculator!$G$14,0,MIN(MIN(MOD(A61/Calculator!$F$14,1),1-MOD(A61/Calculator!$F$14,1)),ABS(MOD(A61/Calculator!$F$14,1)-0.5))),1)</f>
        <v>1</v>
      </c>
      <c r="E61" s="217" t="n">
        <f aca="false">IF(Calculator!$E$15="YES",IF(A61&lt;Calculator!$G$15,0,MIN(MIN(MOD(A61/Calculator!$F$15,1),1-MOD(A61/Calculator!$F$15,1)),ABS(MOD(A61/Calculator!$F$15,1)-0.5))),1)</f>
        <v>0.0218245614035087</v>
      </c>
      <c r="F61" s="217" t="n">
        <f aca="false">IF(Calculator!$E$16="YES",IF(A61&lt;Calculator!$G$16,0,MIN(MIN(MOD(A61/Calculator!$F$16,1),1-MOD(A61/Calculator!$F$16,1)),ABS(MOD(A61/Calculator!$F$16,1)-0.5))),1)</f>
        <v>1</v>
      </c>
      <c r="G61" s="217" t="n">
        <f aca="false">IF(Calculator!$E$17="YES",IF(A61&lt;Calculator!$G$17,0,MIN(MIN(MOD(A61/Calculator!$F$17,1),1-MOD(A61/Calculator!$F$17,1)),ABS(MOD(A61/Calculator!$F$17,1)-0.5))),1)</f>
        <v>0.0345263157894737</v>
      </c>
      <c r="H61" s="217" t="n">
        <f aca="false">IF(Calculator!$E$18="YES",IF(A61&lt;Calculator!$G$18,0,MIN(MIN(MOD(A61/Calculator!$F$18,1),1-MOD(A61/Calculator!$F$18,1)),ABS(MOD(A61/Calculator!$F$18,1)-0.5))),1)</f>
        <v>1</v>
      </c>
      <c r="I61" s="217" t="n">
        <f aca="false">IF(Calculator!$E$19="YES",IF(A61&lt;Calculator!$G$19,0,MIN(MIN(MOD(A61/Calculator!$F$19,1),1-MOD(A61/Calculator!$F$19,1)),ABS(MOD(A61/Calculator!$F$19,1)-0.5))),1)</f>
        <v>1</v>
      </c>
      <c r="J61" s="217" t="n">
        <f aca="false">IF(Calculator!$E$20="YES",IF(A61&lt;Calculator!$G$20,0,MIN(MIN(MOD(A61/Calculator!$F$20,1),1-MOD(A61/Calculator!$F$20,1)),ABS(MOD(A61/Calculator!$F$20,1)-0.5))),1)</f>
        <v>1</v>
      </c>
      <c r="K61" s="217" t="n">
        <f aca="false">IF(Calculator!$E$21="YES",IF(A61&lt;Calculator!$G$21,0,MIN(MIN(MOD(A61/Calculator!$F$21,1),1-MOD(A61/Calculator!$F$21,1)),ABS(MOD(A61/Calculator!$F$21,1)-0.5))),1)</f>
        <v>0.105543859649123</v>
      </c>
      <c r="L61" s="217" t="n">
        <f aca="false">IF(Calculator!$E$22="YES",IF(A61&lt;Calculator!$G$22,0,MIN(MIN(MOD(A61/Calculator!$F$22,1),1-MOD(A61/Calculator!$F$22,1)),ABS(MOD(A61/Calculator!$F$22,1)-0.5))),1)</f>
        <v>1</v>
      </c>
      <c r="M61" s="217" t="n">
        <f aca="false">MIN(B61:L61)</f>
        <v>0.0218245614035087</v>
      </c>
      <c r="N61" s="217" t="n">
        <f aca="false">SUMPRODUCT(($M$7:$M$557&gt;M61)*1)+SUMPRODUCT(($M$7:$M$557=M61)*(ROW($M$7:$M$557)&lt;ROW(M61)))+1</f>
        <v>394</v>
      </c>
      <c r="O61" s="217" t="str">
        <f aca="false">IF(M61&gt;=0.2,"★★★ EXCELLENT",IF(M61&gt;=0.12,"★★  GOOD",IF(M61&gt;=0.07,"★  FAIR",IF(M61&gt;=0.025,"⚠  MARGINAL","✗  AVOID"))))</f>
        <v>✗  AVOID</v>
      </c>
    </row>
    <row r="62" customFormat="false" ht="15" hidden="false" customHeight="true" outlineLevel="0" collapsed="false">
      <c r="A62" s="218" t="n">
        <v>10.5</v>
      </c>
      <c r="B62" s="219" t="n">
        <f aca="false">IF(Calculator!$E$12="YES",IF(A62&lt;Calculator!$G$12,0,MIN(MIN(MOD(A62/Calculator!$F$12,1),1-MOD(A62/Calculator!$F$12,1)),ABS(MOD(A62/Calculator!$F$12,1)-0.5))),1)</f>
        <v>1</v>
      </c>
      <c r="C62" s="219" t="n">
        <f aca="false">IF(Calculator!$E$13="YES",IF(A62&lt;Calculator!$G$13,0,MIN(MIN(MOD(A62/Calculator!$F$13,1),1-MOD(A62/Calculator!$F$13,1)),ABS(MOD(A62/Calculator!$F$13,1)-0.5))),1)</f>
        <v>1</v>
      </c>
      <c r="D62" s="219" t="n">
        <f aca="false">IF(Calculator!$E$14="YES",IF(A62&lt;Calculator!$G$14,0,MIN(MIN(MOD(A62/Calculator!$F$14,1),1-MOD(A62/Calculator!$F$14,1)),ABS(MOD(A62/Calculator!$F$14,1)-0.5))),1)</f>
        <v>1</v>
      </c>
      <c r="E62" s="219" t="n">
        <f aca="false">IF(Calculator!$E$15="YES",IF(A62&lt;Calculator!$G$15,0,MIN(MIN(MOD(A62/Calculator!$F$15,1),1-MOD(A62/Calculator!$F$15,1)),ABS(MOD(A62/Calculator!$F$15,1)-0.5))),1)</f>
        <v>0.0268421052631579</v>
      </c>
      <c r="F62" s="219" t="n">
        <f aca="false">IF(Calculator!$E$16="YES",IF(A62&lt;Calculator!$G$16,0,MIN(MIN(MOD(A62/Calculator!$F$16,1),1-MOD(A62/Calculator!$F$16,1)),ABS(MOD(A62/Calculator!$F$16,1)-0.5))),1)</f>
        <v>1</v>
      </c>
      <c r="G62" s="219" t="n">
        <f aca="false">IF(Calculator!$E$17="YES",IF(A62&lt;Calculator!$G$17,0,MIN(MIN(MOD(A62/Calculator!$F$17,1),1-MOD(A62/Calculator!$F$17,1)),ABS(MOD(A62/Calculator!$F$17,1)-0.5))),1)</f>
        <v>0.0444736842105264</v>
      </c>
      <c r="H62" s="219" t="n">
        <f aca="false">IF(Calculator!$E$18="YES",IF(A62&lt;Calculator!$G$18,0,MIN(MIN(MOD(A62/Calculator!$F$18,1),1-MOD(A62/Calculator!$F$18,1)),ABS(MOD(A62/Calculator!$F$18,1)-0.5))),1)</f>
        <v>1</v>
      </c>
      <c r="I62" s="219" t="n">
        <f aca="false">IF(Calculator!$E$19="YES",IF(A62&lt;Calculator!$G$19,0,MIN(MIN(MOD(A62/Calculator!$F$19,1),1-MOD(A62/Calculator!$F$19,1)),ABS(MOD(A62/Calculator!$F$19,1)-0.5))),1)</f>
        <v>1</v>
      </c>
      <c r="J62" s="219" t="n">
        <f aca="false">IF(Calculator!$E$20="YES",IF(A62&lt;Calculator!$G$20,0,MIN(MIN(MOD(A62/Calculator!$F$20,1),1-MOD(A62/Calculator!$F$20,1)),ABS(MOD(A62/Calculator!$F$20,1)-0.5))),1)</f>
        <v>1</v>
      </c>
      <c r="K62" s="219" t="n">
        <f aca="false">IF(Calculator!$E$21="YES",IF(A62&lt;Calculator!$G$21,0,MIN(MIN(MOD(A62/Calculator!$F$21,1),1-MOD(A62/Calculator!$F$21,1)),ABS(MOD(A62/Calculator!$F$21,1)-0.5))),1)</f>
        <v>0.125789473684211</v>
      </c>
      <c r="L62" s="219" t="n">
        <f aca="false">IF(Calculator!$E$22="YES",IF(A62&lt;Calculator!$G$22,0,MIN(MIN(MOD(A62/Calculator!$F$22,1),1-MOD(A62/Calculator!$F$22,1)),ABS(MOD(A62/Calculator!$F$22,1)-0.5))),1)</f>
        <v>1</v>
      </c>
      <c r="M62" s="219" t="n">
        <f aca="false">MIN(B62:L62)</f>
        <v>0.0268421052631579</v>
      </c>
      <c r="N62" s="219" t="n">
        <f aca="false">SUMPRODUCT(($M$7:$M$557&gt;M62)*1)+SUMPRODUCT(($M$7:$M$557=M62)*(ROW($M$7:$M$557)&lt;ROW(M62)))+1</f>
        <v>376</v>
      </c>
      <c r="O62" s="219" t="str">
        <f aca="false">IF(M62&gt;=0.2,"★★★ EXCELLENT",IF(M62&gt;=0.12,"★★  GOOD",IF(M62&gt;=0.07,"★  FAIR",IF(M62&gt;=0.025,"⚠  MARGINAL","✗  AVOID"))))</f>
        <v>⚠  MARGINAL</v>
      </c>
    </row>
    <row r="63" customFormat="false" ht="15" hidden="false" customHeight="true" outlineLevel="0" collapsed="false">
      <c r="A63" s="216" t="n">
        <v>10.6</v>
      </c>
      <c r="B63" s="217" t="n">
        <f aca="false">IF(Calculator!$E$12="YES",IF(A63&lt;Calculator!$G$12,0,MIN(MIN(MOD(A63/Calculator!$F$12,1),1-MOD(A63/Calculator!$F$12,1)),ABS(MOD(A63/Calculator!$F$12,1)-0.5))),1)</f>
        <v>1</v>
      </c>
      <c r="C63" s="217" t="n">
        <f aca="false">IF(Calculator!$E$13="YES",IF(A63&lt;Calculator!$G$13,0,MIN(MIN(MOD(A63/Calculator!$F$13,1),1-MOD(A63/Calculator!$F$13,1)),ABS(MOD(A63/Calculator!$F$13,1)-0.5))),1)</f>
        <v>1</v>
      </c>
      <c r="D63" s="217" t="n">
        <f aca="false">IF(Calculator!$E$14="YES",IF(A63&lt;Calculator!$G$14,0,MIN(MIN(MOD(A63/Calculator!$F$14,1),1-MOD(A63/Calculator!$F$14,1)),ABS(MOD(A63/Calculator!$F$14,1)-0.5))),1)</f>
        <v>1</v>
      </c>
      <c r="E63" s="217" t="n">
        <f aca="false">IF(Calculator!$E$15="YES",IF(A63&lt;Calculator!$G$15,0,MIN(MIN(MOD(A63/Calculator!$F$15,1),1-MOD(A63/Calculator!$F$15,1)),ABS(MOD(A63/Calculator!$F$15,1)-0.5))),1)</f>
        <v>0.031859649122807</v>
      </c>
      <c r="F63" s="217" t="n">
        <f aca="false">IF(Calculator!$E$16="YES",IF(A63&lt;Calculator!$G$16,0,MIN(MIN(MOD(A63/Calculator!$F$16,1),1-MOD(A63/Calculator!$F$16,1)),ABS(MOD(A63/Calculator!$F$16,1)-0.5))),1)</f>
        <v>1</v>
      </c>
      <c r="G63" s="217" t="n">
        <f aca="false">IF(Calculator!$E$17="YES",IF(A63&lt;Calculator!$G$17,0,MIN(MIN(MOD(A63/Calculator!$F$17,1),1-MOD(A63/Calculator!$F$17,1)),ABS(MOD(A63/Calculator!$F$17,1)-0.5))),1)</f>
        <v>0.0544210526315789</v>
      </c>
      <c r="H63" s="217" t="n">
        <f aca="false">IF(Calculator!$E$18="YES",IF(A63&lt;Calculator!$G$18,0,MIN(MIN(MOD(A63/Calculator!$F$18,1),1-MOD(A63/Calculator!$F$18,1)),ABS(MOD(A63/Calculator!$F$18,1)-0.5))),1)</f>
        <v>1</v>
      </c>
      <c r="I63" s="217" t="n">
        <f aca="false">IF(Calculator!$E$19="YES",IF(A63&lt;Calculator!$G$19,0,MIN(MIN(MOD(A63/Calculator!$F$19,1),1-MOD(A63/Calculator!$F$19,1)),ABS(MOD(A63/Calculator!$F$19,1)-0.5))),1)</f>
        <v>1</v>
      </c>
      <c r="J63" s="217" t="n">
        <f aca="false">IF(Calculator!$E$20="YES",IF(A63&lt;Calculator!$G$20,0,MIN(MIN(MOD(A63/Calculator!$F$20,1),1-MOD(A63/Calculator!$F$20,1)),ABS(MOD(A63/Calculator!$F$20,1)-0.5))),1)</f>
        <v>1</v>
      </c>
      <c r="K63" s="217" t="n">
        <f aca="false">IF(Calculator!$E$21="YES",IF(A63&lt;Calculator!$G$21,0,MIN(MIN(MOD(A63/Calculator!$F$21,1),1-MOD(A63/Calculator!$F$21,1)),ABS(MOD(A63/Calculator!$F$21,1)-0.5))),1)</f>
        <v>0.146035087719298</v>
      </c>
      <c r="L63" s="217" t="n">
        <f aca="false">IF(Calculator!$E$22="YES",IF(A63&lt;Calculator!$G$22,0,MIN(MIN(MOD(A63/Calculator!$F$22,1),1-MOD(A63/Calculator!$F$22,1)),ABS(MOD(A63/Calculator!$F$22,1)-0.5))),1)</f>
        <v>1</v>
      </c>
      <c r="M63" s="217" t="n">
        <f aca="false">MIN(B63:L63)</f>
        <v>0.031859649122807</v>
      </c>
      <c r="N63" s="217" t="n">
        <f aca="false">SUMPRODUCT(($M$7:$M$557&gt;M63)*1)+SUMPRODUCT(($M$7:$M$557=M63)*(ROW($M$7:$M$557)&lt;ROW(M63)))+1</f>
        <v>355</v>
      </c>
      <c r="O63" s="217" t="str">
        <f aca="false">IF(M63&gt;=0.2,"★★★ EXCELLENT",IF(M63&gt;=0.12,"★★  GOOD",IF(M63&gt;=0.07,"★  FAIR",IF(M63&gt;=0.025,"⚠  MARGINAL","✗  AVOID"))))</f>
        <v>⚠  MARGINAL</v>
      </c>
    </row>
    <row r="64" customFormat="false" ht="15" hidden="false" customHeight="true" outlineLevel="0" collapsed="false">
      <c r="A64" s="218" t="n">
        <v>10.7</v>
      </c>
      <c r="B64" s="219" t="n">
        <f aca="false">IF(Calculator!$E$12="YES",IF(A64&lt;Calculator!$G$12,0,MIN(MIN(MOD(A64/Calculator!$F$12,1),1-MOD(A64/Calculator!$F$12,1)),ABS(MOD(A64/Calculator!$F$12,1)-0.5))),1)</f>
        <v>1</v>
      </c>
      <c r="C64" s="219" t="n">
        <f aca="false">IF(Calculator!$E$13="YES",IF(A64&lt;Calculator!$G$13,0,MIN(MIN(MOD(A64/Calculator!$F$13,1),1-MOD(A64/Calculator!$F$13,1)),ABS(MOD(A64/Calculator!$F$13,1)-0.5))),1)</f>
        <v>1</v>
      </c>
      <c r="D64" s="219" t="n">
        <f aca="false">IF(Calculator!$E$14="YES",IF(A64&lt;Calculator!$G$14,0,MIN(MIN(MOD(A64/Calculator!$F$14,1),1-MOD(A64/Calculator!$F$14,1)),ABS(MOD(A64/Calculator!$F$14,1)-0.5))),1)</f>
        <v>1</v>
      </c>
      <c r="E64" s="219" t="n">
        <f aca="false">IF(Calculator!$E$15="YES",IF(A64&lt;Calculator!$G$15,0,MIN(MIN(MOD(A64/Calculator!$F$15,1),1-MOD(A64/Calculator!$F$15,1)),ABS(MOD(A64/Calculator!$F$15,1)-0.5))),1)</f>
        <v>0.0368771929824561</v>
      </c>
      <c r="F64" s="219" t="n">
        <f aca="false">IF(Calculator!$E$16="YES",IF(A64&lt;Calculator!$G$16,0,MIN(MIN(MOD(A64/Calculator!$F$16,1),1-MOD(A64/Calculator!$F$16,1)),ABS(MOD(A64/Calculator!$F$16,1)-0.5))),1)</f>
        <v>1</v>
      </c>
      <c r="G64" s="219" t="n">
        <f aca="false">IF(Calculator!$E$17="YES",IF(A64&lt;Calculator!$G$17,0,MIN(MIN(MOD(A64/Calculator!$F$17,1),1-MOD(A64/Calculator!$F$17,1)),ABS(MOD(A64/Calculator!$F$17,1)-0.5))),1)</f>
        <v>0.0643684210526316</v>
      </c>
      <c r="H64" s="219" t="n">
        <f aca="false">IF(Calculator!$E$18="YES",IF(A64&lt;Calculator!$G$18,0,MIN(MIN(MOD(A64/Calculator!$F$18,1),1-MOD(A64/Calculator!$F$18,1)),ABS(MOD(A64/Calculator!$F$18,1)-0.5))),1)</f>
        <v>1</v>
      </c>
      <c r="I64" s="219" t="n">
        <f aca="false">IF(Calculator!$E$19="YES",IF(A64&lt;Calculator!$G$19,0,MIN(MIN(MOD(A64/Calculator!$F$19,1),1-MOD(A64/Calculator!$F$19,1)),ABS(MOD(A64/Calculator!$F$19,1)-0.5))),1)</f>
        <v>1</v>
      </c>
      <c r="J64" s="219" t="n">
        <f aca="false">IF(Calculator!$E$20="YES",IF(A64&lt;Calculator!$G$20,0,MIN(MIN(MOD(A64/Calculator!$F$20,1),1-MOD(A64/Calculator!$F$20,1)),ABS(MOD(A64/Calculator!$F$20,1)-0.5))),1)</f>
        <v>1</v>
      </c>
      <c r="K64" s="219" t="n">
        <f aca="false">IF(Calculator!$E$21="YES",IF(A64&lt;Calculator!$G$21,0,MIN(MIN(MOD(A64/Calculator!$F$21,1),1-MOD(A64/Calculator!$F$21,1)),ABS(MOD(A64/Calculator!$F$21,1)-0.5))),1)</f>
        <v>0.166280701754386</v>
      </c>
      <c r="L64" s="219" t="n">
        <f aca="false">IF(Calculator!$E$22="YES",IF(A64&lt;Calculator!$G$22,0,MIN(MIN(MOD(A64/Calculator!$F$22,1),1-MOD(A64/Calculator!$F$22,1)),ABS(MOD(A64/Calculator!$F$22,1)-0.5))),1)</f>
        <v>1</v>
      </c>
      <c r="M64" s="219" t="n">
        <f aca="false">MIN(B64:L64)</f>
        <v>0.0368771929824561</v>
      </c>
      <c r="N64" s="219" t="n">
        <f aca="false">SUMPRODUCT(($M$7:$M$557&gt;M64)*1)+SUMPRODUCT(($M$7:$M$557=M64)*(ROW($M$7:$M$557)&lt;ROW(M64)))+1</f>
        <v>336</v>
      </c>
      <c r="O64" s="219" t="str">
        <f aca="false">IF(M64&gt;=0.2,"★★★ EXCELLENT",IF(M64&gt;=0.12,"★★  GOOD",IF(M64&gt;=0.07,"★  FAIR",IF(M64&gt;=0.025,"⚠  MARGINAL","✗  AVOID"))))</f>
        <v>⚠  MARGINAL</v>
      </c>
    </row>
    <row r="65" customFormat="false" ht="15" hidden="false" customHeight="true" outlineLevel="0" collapsed="false">
      <c r="A65" s="216" t="n">
        <v>10.8</v>
      </c>
      <c r="B65" s="217" t="n">
        <f aca="false">IF(Calculator!$E$12="YES",IF(A65&lt;Calculator!$G$12,0,MIN(MIN(MOD(A65/Calculator!$F$12,1),1-MOD(A65/Calculator!$F$12,1)),ABS(MOD(A65/Calculator!$F$12,1)-0.5))),1)</f>
        <v>1</v>
      </c>
      <c r="C65" s="217" t="n">
        <f aca="false">IF(Calculator!$E$13="YES",IF(A65&lt;Calculator!$G$13,0,MIN(MIN(MOD(A65/Calculator!$F$13,1),1-MOD(A65/Calculator!$F$13,1)),ABS(MOD(A65/Calculator!$F$13,1)-0.5))),1)</f>
        <v>1</v>
      </c>
      <c r="D65" s="217" t="n">
        <f aca="false">IF(Calculator!$E$14="YES",IF(A65&lt;Calculator!$G$14,0,MIN(MIN(MOD(A65/Calculator!$F$14,1),1-MOD(A65/Calculator!$F$14,1)),ABS(MOD(A65/Calculator!$F$14,1)-0.5))),1)</f>
        <v>1</v>
      </c>
      <c r="E65" s="217" t="n">
        <f aca="false">IF(Calculator!$E$15="YES",IF(A65&lt;Calculator!$G$15,0,MIN(MIN(MOD(A65/Calculator!$F$15,1),1-MOD(A65/Calculator!$F$15,1)),ABS(MOD(A65/Calculator!$F$15,1)-0.5))),1)</f>
        <v>0.0418947368421053</v>
      </c>
      <c r="F65" s="217" t="n">
        <f aca="false">IF(Calculator!$E$16="YES",IF(A65&lt;Calculator!$G$16,0,MIN(MIN(MOD(A65/Calculator!$F$16,1),1-MOD(A65/Calculator!$F$16,1)),ABS(MOD(A65/Calculator!$F$16,1)-0.5))),1)</f>
        <v>1</v>
      </c>
      <c r="G65" s="217" t="n">
        <f aca="false">IF(Calculator!$E$17="YES",IF(A65&lt;Calculator!$G$17,0,MIN(MIN(MOD(A65/Calculator!$F$17,1),1-MOD(A65/Calculator!$F$17,1)),ABS(MOD(A65/Calculator!$F$17,1)-0.5))),1)</f>
        <v>0.0743157894736843</v>
      </c>
      <c r="H65" s="217" t="n">
        <f aca="false">IF(Calculator!$E$18="YES",IF(A65&lt;Calculator!$G$18,0,MIN(MIN(MOD(A65/Calculator!$F$18,1),1-MOD(A65/Calculator!$F$18,1)),ABS(MOD(A65/Calculator!$F$18,1)-0.5))),1)</f>
        <v>1</v>
      </c>
      <c r="I65" s="217" t="n">
        <f aca="false">IF(Calculator!$E$19="YES",IF(A65&lt;Calculator!$G$19,0,MIN(MIN(MOD(A65/Calculator!$F$19,1),1-MOD(A65/Calculator!$F$19,1)),ABS(MOD(A65/Calculator!$F$19,1)-0.5))),1)</f>
        <v>1</v>
      </c>
      <c r="J65" s="217" t="n">
        <f aca="false">IF(Calculator!$E$20="YES",IF(A65&lt;Calculator!$G$20,0,MIN(MIN(MOD(A65/Calculator!$F$20,1),1-MOD(A65/Calculator!$F$20,1)),ABS(MOD(A65/Calculator!$F$20,1)-0.5))),1)</f>
        <v>1</v>
      </c>
      <c r="K65" s="217" t="n">
        <f aca="false">IF(Calculator!$E$21="YES",IF(A65&lt;Calculator!$G$21,0,MIN(MIN(MOD(A65/Calculator!$F$21,1),1-MOD(A65/Calculator!$F$21,1)),ABS(MOD(A65/Calculator!$F$21,1)-0.5))),1)</f>
        <v>0.186526315789474</v>
      </c>
      <c r="L65" s="217" t="n">
        <f aca="false">IF(Calculator!$E$22="YES",IF(A65&lt;Calculator!$G$22,0,MIN(MIN(MOD(A65/Calculator!$F$22,1),1-MOD(A65/Calculator!$F$22,1)),ABS(MOD(A65/Calculator!$F$22,1)-0.5))),1)</f>
        <v>1</v>
      </c>
      <c r="M65" s="217" t="n">
        <f aca="false">MIN(B65:L65)</f>
        <v>0.0418947368421053</v>
      </c>
      <c r="N65" s="217" t="n">
        <f aca="false">SUMPRODUCT(($M$7:$M$557&gt;M65)*1)+SUMPRODUCT(($M$7:$M$557=M65)*(ROW($M$7:$M$557)&lt;ROW(M65)))+1</f>
        <v>315</v>
      </c>
      <c r="O65" s="217" t="str">
        <f aca="false">IF(M65&gt;=0.2,"★★★ EXCELLENT",IF(M65&gt;=0.12,"★★  GOOD",IF(M65&gt;=0.07,"★  FAIR",IF(M65&gt;=0.025,"⚠  MARGINAL","✗  AVOID"))))</f>
        <v>⚠  MARGINAL</v>
      </c>
    </row>
    <row r="66" customFormat="false" ht="15" hidden="false" customHeight="true" outlineLevel="0" collapsed="false">
      <c r="A66" s="218" t="n">
        <v>10.9</v>
      </c>
      <c r="B66" s="219" t="n">
        <f aca="false">IF(Calculator!$E$12="YES",IF(A66&lt;Calculator!$G$12,0,MIN(MIN(MOD(A66/Calculator!$F$12,1),1-MOD(A66/Calculator!$F$12,1)),ABS(MOD(A66/Calculator!$F$12,1)-0.5))),1)</f>
        <v>1</v>
      </c>
      <c r="C66" s="219" t="n">
        <f aca="false">IF(Calculator!$E$13="YES",IF(A66&lt;Calculator!$G$13,0,MIN(MIN(MOD(A66/Calculator!$F$13,1),1-MOD(A66/Calculator!$F$13,1)),ABS(MOD(A66/Calculator!$F$13,1)-0.5))),1)</f>
        <v>1</v>
      </c>
      <c r="D66" s="219" t="n">
        <f aca="false">IF(Calculator!$E$14="YES",IF(A66&lt;Calculator!$G$14,0,MIN(MIN(MOD(A66/Calculator!$F$14,1),1-MOD(A66/Calculator!$F$14,1)),ABS(MOD(A66/Calculator!$F$14,1)-0.5))),1)</f>
        <v>1</v>
      </c>
      <c r="E66" s="219" t="n">
        <f aca="false">IF(Calculator!$E$15="YES",IF(A66&lt;Calculator!$G$15,0,MIN(MIN(MOD(A66/Calculator!$F$15,1),1-MOD(A66/Calculator!$F$15,1)),ABS(MOD(A66/Calculator!$F$15,1)-0.5))),1)</f>
        <v>0.0469122807017545</v>
      </c>
      <c r="F66" s="219" t="n">
        <f aca="false">IF(Calculator!$E$16="YES",IF(A66&lt;Calculator!$G$16,0,MIN(MIN(MOD(A66/Calculator!$F$16,1),1-MOD(A66/Calculator!$F$16,1)),ABS(MOD(A66/Calculator!$F$16,1)-0.5))),1)</f>
        <v>1</v>
      </c>
      <c r="G66" s="219" t="n">
        <f aca="false">IF(Calculator!$E$17="YES",IF(A66&lt;Calculator!$G$17,0,MIN(MIN(MOD(A66/Calculator!$F$17,1),1-MOD(A66/Calculator!$F$17,1)),ABS(MOD(A66/Calculator!$F$17,1)-0.5))),1)</f>
        <v>0.084263157894737</v>
      </c>
      <c r="H66" s="219" t="n">
        <f aca="false">IF(Calculator!$E$18="YES",IF(A66&lt;Calculator!$G$18,0,MIN(MIN(MOD(A66/Calculator!$F$18,1),1-MOD(A66/Calculator!$F$18,1)),ABS(MOD(A66/Calculator!$F$18,1)-0.5))),1)</f>
        <v>1</v>
      </c>
      <c r="I66" s="219" t="n">
        <f aca="false">IF(Calculator!$E$19="YES",IF(A66&lt;Calculator!$G$19,0,MIN(MIN(MOD(A66/Calculator!$F$19,1),1-MOD(A66/Calculator!$F$19,1)),ABS(MOD(A66/Calculator!$F$19,1)-0.5))),1)</f>
        <v>1</v>
      </c>
      <c r="J66" s="219" t="n">
        <f aca="false">IF(Calculator!$E$20="YES",IF(A66&lt;Calculator!$G$20,0,MIN(MIN(MOD(A66/Calculator!$F$20,1),1-MOD(A66/Calculator!$F$20,1)),ABS(MOD(A66/Calculator!$F$20,1)-0.5))),1)</f>
        <v>1</v>
      </c>
      <c r="K66" s="219" t="n">
        <f aca="false">IF(Calculator!$E$21="YES",IF(A66&lt;Calculator!$G$21,0,MIN(MIN(MOD(A66/Calculator!$F$21,1),1-MOD(A66/Calculator!$F$21,1)),ABS(MOD(A66/Calculator!$F$21,1)-0.5))),1)</f>
        <v>0.206771929824562</v>
      </c>
      <c r="L66" s="219" t="n">
        <f aca="false">IF(Calculator!$E$22="YES",IF(A66&lt;Calculator!$G$22,0,MIN(MIN(MOD(A66/Calculator!$F$22,1),1-MOD(A66/Calculator!$F$22,1)),ABS(MOD(A66/Calculator!$F$22,1)-0.5))),1)</f>
        <v>1</v>
      </c>
      <c r="M66" s="219" t="n">
        <f aca="false">MIN(B66:L66)</f>
        <v>0.0469122807017545</v>
      </c>
      <c r="N66" s="219" t="n">
        <f aca="false">SUMPRODUCT(($M$7:$M$557&gt;M66)*1)+SUMPRODUCT(($M$7:$M$557=M66)*(ROW($M$7:$M$557)&lt;ROW(M66)))+1</f>
        <v>297</v>
      </c>
      <c r="O66" s="219" t="str">
        <f aca="false">IF(M66&gt;=0.2,"★★★ EXCELLENT",IF(M66&gt;=0.12,"★★  GOOD",IF(M66&gt;=0.07,"★  FAIR",IF(M66&gt;=0.025,"⚠  MARGINAL","✗  AVOID"))))</f>
        <v>⚠  MARGINAL</v>
      </c>
    </row>
    <row r="67" customFormat="false" ht="15" hidden="false" customHeight="true" outlineLevel="0" collapsed="false">
      <c r="A67" s="216" t="n">
        <v>11</v>
      </c>
      <c r="B67" s="217" t="n">
        <f aca="false">IF(Calculator!$E$12="YES",IF(A67&lt;Calculator!$G$12,0,MIN(MIN(MOD(A67/Calculator!$F$12,1),1-MOD(A67/Calculator!$F$12,1)),ABS(MOD(A67/Calculator!$F$12,1)-0.5))),1)</f>
        <v>1</v>
      </c>
      <c r="C67" s="217" t="n">
        <f aca="false">IF(Calculator!$E$13="YES",IF(A67&lt;Calculator!$G$13,0,MIN(MIN(MOD(A67/Calculator!$F$13,1),1-MOD(A67/Calculator!$F$13,1)),ABS(MOD(A67/Calculator!$F$13,1)-0.5))),1)</f>
        <v>1</v>
      </c>
      <c r="D67" s="217" t="n">
        <f aca="false">IF(Calculator!$E$14="YES",IF(A67&lt;Calculator!$G$14,0,MIN(MIN(MOD(A67/Calculator!$F$14,1),1-MOD(A67/Calculator!$F$14,1)),ABS(MOD(A67/Calculator!$F$14,1)-0.5))),1)</f>
        <v>1</v>
      </c>
      <c r="E67" s="217" t="n">
        <f aca="false">IF(Calculator!$E$15="YES",IF(A67&lt;Calculator!$G$15,0,MIN(MIN(MOD(A67/Calculator!$F$15,1),1-MOD(A67/Calculator!$F$15,1)),ABS(MOD(A67/Calculator!$F$15,1)-0.5))),1)</f>
        <v>0.0519298245614035</v>
      </c>
      <c r="F67" s="217" t="n">
        <f aca="false">IF(Calculator!$E$16="YES",IF(A67&lt;Calculator!$G$16,0,MIN(MIN(MOD(A67/Calculator!$F$16,1),1-MOD(A67/Calculator!$F$16,1)),ABS(MOD(A67/Calculator!$F$16,1)-0.5))),1)</f>
        <v>1</v>
      </c>
      <c r="G67" s="217" t="n">
        <f aca="false">IF(Calculator!$E$17="YES",IF(A67&lt;Calculator!$G$17,0,MIN(MIN(MOD(A67/Calculator!$F$17,1),1-MOD(A67/Calculator!$F$17,1)),ABS(MOD(A67/Calculator!$F$17,1)-0.5))),1)</f>
        <v>0.0942105263157895</v>
      </c>
      <c r="H67" s="217" t="n">
        <f aca="false">IF(Calculator!$E$18="YES",IF(A67&lt;Calculator!$G$18,0,MIN(MIN(MOD(A67/Calculator!$F$18,1),1-MOD(A67/Calculator!$F$18,1)),ABS(MOD(A67/Calculator!$F$18,1)-0.5))),1)</f>
        <v>1</v>
      </c>
      <c r="I67" s="217" t="n">
        <f aca="false">IF(Calculator!$E$19="YES",IF(A67&lt;Calculator!$G$19,0,MIN(MIN(MOD(A67/Calculator!$F$19,1),1-MOD(A67/Calculator!$F$19,1)),ABS(MOD(A67/Calculator!$F$19,1)-0.5))),1)</f>
        <v>1</v>
      </c>
      <c r="J67" s="217" t="n">
        <f aca="false">IF(Calculator!$E$20="YES",IF(A67&lt;Calculator!$G$20,0,MIN(MIN(MOD(A67/Calculator!$F$20,1),1-MOD(A67/Calculator!$F$20,1)),ABS(MOD(A67/Calculator!$F$20,1)-0.5))),1)</f>
        <v>1</v>
      </c>
      <c r="K67" s="217" t="n">
        <f aca="false">IF(Calculator!$E$21="YES",IF(A67&lt;Calculator!$G$21,0,MIN(MIN(MOD(A67/Calculator!$F$21,1),1-MOD(A67/Calculator!$F$21,1)),ABS(MOD(A67/Calculator!$F$21,1)-0.5))),1)</f>
        <v>0.227017543859649</v>
      </c>
      <c r="L67" s="217" t="n">
        <f aca="false">IF(Calculator!$E$22="YES",IF(A67&lt;Calculator!$G$22,0,MIN(MIN(MOD(A67/Calculator!$F$22,1),1-MOD(A67/Calculator!$F$22,1)),ABS(MOD(A67/Calculator!$F$22,1)-0.5))),1)</f>
        <v>1</v>
      </c>
      <c r="M67" s="217" t="n">
        <f aca="false">MIN(B67:L67)</f>
        <v>0.0519298245614035</v>
      </c>
      <c r="N67" s="217" t="n">
        <f aca="false">SUMPRODUCT(($M$7:$M$557&gt;M67)*1)+SUMPRODUCT(($M$7:$M$557=M67)*(ROW($M$7:$M$557)&lt;ROW(M67)))+1</f>
        <v>274</v>
      </c>
      <c r="O67" s="217" t="str">
        <f aca="false">IF(M67&gt;=0.2,"★★★ EXCELLENT",IF(M67&gt;=0.12,"★★  GOOD",IF(M67&gt;=0.07,"★  FAIR",IF(M67&gt;=0.025,"⚠  MARGINAL","✗  AVOID"))))</f>
        <v>⚠  MARGINAL</v>
      </c>
    </row>
    <row r="68" customFormat="false" ht="15" hidden="false" customHeight="true" outlineLevel="0" collapsed="false">
      <c r="A68" s="218" t="n">
        <v>11.1</v>
      </c>
      <c r="B68" s="219" t="n">
        <f aca="false">IF(Calculator!$E$12="YES",IF(A68&lt;Calculator!$G$12,0,MIN(MIN(MOD(A68/Calculator!$F$12,1),1-MOD(A68/Calculator!$F$12,1)),ABS(MOD(A68/Calculator!$F$12,1)-0.5))),1)</f>
        <v>1</v>
      </c>
      <c r="C68" s="219" t="n">
        <f aca="false">IF(Calculator!$E$13="YES",IF(A68&lt;Calculator!$G$13,0,MIN(MIN(MOD(A68/Calculator!$F$13,1),1-MOD(A68/Calculator!$F$13,1)),ABS(MOD(A68/Calculator!$F$13,1)-0.5))),1)</f>
        <v>1</v>
      </c>
      <c r="D68" s="219" t="n">
        <f aca="false">IF(Calculator!$E$14="YES",IF(A68&lt;Calculator!$G$14,0,MIN(MIN(MOD(A68/Calculator!$F$14,1),1-MOD(A68/Calculator!$F$14,1)),ABS(MOD(A68/Calculator!$F$14,1)-0.5))),1)</f>
        <v>1</v>
      </c>
      <c r="E68" s="219" t="n">
        <f aca="false">IF(Calculator!$E$15="YES",IF(A68&lt;Calculator!$G$15,0,MIN(MIN(MOD(A68/Calculator!$F$15,1),1-MOD(A68/Calculator!$F$15,1)),ABS(MOD(A68/Calculator!$F$15,1)-0.5))),1)</f>
        <v>0.0569473684210526</v>
      </c>
      <c r="F68" s="219" t="n">
        <f aca="false">IF(Calculator!$E$16="YES",IF(A68&lt;Calculator!$G$16,0,MIN(MIN(MOD(A68/Calculator!$F$16,1),1-MOD(A68/Calculator!$F$16,1)),ABS(MOD(A68/Calculator!$F$16,1)-0.5))),1)</f>
        <v>1</v>
      </c>
      <c r="G68" s="219" t="n">
        <f aca="false">IF(Calculator!$E$17="YES",IF(A68&lt;Calculator!$G$17,0,MIN(MIN(MOD(A68/Calculator!$F$17,1),1-MOD(A68/Calculator!$F$17,1)),ABS(MOD(A68/Calculator!$F$17,1)-0.5))),1)</f>
        <v>0.104157894736842</v>
      </c>
      <c r="H68" s="219" t="n">
        <f aca="false">IF(Calculator!$E$18="YES",IF(A68&lt;Calculator!$G$18,0,MIN(MIN(MOD(A68/Calculator!$F$18,1),1-MOD(A68/Calculator!$F$18,1)),ABS(MOD(A68/Calculator!$F$18,1)-0.5))),1)</f>
        <v>1</v>
      </c>
      <c r="I68" s="219" t="n">
        <f aca="false">IF(Calculator!$E$19="YES",IF(A68&lt;Calculator!$G$19,0,MIN(MIN(MOD(A68/Calculator!$F$19,1),1-MOD(A68/Calculator!$F$19,1)),ABS(MOD(A68/Calculator!$F$19,1)-0.5))),1)</f>
        <v>1</v>
      </c>
      <c r="J68" s="219" t="n">
        <f aca="false">IF(Calculator!$E$20="YES",IF(A68&lt;Calculator!$G$20,0,MIN(MIN(MOD(A68/Calculator!$F$20,1),1-MOD(A68/Calculator!$F$20,1)),ABS(MOD(A68/Calculator!$F$20,1)-0.5))),1)</f>
        <v>1</v>
      </c>
      <c r="K68" s="219" t="n">
        <f aca="false">IF(Calculator!$E$21="YES",IF(A68&lt;Calculator!$G$21,0,MIN(MIN(MOD(A68/Calculator!$F$21,1),1-MOD(A68/Calculator!$F$21,1)),ABS(MOD(A68/Calculator!$F$21,1)-0.5))),1)</f>
        <v>0.247263157894737</v>
      </c>
      <c r="L68" s="219" t="n">
        <f aca="false">IF(Calculator!$E$22="YES",IF(A68&lt;Calculator!$G$22,0,MIN(MIN(MOD(A68/Calculator!$F$22,1),1-MOD(A68/Calculator!$F$22,1)),ABS(MOD(A68/Calculator!$F$22,1)-0.5))),1)</f>
        <v>1</v>
      </c>
      <c r="M68" s="219" t="n">
        <f aca="false">MIN(B68:L68)</f>
        <v>0.0569473684210526</v>
      </c>
      <c r="N68" s="219" t="n">
        <f aca="false">SUMPRODUCT(($M$7:$M$557&gt;M68)*1)+SUMPRODUCT(($M$7:$M$557=M68)*(ROW($M$7:$M$557)&lt;ROW(M68)))+1</f>
        <v>256</v>
      </c>
      <c r="O68" s="219" t="str">
        <f aca="false">IF(M68&gt;=0.2,"★★★ EXCELLENT",IF(M68&gt;=0.12,"★★  GOOD",IF(M68&gt;=0.07,"★  FAIR",IF(M68&gt;=0.025,"⚠  MARGINAL","✗  AVOID"))))</f>
        <v>⚠  MARGINAL</v>
      </c>
    </row>
    <row r="69" customFormat="false" ht="15" hidden="false" customHeight="true" outlineLevel="0" collapsed="false">
      <c r="A69" s="216" t="n">
        <v>11.2</v>
      </c>
      <c r="B69" s="217" t="n">
        <f aca="false">IF(Calculator!$E$12="YES",IF(A69&lt;Calculator!$G$12,0,MIN(MIN(MOD(A69/Calculator!$F$12,1),1-MOD(A69/Calculator!$F$12,1)),ABS(MOD(A69/Calculator!$F$12,1)-0.5))),1)</f>
        <v>1</v>
      </c>
      <c r="C69" s="217" t="n">
        <f aca="false">IF(Calculator!$E$13="YES",IF(A69&lt;Calculator!$G$13,0,MIN(MIN(MOD(A69/Calculator!$F$13,1),1-MOD(A69/Calculator!$F$13,1)),ABS(MOD(A69/Calculator!$F$13,1)-0.5))),1)</f>
        <v>1</v>
      </c>
      <c r="D69" s="217" t="n">
        <f aca="false">IF(Calculator!$E$14="YES",IF(A69&lt;Calculator!$G$14,0,MIN(MIN(MOD(A69/Calculator!$F$14,1),1-MOD(A69/Calculator!$F$14,1)),ABS(MOD(A69/Calculator!$F$14,1)-0.5))),1)</f>
        <v>1</v>
      </c>
      <c r="E69" s="217" t="n">
        <f aca="false">IF(Calculator!$E$15="YES",IF(A69&lt;Calculator!$G$15,0,MIN(MIN(MOD(A69/Calculator!$F$15,1),1-MOD(A69/Calculator!$F$15,1)),ABS(MOD(A69/Calculator!$F$15,1)-0.5))),1)</f>
        <v>0.0619649122807017</v>
      </c>
      <c r="F69" s="217" t="n">
        <f aca="false">IF(Calculator!$E$16="YES",IF(A69&lt;Calculator!$G$16,0,MIN(MIN(MOD(A69/Calculator!$F$16,1),1-MOD(A69/Calculator!$F$16,1)),ABS(MOD(A69/Calculator!$F$16,1)-0.5))),1)</f>
        <v>1</v>
      </c>
      <c r="G69" s="217" t="n">
        <f aca="false">IF(Calculator!$E$17="YES",IF(A69&lt;Calculator!$G$17,0,MIN(MIN(MOD(A69/Calculator!$F$17,1),1-MOD(A69/Calculator!$F$17,1)),ABS(MOD(A69/Calculator!$F$17,1)-0.5))),1)</f>
        <v>0.114105263157895</v>
      </c>
      <c r="H69" s="217" t="n">
        <f aca="false">IF(Calculator!$E$18="YES",IF(A69&lt;Calculator!$G$18,0,MIN(MIN(MOD(A69/Calculator!$F$18,1),1-MOD(A69/Calculator!$F$18,1)),ABS(MOD(A69/Calculator!$F$18,1)-0.5))),1)</f>
        <v>1</v>
      </c>
      <c r="I69" s="217" t="n">
        <f aca="false">IF(Calculator!$E$19="YES",IF(A69&lt;Calculator!$G$19,0,MIN(MIN(MOD(A69/Calculator!$F$19,1),1-MOD(A69/Calculator!$F$19,1)),ABS(MOD(A69/Calculator!$F$19,1)-0.5))),1)</f>
        <v>1</v>
      </c>
      <c r="J69" s="217" t="n">
        <f aca="false">IF(Calculator!$E$20="YES",IF(A69&lt;Calculator!$G$20,0,MIN(MIN(MOD(A69/Calculator!$F$20,1),1-MOD(A69/Calculator!$F$20,1)),ABS(MOD(A69/Calculator!$F$20,1)-0.5))),1)</f>
        <v>1</v>
      </c>
      <c r="K69" s="217" t="n">
        <f aca="false">IF(Calculator!$E$21="YES",IF(A69&lt;Calculator!$G$21,0,MIN(MIN(MOD(A69/Calculator!$F$21,1),1-MOD(A69/Calculator!$F$21,1)),ABS(MOD(A69/Calculator!$F$21,1)-0.5))),1)</f>
        <v>0.232491228070176</v>
      </c>
      <c r="L69" s="217" t="n">
        <f aca="false">IF(Calculator!$E$22="YES",IF(A69&lt;Calculator!$G$22,0,MIN(MIN(MOD(A69/Calculator!$F$22,1),1-MOD(A69/Calculator!$F$22,1)),ABS(MOD(A69/Calculator!$F$22,1)-0.5))),1)</f>
        <v>1</v>
      </c>
      <c r="M69" s="217" t="n">
        <f aca="false">MIN(B69:L69)</f>
        <v>0.0619649122807017</v>
      </c>
      <c r="N69" s="217" t="n">
        <f aca="false">SUMPRODUCT(($M$7:$M$557&gt;M69)*1)+SUMPRODUCT(($M$7:$M$557=M69)*(ROW($M$7:$M$557)&lt;ROW(M69)))+1</f>
        <v>234</v>
      </c>
      <c r="O69" s="217" t="str">
        <f aca="false">IF(M69&gt;=0.2,"★★★ EXCELLENT",IF(M69&gt;=0.12,"★★  GOOD",IF(M69&gt;=0.07,"★  FAIR",IF(M69&gt;=0.025,"⚠  MARGINAL","✗  AVOID"))))</f>
        <v>⚠  MARGINAL</v>
      </c>
    </row>
    <row r="70" customFormat="false" ht="15" hidden="false" customHeight="true" outlineLevel="0" collapsed="false">
      <c r="A70" s="218" t="n">
        <v>11.3</v>
      </c>
      <c r="B70" s="219" t="n">
        <f aca="false">IF(Calculator!$E$12="YES",IF(A70&lt;Calculator!$G$12,0,MIN(MIN(MOD(A70/Calculator!$F$12,1),1-MOD(A70/Calculator!$F$12,1)),ABS(MOD(A70/Calculator!$F$12,1)-0.5))),1)</f>
        <v>1</v>
      </c>
      <c r="C70" s="219" t="n">
        <f aca="false">IF(Calculator!$E$13="YES",IF(A70&lt;Calculator!$G$13,0,MIN(MIN(MOD(A70/Calculator!$F$13,1),1-MOD(A70/Calculator!$F$13,1)),ABS(MOD(A70/Calculator!$F$13,1)-0.5))),1)</f>
        <v>1</v>
      </c>
      <c r="D70" s="219" t="n">
        <f aca="false">IF(Calculator!$E$14="YES",IF(A70&lt;Calculator!$G$14,0,MIN(MIN(MOD(A70/Calculator!$F$14,1),1-MOD(A70/Calculator!$F$14,1)),ABS(MOD(A70/Calculator!$F$14,1)-0.5))),1)</f>
        <v>1</v>
      </c>
      <c r="E70" s="219" t="n">
        <f aca="false">IF(Calculator!$E$15="YES",IF(A70&lt;Calculator!$G$15,0,MIN(MIN(MOD(A70/Calculator!$F$15,1),1-MOD(A70/Calculator!$F$15,1)),ABS(MOD(A70/Calculator!$F$15,1)-0.5))),1)</f>
        <v>0.0669824561403509</v>
      </c>
      <c r="F70" s="219" t="n">
        <f aca="false">IF(Calculator!$E$16="YES",IF(A70&lt;Calculator!$G$16,0,MIN(MIN(MOD(A70/Calculator!$F$16,1),1-MOD(A70/Calculator!$F$16,1)),ABS(MOD(A70/Calculator!$F$16,1)-0.5))),1)</f>
        <v>1</v>
      </c>
      <c r="G70" s="219" t="n">
        <f aca="false">IF(Calculator!$E$17="YES",IF(A70&lt;Calculator!$G$17,0,MIN(MIN(MOD(A70/Calculator!$F$17,1),1-MOD(A70/Calculator!$F$17,1)),ABS(MOD(A70/Calculator!$F$17,1)-0.5))),1)</f>
        <v>0.124052631578948</v>
      </c>
      <c r="H70" s="219" t="n">
        <f aca="false">IF(Calculator!$E$18="YES",IF(A70&lt;Calculator!$G$18,0,MIN(MIN(MOD(A70/Calculator!$F$18,1),1-MOD(A70/Calculator!$F$18,1)),ABS(MOD(A70/Calculator!$F$18,1)-0.5))),1)</f>
        <v>1</v>
      </c>
      <c r="I70" s="219" t="n">
        <f aca="false">IF(Calculator!$E$19="YES",IF(A70&lt;Calculator!$G$19,0,MIN(MIN(MOD(A70/Calculator!$F$19,1),1-MOD(A70/Calculator!$F$19,1)),ABS(MOD(A70/Calculator!$F$19,1)-0.5))),1)</f>
        <v>1</v>
      </c>
      <c r="J70" s="219" t="n">
        <f aca="false">IF(Calculator!$E$20="YES",IF(A70&lt;Calculator!$G$20,0,MIN(MIN(MOD(A70/Calculator!$F$20,1),1-MOD(A70/Calculator!$F$20,1)),ABS(MOD(A70/Calculator!$F$20,1)-0.5))),1)</f>
        <v>1</v>
      </c>
      <c r="K70" s="219" t="n">
        <f aca="false">IF(Calculator!$E$21="YES",IF(A70&lt;Calculator!$G$21,0,MIN(MIN(MOD(A70/Calculator!$F$21,1),1-MOD(A70/Calculator!$F$21,1)),ABS(MOD(A70/Calculator!$F$21,1)-0.5))),1)</f>
        <v>0.212245614035087</v>
      </c>
      <c r="L70" s="219" t="n">
        <f aca="false">IF(Calculator!$E$22="YES",IF(A70&lt;Calculator!$G$22,0,MIN(MIN(MOD(A70/Calculator!$F$22,1),1-MOD(A70/Calculator!$F$22,1)),ABS(MOD(A70/Calculator!$F$22,1)-0.5))),1)</f>
        <v>1</v>
      </c>
      <c r="M70" s="219" t="n">
        <f aca="false">MIN(B70:L70)</f>
        <v>0.0669824561403509</v>
      </c>
      <c r="N70" s="219" t="n">
        <f aca="false">SUMPRODUCT(($M$7:$M$557&gt;M70)*1)+SUMPRODUCT(($M$7:$M$557=M70)*(ROW($M$7:$M$557)&lt;ROW(M70)))+1</f>
        <v>218</v>
      </c>
      <c r="O70" s="219" t="str">
        <f aca="false">IF(M70&gt;=0.2,"★★★ EXCELLENT",IF(M70&gt;=0.12,"★★  GOOD",IF(M70&gt;=0.07,"★  FAIR",IF(M70&gt;=0.025,"⚠  MARGINAL","✗  AVOID"))))</f>
        <v>⚠  MARGINAL</v>
      </c>
    </row>
    <row r="71" customFormat="false" ht="15" hidden="false" customHeight="true" outlineLevel="0" collapsed="false">
      <c r="A71" s="216" t="n">
        <v>11.4</v>
      </c>
      <c r="B71" s="217" t="n">
        <f aca="false">IF(Calculator!$E$12="YES",IF(A71&lt;Calculator!$G$12,0,MIN(MIN(MOD(A71/Calculator!$F$12,1),1-MOD(A71/Calculator!$F$12,1)),ABS(MOD(A71/Calculator!$F$12,1)-0.5))),1)</f>
        <v>1</v>
      </c>
      <c r="C71" s="217" t="n">
        <f aca="false">IF(Calculator!$E$13="YES",IF(A71&lt;Calculator!$G$13,0,MIN(MIN(MOD(A71/Calculator!$F$13,1),1-MOD(A71/Calculator!$F$13,1)),ABS(MOD(A71/Calculator!$F$13,1)-0.5))),1)</f>
        <v>1</v>
      </c>
      <c r="D71" s="217" t="n">
        <f aca="false">IF(Calculator!$E$14="YES",IF(A71&lt;Calculator!$G$14,0,MIN(MIN(MOD(A71/Calculator!$F$14,1),1-MOD(A71/Calculator!$F$14,1)),ABS(MOD(A71/Calculator!$F$14,1)-0.5))),1)</f>
        <v>1</v>
      </c>
      <c r="E71" s="217" t="n">
        <f aca="false">IF(Calculator!$E$15="YES",IF(A71&lt;Calculator!$G$15,0,MIN(MIN(MOD(A71/Calculator!$F$15,1),1-MOD(A71/Calculator!$F$15,1)),ABS(MOD(A71/Calculator!$F$15,1)-0.5))),1)</f>
        <v>0.0720000000000001</v>
      </c>
      <c r="F71" s="217" t="n">
        <f aca="false">IF(Calculator!$E$16="YES",IF(A71&lt;Calculator!$G$16,0,MIN(MIN(MOD(A71/Calculator!$F$16,1),1-MOD(A71/Calculator!$F$16,1)),ABS(MOD(A71/Calculator!$F$16,1)-0.5))),1)</f>
        <v>1</v>
      </c>
      <c r="G71" s="217" t="n">
        <f aca="false">IF(Calculator!$E$17="YES",IF(A71&lt;Calculator!$G$17,0,MIN(MIN(MOD(A71/Calculator!$F$17,1),1-MOD(A71/Calculator!$F$17,1)),ABS(MOD(A71/Calculator!$F$17,1)-0.5))),1)</f>
        <v>0.134</v>
      </c>
      <c r="H71" s="217" t="n">
        <f aca="false">IF(Calculator!$E$18="YES",IF(A71&lt;Calculator!$G$18,0,MIN(MIN(MOD(A71/Calculator!$F$18,1),1-MOD(A71/Calculator!$F$18,1)),ABS(MOD(A71/Calculator!$F$18,1)-0.5))),1)</f>
        <v>1</v>
      </c>
      <c r="I71" s="217" t="n">
        <f aca="false">IF(Calculator!$E$19="YES",IF(A71&lt;Calculator!$G$19,0,MIN(MIN(MOD(A71/Calculator!$F$19,1),1-MOD(A71/Calculator!$F$19,1)),ABS(MOD(A71/Calculator!$F$19,1)-0.5))),1)</f>
        <v>1</v>
      </c>
      <c r="J71" s="217" t="n">
        <f aca="false">IF(Calculator!$E$20="YES",IF(A71&lt;Calculator!$G$20,0,MIN(MIN(MOD(A71/Calculator!$F$20,1),1-MOD(A71/Calculator!$F$20,1)),ABS(MOD(A71/Calculator!$F$20,1)-0.5))),1)</f>
        <v>1</v>
      </c>
      <c r="K71" s="217" t="n">
        <f aca="false">IF(Calculator!$E$21="YES",IF(A71&lt;Calculator!$G$21,0,MIN(MIN(MOD(A71/Calculator!$F$21,1),1-MOD(A71/Calculator!$F$21,1)),ABS(MOD(A71/Calculator!$F$21,1)-0.5))),1)</f>
        <v>0.192</v>
      </c>
      <c r="L71" s="217" t="n">
        <f aca="false">IF(Calculator!$E$22="YES",IF(A71&lt;Calculator!$G$22,0,MIN(MIN(MOD(A71/Calculator!$F$22,1),1-MOD(A71/Calculator!$F$22,1)),ABS(MOD(A71/Calculator!$F$22,1)-0.5))),1)</f>
        <v>1</v>
      </c>
      <c r="M71" s="217" t="n">
        <f aca="false">MIN(B71:L71)</f>
        <v>0.0720000000000001</v>
      </c>
      <c r="N71" s="217" t="n">
        <f aca="false">SUMPRODUCT(($M$7:$M$557&gt;M71)*1)+SUMPRODUCT(($M$7:$M$557=M71)*(ROW($M$7:$M$557)&lt;ROW(M71)))+1</f>
        <v>196</v>
      </c>
      <c r="O71" s="217" t="str">
        <f aca="false">IF(M71&gt;=0.2,"★★★ EXCELLENT",IF(M71&gt;=0.12,"★★  GOOD",IF(M71&gt;=0.07,"★  FAIR",IF(M71&gt;=0.025,"⚠  MARGINAL","✗  AVOID"))))</f>
        <v>★  FAIR</v>
      </c>
    </row>
    <row r="72" customFormat="false" ht="15" hidden="false" customHeight="true" outlineLevel="0" collapsed="false">
      <c r="A72" s="218" t="n">
        <v>11.5</v>
      </c>
      <c r="B72" s="219" t="n">
        <f aca="false">IF(Calculator!$E$12="YES",IF(A72&lt;Calculator!$G$12,0,MIN(MIN(MOD(A72/Calculator!$F$12,1),1-MOD(A72/Calculator!$F$12,1)),ABS(MOD(A72/Calculator!$F$12,1)-0.5))),1)</f>
        <v>1</v>
      </c>
      <c r="C72" s="219" t="n">
        <f aca="false">IF(Calculator!$E$13="YES",IF(A72&lt;Calculator!$G$13,0,MIN(MIN(MOD(A72/Calculator!$F$13,1),1-MOD(A72/Calculator!$F$13,1)),ABS(MOD(A72/Calculator!$F$13,1)-0.5))),1)</f>
        <v>1</v>
      </c>
      <c r="D72" s="219" t="n">
        <f aca="false">IF(Calculator!$E$14="YES",IF(A72&lt;Calculator!$G$14,0,MIN(MIN(MOD(A72/Calculator!$F$14,1),1-MOD(A72/Calculator!$F$14,1)),ABS(MOD(A72/Calculator!$F$14,1)-0.5))),1)</f>
        <v>1</v>
      </c>
      <c r="E72" s="219" t="n">
        <f aca="false">IF(Calculator!$E$15="YES",IF(A72&lt;Calculator!$G$15,0,MIN(MIN(MOD(A72/Calculator!$F$15,1),1-MOD(A72/Calculator!$F$15,1)),ABS(MOD(A72/Calculator!$F$15,1)-0.5))),1)</f>
        <v>0.0770175438596491</v>
      </c>
      <c r="F72" s="219" t="n">
        <f aca="false">IF(Calculator!$E$16="YES",IF(A72&lt;Calculator!$G$16,0,MIN(MIN(MOD(A72/Calculator!$F$16,1),1-MOD(A72/Calculator!$F$16,1)),ABS(MOD(A72/Calculator!$F$16,1)-0.5))),1)</f>
        <v>1</v>
      </c>
      <c r="G72" s="219" t="n">
        <f aca="false">IF(Calculator!$E$17="YES",IF(A72&lt;Calculator!$G$17,0,MIN(MIN(MOD(A72/Calculator!$F$17,1),1-MOD(A72/Calculator!$F$17,1)),ABS(MOD(A72/Calculator!$F$17,1)-0.5))),1)</f>
        <v>0.143947368421053</v>
      </c>
      <c r="H72" s="219" t="n">
        <f aca="false">IF(Calculator!$E$18="YES",IF(A72&lt;Calculator!$G$18,0,MIN(MIN(MOD(A72/Calculator!$F$18,1),1-MOD(A72/Calculator!$F$18,1)),ABS(MOD(A72/Calculator!$F$18,1)-0.5))),1)</f>
        <v>1</v>
      </c>
      <c r="I72" s="219" t="n">
        <f aca="false">IF(Calculator!$E$19="YES",IF(A72&lt;Calculator!$G$19,0,MIN(MIN(MOD(A72/Calculator!$F$19,1),1-MOD(A72/Calculator!$F$19,1)),ABS(MOD(A72/Calculator!$F$19,1)-0.5))),1)</f>
        <v>1</v>
      </c>
      <c r="J72" s="219" t="n">
        <f aca="false">IF(Calculator!$E$20="YES",IF(A72&lt;Calculator!$G$20,0,MIN(MIN(MOD(A72/Calculator!$F$20,1),1-MOD(A72/Calculator!$F$20,1)),ABS(MOD(A72/Calculator!$F$20,1)-0.5))),1)</f>
        <v>1</v>
      </c>
      <c r="K72" s="219" t="n">
        <f aca="false">IF(Calculator!$E$21="YES",IF(A72&lt;Calculator!$G$21,0,MIN(MIN(MOD(A72/Calculator!$F$21,1),1-MOD(A72/Calculator!$F$21,1)),ABS(MOD(A72/Calculator!$F$21,1)-0.5))),1)</f>
        <v>0.171754385964912</v>
      </c>
      <c r="L72" s="219" t="n">
        <f aca="false">IF(Calculator!$E$22="YES",IF(A72&lt;Calculator!$G$22,0,MIN(MIN(MOD(A72/Calculator!$F$22,1),1-MOD(A72/Calculator!$F$22,1)),ABS(MOD(A72/Calculator!$F$22,1)-0.5))),1)</f>
        <v>1</v>
      </c>
      <c r="M72" s="219" t="n">
        <f aca="false">MIN(B72:L72)</f>
        <v>0.0770175438596491</v>
      </c>
      <c r="N72" s="219" t="n">
        <f aca="false">SUMPRODUCT(($M$7:$M$557&gt;M72)*1)+SUMPRODUCT(($M$7:$M$557=M72)*(ROW($M$7:$M$557)&lt;ROW(M72)))+1</f>
        <v>179</v>
      </c>
      <c r="O72" s="219" t="str">
        <f aca="false">IF(M72&gt;=0.2,"★★★ EXCELLENT",IF(M72&gt;=0.12,"★★  GOOD",IF(M72&gt;=0.07,"★  FAIR",IF(M72&gt;=0.025,"⚠  MARGINAL","✗  AVOID"))))</f>
        <v>★  FAIR</v>
      </c>
    </row>
    <row r="73" customFormat="false" ht="15" hidden="false" customHeight="true" outlineLevel="0" collapsed="false">
      <c r="A73" s="216" t="n">
        <v>11.6</v>
      </c>
      <c r="B73" s="217" t="n">
        <f aca="false">IF(Calculator!$E$12="YES",IF(A73&lt;Calculator!$G$12,0,MIN(MIN(MOD(A73/Calculator!$F$12,1),1-MOD(A73/Calculator!$F$12,1)),ABS(MOD(A73/Calculator!$F$12,1)-0.5))),1)</f>
        <v>1</v>
      </c>
      <c r="C73" s="217" t="n">
        <f aca="false">IF(Calculator!$E$13="YES",IF(A73&lt;Calculator!$G$13,0,MIN(MIN(MOD(A73/Calculator!$F$13,1),1-MOD(A73/Calculator!$F$13,1)),ABS(MOD(A73/Calculator!$F$13,1)-0.5))),1)</f>
        <v>1</v>
      </c>
      <c r="D73" s="217" t="n">
        <f aca="false">IF(Calculator!$E$14="YES",IF(A73&lt;Calculator!$G$14,0,MIN(MIN(MOD(A73/Calculator!$F$14,1),1-MOD(A73/Calculator!$F$14,1)),ABS(MOD(A73/Calculator!$F$14,1)-0.5))),1)</f>
        <v>1</v>
      </c>
      <c r="E73" s="217" t="n">
        <f aca="false">IF(Calculator!$E$15="YES",IF(A73&lt;Calculator!$G$15,0,MIN(MIN(MOD(A73/Calculator!$F$15,1),1-MOD(A73/Calculator!$F$15,1)),ABS(MOD(A73/Calculator!$F$15,1)-0.5))),1)</f>
        <v>0.0820350877192982</v>
      </c>
      <c r="F73" s="217" t="n">
        <f aca="false">IF(Calculator!$E$16="YES",IF(A73&lt;Calculator!$G$16,0,MIN(MIN(MOD(A73/Calculator!$F$16,1),1-MOD(A73/Calculator!$F$16,1)),ABS(MOD(A73/Calculator!$F$16,1)-0.5))),1)</f>
        <v>1</v>
      </c>
      <c r="G73" s="217" t="n">
        <f aca="false">IF(Calculator!$E$17="YES",IF(A73&lt;Calculator!$G$17,0,MIN(MIN(MOD(A73/Calculator!$F$17,1),1-MOD(A73/Calculator!$F$17,1)),ABS(MOD(A73/Calculator!$F$17,1)-0.5))),1)</f>
        <v>0.153894736842105</v>
      </c>
      <c r="H73" s="217" t="n">
        <f aca="false">IF(Calculator!$E$18="YES",IF(A73&lt;Calculator!$G$18,0,MIN(MIN(MOD(A73/Calculator!$F$18,1),1-MOD(A73/Calculator!$F$18,1)),ABS(MOD(A73/Calculator!$F$18,1)-0.5))),1)</f>
        <v>1</v>
      </c>
      <c r="I73" s="217" t="n">
        <f aca="false">IF(Calculator!$E$19="YES",IF(A73&lt;Calculator!$G$19,0,MIN(MIN(MOD(A73/Calculator!$F$19,1),1-MOD(A73/Calculator!$F$19,1)),ABS(MOD(A73/Calculator!$F$19,1)-0.5))),1)</f>
        <v>1</v>
      </c>
      <c r="J73" s="217" t="n">
        <f aca="false">IF(Calculator!$E$20="YES",IF(A73&lt;Calculator!$G$20,0,MIN(MIN(MOD(A73/Calculator!$F$20,1),1-MOD(A73/Calculator!$F$20,1)),ABS(MOD(A73/Calculator!$F$20,1)-0.5))),1)</f>
        <v>1</v>
      </c>
      <c r="K73" s="217" t="n">
        <f aca="false">IF(Calculator!$E$21="YES",IF(A73&lt;Calculator!$G$21,0,MIN(MIN(MOD(A73/Calculator!$F$21,1),1-MOD(A73/Calculator!$F$21,1)),ABS(MOD(A73/Calculator!$F$21,1)-0.5))),1)</f>
        <v>0.151508771929825</v>
      </c>
      <c r="L73" s="217" t="n">
        <f aca="false">IF(Calculator!$E$22="YES",IF(A73&lt;Calculator!$G$22,0,MIN(MIN(MOD(A73/Calculator!$F$22,1),1-MOD(A73/Calculator!$F$22,1)),ABS(MOD(A73/Calculator!$F$22,1)-0.5))),1)</f>
        <v>1</v>
      </c>
      <c r="M73" s="217" t="n">
        <f aca="false">MIN(B73:L73)</f>
        <v>0.0820350877192982</v>
      </c>
      <c r="N73" s="217" t="n">
        <f aca="false">SUMPRODUCT(($M$7:$M$557&gt;M73)*1)+SUMPRODUCT(($M$7:$M$557=M73)*(ROW($M$7:$M$557)&lt;ROW(M73)))+1</f>
        <v>159</v>
      </c>
      <c r="O73" s="217" t="str">
        <f aca="false">IF(M73&gt;=0.2,"★★★ EXCELLENT",IF(M73&gt;=0.12,"★★  GOOD",IF(M73&gt;=0.07,"★  FAIR",IF(M73&gt;=0.025,"⚠  MARGINAL","✗  AVOID"))))</f>
        <v>★  FAIR</v>
      </c>
    </row>
    <row r="74" customFormat="false" ht="15" hidden="false" customHeight="true" outlineLevel="0" collapsed="false">
      <c r="A74" s="218" t="n">
        <v>11.7</v>
      </c>
      <c r="B74" s="219" t="n">
        <f aca="false">IF(Calculator!$E$12="YES",IF(A74&lt;Calculator!$G$12,0,MIN(MIN(MOD(A74/Calculator!$F$12,1),1-MOD(A74/Calculator!$F$12,1)),ABS(MOD(A74/Calculator!$F$12,1)-0.5))),1)</f>
        <v>1</v>
      </c>
      <c r="C74" s="219" t="n">
        <f aca="false">IF(Calculator!$E$13="YES",IF(A74&lt;Calculator!$G$13,0,MIN(MIN(MOD(A74/Calculator!$F$13,1),1-MOD(A74/Calculator!$F$13,1)),ABS(MOD(A74/Calculator!$F$13,1)-0.5))),1)</f>
        <v>1</v>
      </c>
      <c r="D74" s="219" t="n">
        <f aca="false">IF(Calculator!$E$14="YES",IF(A74&lt;Calculator!$G$14,0,MIN(MIN(MOD(A74/Calculator!$F$14,1),1-MOD(A74/Calculator!$F$14,1)),ABS(MOD(A74/Calculator!$F$14,1)-0.5))),1)</f>
        <v>1</v>
      </c>
      <c r="E74" s="219" t="n">
        <f aca="false">IF(Calculator!$E$15="YES",IF(A74&lt;Calculator!$G$15,0,MIN(MIN(MOD(A74/Calculator!$F$15,1),1-MOD(A74/Calculator!$F$15,1)),ABS(MOD(A74/Calculator!$F$15,1)-0.5))),1)</f>
        <v>0.0870526315789474</v>
      </c>
      <c r="F74" s="219" t="n">
        <f aca="false">IF(Calculator!$E$16="YES",IF(A74&lt;Calculator!$G$16,0,MIN(MIN(MOD(A74/Calculator!$F$16,1),1-MOD(A74/Calculator!$F$16,1)),ABS(MOD(A74/Calculator!$F$16,1)-0.5))),1)</f>
        <v>1</v>
      </c>
      <c r="G74" s="219" t="n">
        <f aca="false">IF(Calculator!$E$17="YES",IF(A74&lt;Calculator!$G$17,0,MIN(MIN(MOD(A74/Calculator!$F$17,1),1-MOD(A74/Calculator!$F$17,1)),ABS(MOD(A74/Calculator!$F$17,1)-0.5))),1)</f>
        <v>0.163842105263158</v>
      </c>
      <c r="H74" s="219" t="n">
        <f aca="false">IF(Calculator!$E$18="YES",IF(A74&lt;Calculator!$G$18,0,MIN(MIN(MOD(A74/Calculator!$F$18,1),1-MOD(A74/Calculator!$F$18,1)),ABS(MOD(A74/Calculator!$F$18,1)-0.5))),1)</f>
        <v>1</v>
      </c>
      <c r="I74" s="219" t="n">
        <f aca="false">IF(Calculator!$E$19="YES",IF(A74&lt;Calculator!$G$19,0,MIN(MIN(MOD(A74/Calculator!$F$19,1),1-MOD(A74/Calculator!$F$19,1)),ABS(MOD(A74/Calculator!$F$19,1)-0.5))),1)</f>
        <v>1</v>
      </c>
      <c r="J74" s="219" t="n">
        <f aca="false">IF(Calculator!$E$20="YES",IF(A74&lt;Calculator!$G$20,0,MIN(MIN(MOD(A74/Calculator!$F$20,1),1-MOD(A74/Calculator!$F$20,1)),ABS(MOD(A74/Calculator!$F$20,1)-0.5))),1)</f>
        <v>1</v>
      </c>
      <c r="K74" s="219" t="n">
        <f aca="false">IF(Calculator!$E$21="YES",IF(A74&lt;Calculator!$G$21,0,MIN(MIN(MOD(A74/Calculator!$F$21,1),1-MOD(A74/Calculator!$F$21,1)),ABS(MOD(A74/Calculator!$F$21,1)-0.5))),1)</f>
        <v>0.131263157894737</v>
      </c>
      <c r="L74" s="219" t="n">
        <f aca="false">IF(Calculator!$E$22="YES",IF(A74&lt;Calculator!$G$22,0,MIN(MIN(MOD(A74/Calculator!$F$22,1),1-MOD(A74/Calculator!$F$22,1)),ABS(MOD(A74/Calculator!$F$22,1)-0.5))),1)</f>
        <v>1</v>
      </c>
      <c r="M74" s="219" t="n">
        <f aca="false">MIN(B74:L74)</f>
        <v>0.0870526315789474</v>
      </c>
      <c r="N74" s="219" t="n">
        <f aca="false">SUMPRODUCT(($M$7:$M$557&gt;M74)*1)+SUMPRODUCT(($M$7:$M$557=M74)*(ROW($M$7:$M$557)&lt;ROW(M74)))+1</f>
        <v>143</v>
      </c>
      <c r="O74" s="219" t="str">
        <f aca="false">IF(M74&gt;=0.2,"★★★ EXCELLENT",IF(M74&gt;=0.12,"★★  GOOD",IF(M74&gt;=0.07,"★  FAIR",IF(M74&gt;=0.025,"⚠  MARGINAL","✗  AVOID"))))</f>
        <v>★  FAIR</v>
      </c>
    </row>
    <row r="75" customFormat="false" ht="15" hidden="false" customHeight="true" outlineLevel="0" collapsed="false">
      <c r="A75" s="216" t="n">
        <v>11.8</v>
      </c>
      <c r="B75" s="217" t="n">
        <f aca="false">IF(Calculator!$E$12="YES",IF(A75&lt;Calculator!$G$12,0,MIN(MIN(MOD(A75/Calculator!$F$12,1),1-MOD(A75/Calculator!$F$12,1)),ABS(MOD(A75/Calculator!$F$12,1)-0.5))),1)</f>
        <v>1</v>
      </c>
      <c r="C75" s="217" t="n">
        <f aca="false">IF(Calculator!$E$13="YES",IF(A75&lt;Calculator!$G$13,0,MIN(MIN(MOD(A75/Calculator!$F$13,1),1-MOD(A75/Calculator!$F$13,1)),ABS(MOD(A75/Calculator!$F$13,1)-0.5))),1)</f>
        <v>1</v>
      </c>
      <c r="D75" s="217" t="n">
        <f aca="false">IF(Calculator!$E$14="YES",IF(A75&lt;Calculator!$G$14,0,MIN(MIN(MOD(A75/Calculator!$F$14,1),1-MOD(A75/Calculator!$F$14,1)),ABS(MOD(A75/Calculator!$F$14,1)-0.5))),1)</f>
        <v>1</v>
      </c>
      <c r="E75" s="217" t="n">
        <f aca="false">IF(Calculator!$E$15="YES",IF(A75&lt;Calculator!$G$15,0,MIN(MIN(MOD(A75/Calculator!$F$15,1),1-MOD(A75/Calculator!$F$15,1)),ABS(MOD(A75/Calculator!$F$15,1)-0.5))),1)</f>
        <v>0.0920701754385965</v>
      </c>
      <c r="F75" s="217" t="n">
        <f aca="false">IF(Calculator!$E$16="YES",IF(A75&lt;Calculator!$G$16,0,MIN(MIN(MOD(A75/Calculator!$F$16,1),1-MOD(A75/Calculator!$F$16,1)),ABS(MOD(A75/Calculator!$F$16,1)-0.5))),1)</f>
        <v>1</v>
      </c>
      <c r="G75" s="217" t="n">
        <f aca="false">IF(Calculator!$E$17="YES",IF(A75&lt;Calculator!$G$17,0,MIN(MIN(MOD(A75/Calculator!$F$17,1),1-MOD(A75/Calculator!$F$17,1)),ABS(MOD(A75/Calculator!$F$17,1)-0.5))),1)</f>
        <v>0.173789473684211</v>
      </c>
      <c r="H75" s="217" t="n">
        <f aca="false">IF(Calculator!$E$18="YES",IF(A75&lt;Calculator!$G$18,0,MIN(MIN(MOD(A75/Calculator!$F$18,1),1-MOD(A75/Calculator!$F$18,1)),ABS(MOD(A75/Calculator!$F$18,1)-0.5))),1)</f>
        <v>1</v>
      </c>
      <c r="I75" s="217" t="n">
        <f aca="false">IF(Calculator!$E$19="YES",IF(A75&lt;Calculator!$G$19,0,MIN(MIN(MOD(A75/Calculator!$F$19,1),1-MOD(A75/Calculator!$F$19,1)),ABS(MOD(A75/Calculator!$F$19,1)-0.5))),1)</f>
        <v>1</v>
      </c>
      <c r="J75" s="217" t="n">
        <f aca="false">IF(Calculator!$E$20="YES",IF(A75&lt;Calculator!$G$20,0,MIN(MIN(MOD(A75/Calculator!$F$20,1),1-MOD(A75/Calculator!$F$20,1)),ABS(MOD(A75/Calculator!$F$20,1)-0.5))),1)</f>
        <v>1</v>
      </c>
      <c r="K75" s="217" t="n">
        <f aca="false">IF(Calculator!$E$21="YES",IF(A75&lt;Calculator!$G$21,0,MIN(MIN(MOD(A75/Calculator!$F$21,1),1-MOD(A75/Calculator!$F$21,1)),ABS(MOD(A75/Calculator!$F$21,1)-0.5))),1)</f>
        <v>0.111017543859649</v>
      </c>
      <c r="L75" s="217" t="n">
        <f aca="false">IF(Calculator!$E$22="YES",IF(A75&lt;Calculator!$G$22,0,MIN(MIN(MOD(A75/Calculator!$F$22,1),1-MOD(A75/Calculator!$F$22,1)),ABS(MOD(A75/Calculator!$F$22,1)-0.5))),1)</f>
        <v>1</v>
      </c>
      <c r="M75" s="217" t="n">
        <f aca="false">MIN(B75:L75)</f>
        <v>0.0920701754385965</v>
      </c>
      <c r="N75" s="217" t="n">
        <f aca="false">SUMPRODUCT(($M$7:$M$557&gt;M75)*1)+SUMPRODUCT(($M$7:$M$557=M75)*(ROW($M$7:$M$557)&lt;ROW(M75)))+1</f>
        <v>125</v>
      </c>
      <c r="O75" s="217" t="str">
        <f aca="false">IF(M75&gt;=0.2,"★★★ EXCELLENT",IF(M75&gt;=0.12,"★★  GOOD",IF(M75&gt;=0.07,"★  FAIR",IF(M75&gt;=0.025,"⚠  MARGINAL","✗  AVOID"))))</f>
        <v>★  FAIR</v>
      </c>
    </row>
    <row r="76" customFormat="false" ht="15" hidden="false" customHeight="true" outlineLevel="0" collapsed="false">
      <c r="A76" s="218" t="n">
        <v>11.9</v>
      </c>
      <c r="B76" s="219" t="n">
        <f aca="false">IF(Calculator!$E$12="YES",IF(A76&lt;Calculator!$G$12,0,MIN(MIN(MOD(A76/Calculator!$F$12,1),1-MOD(A76/Calculator!$F$12,1)),ABS(MOD(A76/Calculator!$F$12,1)-0.5))),1)</f>
        <v>1</v>
      </c>
      <c r="C76" s="219" t="n">
        <f aca="false">IF(Calculator!$E$13="YES",IF(A76&lt;Calculator!$G$13,0,MIN(MIN(MOD(A76/Calculator!$F$13,1),1-MOD(A76/Calculator!$F$13,1)),ABS(MOD(A76/Calculator!$F$13,1)-0.5))),1)</f>
        <v>1</v>
      </c>
      <c r="D76" s="219" t="n">
        <f aca="false">IF(Calculator!$E$14="YES",IF(A76&lt;Calculator!$G$14,0,MIN(MIN(MOD(A76/Calculator!$F$14,1),1-MOD(A76/Calculator!$F$14,1)),ABS(MOD(A76/Calculator!$F$14,1)-0.5))),1)</f>
        <v>1</v>
      </c>
      <c r="E76" s="219" t="n">
        <f aca="false">IF(Calculator!$E$15="YES",IF(A76&lt;Calculator!$G$15,0,MIN(MIN(MOD(A76/Calculator!$F$15,1),1-MOD(A76/Calculator!$F$15,1)),ABS(MOD(A76/Calculator!$F$15,1)-0.5))),1)</f>
        <v>0.0970877192982457</v>
      </c>
      <c r="F76" s="219" t="n">
        <f aca="false">IF(Calculator!$E$16="YES",IF(A76&lt;Calculator!$G$16,0,MIN(MIN(MOD(A76/Calculator!$F$16,1),1-MOD(A76/Calculator!$F$16,1)),ABS(MOD(A76/Calculator!$F$16,1)-0.5))),1)</f>
        <v>1</v>
      </c>
      <c r="G76" s="219" t="n">
        <f aca="false">IF(Calculator!$E$17="YES",IF(A76&lt;Calculator!$G$17,0,MIN(MIN(MOD(A76/Calculator!$F$17,1),1-MOD(A76/Calculator!$F$17,1)),ABS(MOD(A76/Calculator!$F$17,1)-0.5))),1)</f>
        <v>0.183736842105263</v>
      </c>
      <c r="H76" s="219" t="n">
        <f aca="false">IF(Calculator!$E$18="YES",IF(A76&lt;Calculator!$G$18,0,MIN(MIN(MOD(A76/Calculator!$F$18,1),1-MOD(A76/Calculator!$F$18,1)),ABS(MOD(A76/Calculator!$F$18,1)-0.5))),1)</f>
        <v>1</v>
      </c>
      <c r="I76" s="219" t="n">
        <f aca="false">IF(Calculator!$E$19="YES",IF(A76&lt;Calculator!$G$19,0,MIN(MIN(MOD(A76/Calculator!$F$19,1),1-MOD(A76/Calculator!$F$19,1)),ABS(MOD(A76/Calculator!$F$19,1)-0.5))),1)</f>
        <v>1</v>
      </c>
      <c r="J76" s="219" t="n">
        <f aca="false">IF(Calculator!$E$20="YES",IF(A76&lt;Calculator!$G$20,0,MIN(MIN(MOD(A76/Calculator!$F$20,1),1-MOD(A76/Calculator!$F$20,1)),ABS(MOD(A76/Calculator!$F$20,1)-0.5))),1)</f>
        <v>1</v>
      </c>
      <c r="K76" s="219" t="n">
        <f aca="false">IF(Calculator!$E$21="YES",IF(A76&lt;Calculator!$G$21,0,MIN(MIN(MOD(A76/Calculator!$F$21,1),1-MOD(A76/Calculator!$F$21,1)),ABS(MOD(A76/Calculator!$F$21,1)-0.5))),1)</f>
        <v>0.0907719298245615</v>
      </c>
      <c r="L76" s="219" t="n">
        <f aca="false">IF(Calculator!$E$22="YES",IF(A76&lt;Calculator!$G$22,0,MIN(MIN(MOD(A76/Calculator!$F$22,1),1-MOD(A76/Calculator!$F$22,1)),ABS(MOD(A76/Calculator!$F$22,1)-0.5))),1)</f>
        <v>1</v>
      </c>
      <c r="M76" s="219" t="n">
        <f aca="false">MIN(B76:L76)</f>
        <v>0.0907719298245615</v>
      </c>
      <c r="N76" s="219" t="n">
        <f aca="false">SUMPRODUCT(($M$7:$M$557&gt;M76)*1)+SUMPRODUCT(($M$7:$M$557=M76)*(ROW($M$7:$M$557)&lt;ROW(M76)))+1</f>
        <v>132</v>
      </c>
      <c r="O76" s="219" t="str">
        <f aca="false">IF(M76&gt;=0.2,"★★★ EXCELLENT",IF(M76&gt;=0.12,"★★  GOOD",IF(M76&gt;=0.07,"★  FAIR",IF(M76&gt;=0.025,"⚠  MARGINAL","✗  AVOID"))))</f>
        <v>★  FAIR</v>
      </c>
    </row>
    <row r="77" customFormat="false" ht="15" hidden="false" customHeight="true" outlineLevel="0" collapsed="false">
      <c r="A77" s="216" t="n">
        <v>12</v>
      </c>
      <c r="B77" s="217" t="n">
        <f aca="false">IF(Calculator!$E$12="YES",IF(A77&lt;Calculator!$G$12,0,MIN(MIN(MOD(A77/Calculator!$F$12,1),1-MOD(A77/Calculator!$F$12,1)),ABS(MOD(A77/Calculator!$F$12,1)-0.5))),1)</f>
        <v>1</v>
      </c>
      <c r="C77" s="217" t="n">
        <f aca="false">IF(Calculator!$E$13="YES",IF(A77&lt;Calculator!$G$13,0,MIN(MIN(MOD(A77/Calculator!$F$13,1),1-MOD(A77/Calculator!$F$13,1)),ABS(MOD(A77/Calculator!$F$13,1)-0.5))),1)</f>
        <v>1</v>
      </c>
      <c r="D77" s="217" t="n">
        <f aca="false">IF(Calculator!$E$14="YES",IF(A77&lt;Calculator!$G$14,0,MIN(MIN(MOD(A77/Calculator!$F$14,1),1-MOD(A77/Calculator!$F$14,1)),ABS(MOD(A77/Calculator!$F$14,1)-0.5))),1)</f>
        <v>1</v>
      </c>
      <c r="E77" s="217" t="n">
        <f aca="false">IF(Calculator!$E$15="YES",IF(A77&lt;Calculator!$G$15,0,MIN(MIN(MOD(A77/Calculator!$F$15,1),1-MOD(A77/Calculator!$F$15,1)),ABS(MOD(A77/Calculator!$F$15,1)-0.5))),1)</f>
        <v>0.102105263157895</v>
      </c>
      <c r="F77" s="217" t="n">
        <f aca="false">IF(Calculator!$E$16="YES",IF(A77&lt;Calculator!$G$16,0,MIN(MIN(MOD(A77/Calculator!$F$16,1),1-MOD(A77/Calculator!$F$16,1)),ABS(MOD(A77/Calculator!$F$16,1)-0.5))),1)</f>
        <v>1</v>
      </c>
      <c r="G77" s="217" t="n">
        <f aca="false">IF(Calculator!$E$17="YES",IF(A77&lt;Calculator!$G$17,0,MIN(MIN(MOD(A77/Calculator!$F$17,1),1-MOD(A77/Calculator!$F$17,1)),ABS(MOD(A77/Calculator!$F$17,1)-0.5))),1)</f>
        <v>0.193684210526316</v>
      </c>
      <c r="H77" s="217" t="n">
        <f aca="false">IF(Calculator!$E$18="YES",IF(A77&lt;Calculator!$G$18,0,MIN(MIN(MOD(A77/Calculator!$F$18,1),1-MOD(A77/Calculator!$F$18,1)),ABS(MOD(A77/Calculator!$F$18,1)-0.5))),1)</f>
        <v>1</v>
      </c>
      <c r="I77" s="217" t="n">
        <f aca="false">IF(Calculator!$E$19="YES",IF(A77&lt;Calculator!$G$19,0,MIN(MIN(MOD(A77/Calculator!$F$19,1),1-MOD(A77/Calculator!$F$19,1)),ABS(MOD(A77/Calculator!$F$19,1)-0.5))),1)</f>
        <v>1</v>
      </c>
      <c r="J77" s="217" t="n">
        <f aca="false">IF(Calculator!$E$20="YES",IF(A77&lt;Calculator!$G$20,0,MIN(MIN(MOD(A77/Calculator!$F$20,1),1-MOD(A77/Calculator!$F$20,1)),ABS(MOD(A77/Calculator!$F$20,1)-0.5))),1)</f>
        <v>1</v>
      </c>
      <c r="K77" s="217" t="n">
        <f aca="false">IF(Calculator!$E$21="YES",IF(A77&lt;Calculator!$G$21,0,MIN(MIN(MOD(A77/Calculator!$F$21,1),1-MOD(A77/Calculator!$F$21,1)),ABS(MOD(A77/Calculator!$F$21,1)-0.5))),1)</f>
        <v>0.0705263157894738</v>
      </c>
      <c r="L77" s="217" t="n">
        <f aca="false">IF(Calculator!$E$22="YES",IF(A77&lt;Calculator!$G$22,0,MIN(MIN(MOD(A77/Calculator!$F$22,1),1-MOD(A77/Calculator!$F$22,1)),ABS(MOD(A77/Calculator!$F$22,1)-0.5))),1)</f>
        <v>1</v>
      </c>
      <c r="M77" s="217" t="n">
        <f aca="false">MIN(B77:L77)</f>
        <v>0.0705263157894738</v>
      </c>
      <c r="N77" s="217" t="n">
        <f aca="false">SUMPRODUCT(($M$7:$M$557&gt;M77)*1)+SUMPRODUCT(($M$7:$M$557=M77)*(ROW($M$7:$M$557)&lt;ROW(M77)))+1</f>
        <v>204</v>
      </c>
      <c r="O77" s="217" t="str">
        <f aca="false">IF(M77&gt;=0.2,"★★★ EXCELLENT",IF(M77&gt;=0.12,"★★  GOOD",IF(M77&gt;=0.07,"★  FAIR",IF(M77&gt;=0.025,"⚠  MARGINAL","✗  AVOID"))))</f>
        <v>★  FAIR</v>
      </c>
    </row>
    <row r="78" customFormat="false" ht="15" hidden="false" customHeight="true" outlineLevel="0" collapsed="false">
      <c r="A78" s="218" t="n">
        <v>12.1</v>
      </c>
      <c r="B78" s="219" t="n">
        <f aca="false">IF(Calculator!$E$12="YES",IF(A78&lt;Calculator!$G$12,0,MIN(MIN(MOD(A78/Calculator!$F$12,1),1-MOD(A78/Calculator!$F$12,1)),ABS(MOD(A78/Calculator!$F$12,1)-0.5))),1)</f>
        <v>1</v>
      </c>
      <c r="C78" s="219" t="n">
        <f aca="false">IF(Calculator!$E$13="YES",IF(A78&lt;Calculator!$G$13,0,MIN(MIN(MOD(A78/Calculator!$F$13,1),1-MOD(A78/Calculator!$F$13,1)),ABS(MOD(A78/Calculator!$F$13,1)-0.5))),1)</f>
        <v>1</v>
      </c>
      <c r="D78" s="219" t="n">
        <f aca="false">IF(Calculator!$E$14="YES",IF(A78&lt;Calculator!$G$14,0,MIN(MIN(MOD(A78/Calculator!$F$14,1),1-MOD(A78/Calculator!$F$14,1)),ABS(MOD(A78/Calculator!$F$14,1)-0.5))),1)</f>
        <v>1</v>
      </c>
      <c r="E78" s="219" t="n">
        <f aca="false">IF(Calculator!$E$15="YES",IF(A78&lt;Calculator!$G$15,0,MIN(MIN(MOD(A78/Calculator!$F$15,1),1-MOD(A78/Calculator!$F$15,1)),ABS(MOD(A78/Calculator!$F$15,1)-0.5))),1)</f>
        <v>0.107122807017544</v>
      </c>
      <c r="F78" s="219" t="n">
        <f aca="false">IF(Calculator!$E$16="YES",IF(A78&lt;Calculator!$G$16,0,MIN(MIN(MOD(A78/Calculator!$F$16,1),1-MOD(A78/Calculator!$F$16,1)),ABS(MOD(A78/Calculator!$F$16,1)-0.5))),1)</f>
        <v>1</v>
      </c>
      <c r="G78" s="219" t="n">
        <f aca="false">IF(Calculator!$E$17="YES",IF(A78&lt;Calculator!$G$17,0,MIN(MIN(MOD(A78/Calculator!$F$17,1),1-MOD(A78/Calculator!$F$17,1)),ABS(MOD(A78/Calculator!$F$17,1)-0.5))),1)</f>
        <v>0.203631578947368</v>
      </c>
      <c r="H78" s="219" t="n">
        <f aca="false">IF(Calculator!$E$18="YES",IF(A78&lt;Calculator!$G$18,0,MIN(MIN(MOD(A78/Calculator!$F$18,1),1-MOD(A78/Calculator!$F$18,1)),ABS(MOD(A78/Calculator!$F$18,1)-0.5))),1)</f>
        <v>1</v>
      </c>
      <c r="I78" s="219" t="n">
        <f aca="false">IF(Calculator!$E$19="YES",IF(A78&lt;Calculator!$G$19,0,MIN(MIN(MOD(A78/Calculator!$F$19,1),1-MOD(A78/Calculator!$F$19,1)),ABS(MOD(A78/Calculator!$F$19,1)-0.5))),1)</f>
        <v>1</v>
      </c>
      <c r="J78" s="219" t="n">
        <f aca="false">IF(Calculator!$E$20="YES",IF(A78&lt;Calculator!$G$20,0,MIN(MIN(MOD(A78/Calculator!$F$20,1),1-MOD(A78/Calculator!$F$20,1)),ABS(MOD(A78/Calculator!$F$20,1)-0.5))),1)</f>
        <v>1</v>
      </c>
      <c r="K78" s="219" t="n">
        <f aca="false">IF(Calculator!$E$21="YES",IF(A78&lt;Calculator!$G$21,0,MIN(MIN(MOD(A78/Calculator!$F$21,1),1-MOD(A78/Calculator!$F$21,1)),ABS(MOD(A78/Calculator!$F$21,1)-0.5))),1)</f>
        <v>0.050280701754386</v>
      </c>
      <c r="L78" s="219" t="n">
        <f aca="false">IF(Calculator!$E$22="YES",IF(A78&lt;Calculator!$G$22,0,MIN(MIN(MOD(A78/Calculator!$F$22,1),1-MOD(A78/Calculator!$F$22,1)),ABS(MOD(A78/Calculator!$F$22,1)-0.5))),1)</f>
        <v>1</v>
      </c>
      <c r="M78" s="219" t="n">
        <f aca="false">MIN(B78:L78)</f>
        <v>0.050280701754386</v>
      </c>
      <c r="N78" s="219" t="n">
        <f aca="false">SUMPRODUCT(($M$7:$M$557&gt;M78)*1)+SUMPRODUCT(($M$7:$M$557=M78)*(ROW($M$7:$M$557)&lt;ROW(M78)))+1</f>
        <v>284</v>
      </c>
      <c r="O78" s="219" t="str">
        <f aca="false">IF(M78&gt;=0.2,"★★★ EXCELLENT",IF(M78&gt;=0.12,"★★  GOOD",IF(M78&gt;=0.07,"★  FAIR",IF(M78&gt;=0.025,"⚠  MARGINAL","✗  AVOID"))))</f>
        <v>⚠  MARGINAL</v>
      </c>
    </row>
    <row r="79" customFormat="false" ht="15" hidden="false" customHeight="true" outlineLevel="0" collapsed="false">
      <c r="A79" s="216" t="n">
        <v>12.2</v>
      </c>
      <c r="B79" s="217" t="n">
        <f aca="false">IF(Calculator!$E$12="YES",IF(A79&lt;Calculator!$G$12,0,MIN(MIN(MOD(A79/Calculator!$F$12,1),1-MOD(A79/Calculator!$F$12,1)),ABS(MOD(A79/Calculator!$F$12,1)-0.5))),1)</f>
        <v>1</v>
      </c>
      <c r="C79" s="217" t="n">
        <f aca="false">IF(Calculator!$E$13="YES",IF(A79&lt;Calculator!$G$13,0,MIN(MIN(MOD(A79/Calculator!$F$13,1),1-MOD(A79/Calculator!$F$13,1)),ABS(MOD(A79/Calculator!$F$13,1)-0.5))),1)</f>
        <v>1</v>
      </c>
      <c r="D79" s="217" t="n">
        <f aca="false">IF(Calculator!$E$14="YES",IF(A79&lt;Calculator!$G$14,0,MIN(MIN(MOD(A79/Calculator!$F$14,1),1-MOD(A79/Calculator!$F$14,1)),ABS(MOD(A79/Calculator!$F$14,1)-0.5))),1)</f>
        <v>1</v>
      </c>
      <c r="E79" s="217" t="n">
        <f aca="false">IF(Calculator!$E$15="YES",IF(A79&lt;Calculator!$G$15,0,MIN(MIN(MOD(A79/Calculator!$F$15,1),1-MOD(A79/Calculator!$F$15,1)),ABS(MOD(A79/Calculator!$F$15,1)-0.5))),1)</f>
        <v>0.112140350877193</v>
      </c>
      <c r="F79" s="217" t="n">
        <f aca="false">IF(Calculator!$E$16="YES",IF(A79&lt;Calculator!$G$16,0,MIN(MIN(MOD(A79/Calculator!$F$16,1),1-MOD(A79/Calculator!$F$16,1)),ABS(MOD(A79/Calculator!$F$16,1)-0.5))),1)</f>
        <v>1</v>
      </c>
      <c r="G79" s="217" t="n">
        <f aca="false">IF(Calculator!$E$17="YES",IF(A79&lt;Calculator!$G$17,0,MIN(MIN(MOD(A79/Calculator!$F$17,1),1-MOD(A79/Calculator!$F$17,1)),ABS(MOD(A79/Calculator!$F$17,1)-0.5))),1)</f>
        <v>0.213578947368421</v>
      </c>
      <c r="H79" s="217" t="n">
        <f aca="false">IF(Calculator!$E$18="YES",IF(A79&lt;Calculator!$G$18,0,MIN(MIN(MOD(A79/Calculator!$F$18,1),1-MOD(A79/Calculator!$F$18,1)),ABS(MOD(A79/Calculator!$F$18,1)-0.5))),1)</f>
        <v>1</v>
      </c>
      <c r="I79" s="217" t="n">
        <f aca="false">IF(Calculator!$E$19="YES",IF(A79&lt;Calculator!$G$19,0,MIN(MIN(MOD(A79/Calculator!$F$19,1),1-MOD(A79/Calculator!$F$19,1)),ABS(MOD(A79/Calculator!$F$19,1)-0.5))),1)</f>
        <v>1</v>
      </c>
      <c r="J79" s="217" t="n">
        <f aca="false">IF(Calculator!$E$20="YES",IF(A79&lt;Calculator!$G$20,0,MIN(MIN(MOD(A79/Calculator!$F$20,1),1-MOD(A79/Calculator!$F$20,1)),ABS(MOD(A79/Calculator!$F$20,1)-0.5))),1)</f>
        <v>1</v>
      </c>
      <c r="K79" s="217" t="n">
        <f aca="false">IF(Calculator!$E$21="YES",IF(A79&lt;Calculator!$G$21,0,MIN(MIN(MOD(A79/Calculator!$F$21,1),1-MOD(A79/Calculator!$F$21,1)),ABS(MOD(A79/Calculator!$F$21,1)-0.5))),1)</f>
        <v>0.0300350877192983</v>
      </c>
      <c r="L79" s="217" t="n">
        <f aca="false">IF(Calculator!$E$22="YES",IF(A79&lt;Calculator!$G$22,0,MIN(MIN(MOD(A79/Calculator!$F$22,1),1-MOD(A79/Calculator!$F$22,1)),ABS(MOD(A79/Calculator!$F$22,1)-0.5))),1)</f>
        <v>1</v>
      </c>
      <c r="M79" s="217" t="n">
        <f aca="false">MIN(B79:L79)</f>
        <v>0.0300350877192983</v>
      </c>
      <c r="N79" s="217" t="n">
        <f aca="false">SUMPRODUCT(($M$7:$M$557&gt;M79)*1)+SUMPRODUCT(($M$7:$M$557=M79)*(ROW($M$7:$M$557)&lt;ROW(M79)))+1</f>
        <v>364</v>
      </c>
      <c r="O79" s="217" t="str">
        <f aca="false">IF(M79&gt;=0.2,"★★★ EXCELLENT",IF(M79&gt;=0.12,"★★  GOOD",IF(M79&gt;=0.07,"★  FAIR",IF(M79&gt;=0.025,"⚠  MARGINAL","✗  AVOID"))))</f>
        <v>⚠  MARGINAL</v>
      </c>
    </row>
    <row r="80" customFormat="false" ht="15" hidden="false" customHeight="true" outlineLevel="0" collapsed="false">
      <c r="A80" s="218" t="n">
        <v>12.3</v>
      </c>
      <c r="B80" s="219" t="n">
        <f aca="false">IF(Calculator!$E$12="YES",IF(A80&lt;Calculator!$G$12,0,MIN(MIN(MOD(A80/Calculator!$F$12,1),1-MOD(A80/Calculator!$F$12,1)),ABS(MOD(A80/Calculator!$F$12,1)-0.5))),1)</f>
        <v>1</v>
      </c>
      <c r="C80" s="219" t="n">
        <f aca="false">IF(Calculator!$E$13="YES",IF(A80&lt;Calculator!$G$13,0,MIN(MIN(MOD(A80/Calculator!$F$13,1),1-MOD(A80/Calculator!$F$13,1)),ABS(MOD(A80/Calculator!$F$13,1)-0.5))),1)</f>
        <v>1</v>
      </c>
      <c r="D80" s="219" t="n">
        <f aca="false">IF(Calculator!$E$14="YES",IF(A80&lt;Calculator!$G$14,0,MIN(MIN(MOD(A80/Calculator!$F$14,1),1-MOD(A80/Calculator!$F$14,1)),ABS(MOD(A80/Calculator!$F$14,1)-0.5))),1)</f>
        <v>1</v>
      </c>
      <c r="E80" s="219" t="n">
        <f aca="false">IF(Calculator!$E$15="YES",IF(A80&lt;Calculator!$G$15,0,MIN(MIN(MOD(A80/Calculator!$F$15,1),1-MOD(A80/Calculator!$F$15,1)),ABS(MOD(A80/Calculator!$F$15,1)-0.5))),1)</f>
        <v>0.117157894736842</v>
      </c>
      <c r="F80" s="219" t="n">
        <f aca="false">IF(Calculator!$E$16="YES",IF(A80&lt;Calculator!$G$16,0,MIN(MIN(MOD(A80/Calculator!$F$16,1),1-MOD(A80/Calculator!$F$16,1)),ABS(MOD(A80/Calculator!$F$16,1)-0.5))),1)</f>
        <v>1</v>
      </c>
      <c r="G80" s="219" t="n">
        <f aca="false">IF(Calculator!$E$17="YES",IF(A80&lt;Calculator!$G$17,0,MIN(MIN(MOD(A80/Calculator!$F$17,1),1-MOD(A80/Calculator!$F$17,1)),ABS(MOD(A80/Calculator!$F$17,1)-0.5))),1)</f>
        <v>0.223526315789474</v>
      </c>
      <c r="H80" s="219" t="n">
        <f aca="false">IF(Calculator!$E$18="YES",IF(A80&lt;Calculator!$G$18,0,MIN(MIN(MOD(A80/Calculator!$F$18,1),1-MOD(A80/Calculator!$F$18,1)),ABS(MOD(A80/Calculator!$F$18,1)-0.5))),1)</f>
        <v>1</v>
      </c>
      <c r="I80" s="219" t="n">
        <f aca="false">IF(Calculator!$E$19="YES",IF(A80&lt;Calculator!$G$19,0,MIN(MIN(MOD(A80/Calculator!$F$19,1),1-MOD(A80/Calculator!$F$19,1)),ABS(MOD(A80/Calculator!$F$19,1)-0.5))),1)</f>
        <v>1</v>
      </c>
      <c r="J80" s="219" t="n">
        <f aca="false">IF(Calculator!$E$20="YES",IF(A80&lt;Calculator!$G$20,0,MIN(MIN(MOD(A80/Calculator!$F$20,1),1-MOD(A80/Calculator!$F$20,1)),ABS(MOD(A80/Calculator!$F$20,1)-0.5))),1)</f>
        <v>1</v>
      </c>
      <c r="K80" s="219" t="n">
        <f aca="false">IF(Calculator!$E$21="YES",IF(A80&lt;Calculator!$G$21,0,MIN(MIN(MOD(A80/Calculator!$F$21,1),1-MOD(A80/Calculator!$F$21,1)),ABS(MOD(A80/Calculator!$F$21,1)-0.5))),1)</f>
        <v>0.00978947368421057</v>
      </c>
      <c r="L80" s="219" t="n">
        <f aca="false">IF(Calculator!$E$22="YES",IF(A80&lt;Calculator!$G$22,0,MIN(MIN(MOD(A80/Calculator!$F$22,1),1-MOD(A80/Calculator!$F$22,1)),ABS(MOD(A80/Calculator!$F$22,1)-0.5))),1)</f>
        <v>1</v>
      </c>
      <c r="M80" s="219" t="n">
        <f aca="false">MIN(B80:L80)</f>
        <v>0.00978947368421057</v>
      </c>
      <c r="N80" s="219" t="n">
        <f aca="false">SUMPRODUCT(($M$7:$M$557&gt;M80)*1)+SUMPRODUCT(($M$7:$M$557=M80)*(ROW($M$7:$M$557)&lt;ROW(M80)))+1</f>
        <v>444</v>
      </c>
      <c r="O80" s="219" t="str">
        <f aca="false">IF(M80&gt;=0.2,"★★★ EXCELLENT",IF(M80&gt;=0.12,"★★  GOOD",IF(M80&gt;=0.07,"★  FAIR",IF(M80&gt;=0.025,"⚠  MARGINAL","✗  AVOID"))))</f>
        <v>✗  AVOID</v>
      </c>
    </row>
    <row r="81" customFormat="false" ht="15" hidden="false" customHeight="true" outlineLevel="0" collapsed="false">
      <c r="A81" s="216" t="n">
        <v>12.4</v>
      </c>
      <c r="B81" s="217" t="n">
        <f aca="false">IF(Calculator!$E$12="YES",IF(A81&lt;Calculator!$G$12,0,MIN(MIN(MOD(A81/Calculator!$F$12,1),1-MOD(A81/Calculator!$F$12,1)),ABS(MOD(A81/Calculator!$F$12,1)-0.5))),1)</f>
        <v>1</v>
      </c>
      <c r="C81" s="217" t="n">
        <f aca="false">IF(Calculator!$E$13="YES",IF(A81&lt;Calculator!$G$13,0,MIN(MIN(MOD(A81/Calculator!$F$13,1),1-MOD(A81/Calculator!$F$13,1)),ABS(MOD(A81/Calculator!$F$13,1)-0.5))),1)</f>
        <v>1</v>
      </c>
      <c r="D81" s="217" t="n">
        <f aca="false">IF(Calculator!$E$14="YES",IF(A81&lt;Calculator!$G$14,0,MIN(MIN(MOD(A81/Calculator!$F$14,1),1-MOD(A81/Calculator!$F$14,1)),ABS(MOD(A81/Calculator!$F$14,1)-0.5))),1)</f>
        <v>1</v>
      </c>
      <c r="E81" s="217" t="n">
        <f aca="false">IF(Calculator!$E$15="YES",IF(A81&lt;Calculator!$G$15,0,MIN(MIN(MOD(A81/Calculator!$F$15,1),1-MOD(A81/Calculator!$F$15,1)),ABS(MOD(A81/Calculator!$F$15,1)-0.5))),1)</f>
        <v>0.122175438596491</v>
      </c>
      <c r="F81" s="217" t="n">
        <f aca="false">IF(Calculator!$E$16="YES",IF(A81&lt;Calculator!$G$16,0,MIN(MIN(MOD(A81/Calculator!$F$16,1),1-MOD(A81/Calculator!$F$16,1)),ABS(MOD(A81/Calculator!$F$16,1)-0.5))),1)</f>
        <v>1</v>
      </c>
      <c r="G81" s="217" t="n">
        <f aca="false">IF(Calculator!$E$17="YES",IF(A81&lt;Calculator!$G$17,0,MIN(MIN(MOD(A81/Calculator!$F$17,1),1-MOD(A81/Calculator!$F$17,1)),ABS(MOD(A81/Calculator!$F$17,1)-0.5))),1)</f>
        <v>0.233473684210527</v>
      </c>
      <c r="H81" s="217" t="n">
        <f aca="false">IF(Calculator!$E$18="YES",IF(A81&lt;Calculator!$G$18,0,MIN(MIN(MOD(A81/Calculator!$F$18,1),1-MOD(A81/Calculator!$F$18,1)),ABS(MOD(A81/Calculator!$F$18,1)-0.5))),1)</f>
        <v>1</v>
      </c>
      <c r="I81" s="217" t="n">
        <f aca="false">IF(Calculator!$E$19="YES",IF(A81&lt;Calculator!$G$19,0,MIN(MIN(MOD(A81/Calculator!$F$19,1),1-MOD(A81/Calculator!$F$19,1)),ABS(MOD(A81/Calculator!$F$19,1)-0.5))),1)</f>
        <v>1</v>
      </c>
      <c r="J81" s="217" t="n">
        <f aca="false">IF(Calculator!$E$20="YES",IF(A81&lt;Calculator!$G$20,0,MIN(MIN(MOD(A81/Calculator!$F$20,1),1-MOD(A81/Calculator!$F$20,1)),ABS(MOD(A81/Calculator!$F$20,1)-0.5))),1)</f>
        <v>1</v>
      </c>
      <c r="K81" s="217" t="n">
        <f aca="false">IF(Calculator!$E$21="YES",IF(A81&lt;Calculator!$G$21,0,MIN(MIN(MOD(A81/Calculator!$F$21,1),1-MOD(A81/Calculator!$F$21,1)),ABS(MOD(A81/Calculator!$F$21,1)-0.5))),1)</f>
        <v>0.0104561403508772</v>
      </c>
      <c r="L81" s="217" t="n">
        <f aca="false">IF(Calculator!$E$22="YES",IF(A81&lt;Calculator!$G$22,0,MIN(MIN(MOD(A81/Calculator!$F$22,1),1-MOD(A81/Calculator!$F$22,1)),ABS(MOD(A81/Calculator!$F$22,1)-0.5))),1)</f>
        <v>1</v>
      </c>
      <c r="M81" s="217" t="n">
        <f aca="false">MIN(B81:L81)</f>
        <v>0.0104561403508772</v>
      </c>
      <c r="N81" s="217" t="n">
        <f aca="false">SUMPRODUCT(($M$7:$M$557&gt;M81)*1)+SUMPRODUCT(($M$7:$M$557=M81)*(ROW($M$7:$M$557)&lt;ROW(M81)))+1</f>
        <v>443</v>
      </c>
      <c r="O81" s="217" t="str">
        <f aca="false">IF(M81&gt;=0.2,"★★★ EXCELLENT",IF(M81&gt;=0.12,"★★  GOOD",IF(M81&gt;=0.07,"★  FAIR",IF(M81&gt;=0.025,"⚠  MARGINAL","✗  AVOID"))))</f>
        <v>✗  AVOID</v>
      </c>
    </row>
    <row r="82" customFormat="false" ht="15" hidden="false" customHeight="true" outlineLevel="0" collapsed="false">
      <c r="A82" s="218" t="n">
        <v>12.5</v>
      </c>
      <c r="B82" s="219" t="n">
        <f aca="false">IF(Calculator!$E$12="YES",IF(A82&lt;Calculator!$G$12,0,MIN(MIN(MOD(A82/Calculator!$F$12,1),1-MOD(A82/Calculator!$F$12,1)),ABS(MOD(A82/Calculator!$F$12,1)-0.5))),1)</f>
        <v>1</v>
      </c>
      <c r="C82" s="219" t="n">
        <f aca="false">IF(Calculator!$E$13="YES",IF(A82&lt;Calculator!$G$13,0,MIN(MIN(MOD(A82/Calculator!$F$13,1),1-MOD(A82/Calculator!$F$13,1)),ABS(MOD(A82/Calculator!$F$13,1)-0.5))),1)</f>
        <v>1</v>
      </c>
      <c r="D82" s="219" t="n">
        <f aca="false">IF(Calculator!$E$14="YES",IF(A82&lt;Calculator!$G$14,0,MIN(MIN(MOD(A82/Calculator!$F$14,1),1-MOD(A82/Calculator!$F$14,1)),ABS(MOD(A82/Calculator!$F$14,1)-0.5))),1)</f>
        <v>1</v>
      </c>
      <c r="E82" s="219" t="n">
        <f aca="false">IF(Calculator!$E$15="YES",IF(A82&lt;Calculator!$G$15,0,MIN(MIN(MOD(A82/Calculator!$F$15,1),1-MOD(A82/Calculator!$F$15,1)),ABS(MOD(A82/Calculator!$F$15,1)-0.5))),1)</f>
        <v>0.12719298245614</v>
      </c>
      <c r="F82" s="219" t="n">
        <f aca="false">IF(Calculator!$E$16="YES",IF(A82&lt;Calculator!$G$16,0,MIN(MIN(MOD(A82/Calculator!$F$16,1),1-MOD(A82/Calculator!$F$16,1)),ABS(MOD(A82/Calculator!$F$16,1)-0.5))),1)</f>
        <v>1</v>
      </c>
      <c r="G82" s="219" t="n">
        <f aca="false">IF(Calculator!$E$17="YES",IF(A82&lt;Calculator!$G$17,0,MIN(MIN(MOD(A82/Calculator!$F$17,1),1-MOD(A82/Calculator!$F$17,1)),ABS(MOD(A82/Calculator!$F$17,1)-0.5))),1)</f>
        <v>0.243421052631579</v>
      </c>
      <c r="H82" s="219" t="n">
        <f aca="false">IF(Calculator!$E$18="YES",IF(A82&lt;Calculator!$G$18,0,MIN(MIN(MOD(A82/Calculator!$F$18,1),1-MOD(A82/Calculator!$F$18,1)),ABS(MOD(A82/Calculator!$F$18,1)-0.5))),1)</f>
        <v>1</v>
      </c>
      <c r="I82" s="219" t="n">
        <f aca="false">IF(Calculator!$E$19="YES",IF(A82&lt;Calculator!$G$19,0,MIN(MIN(MOD(A82/Calculator!$F$19,1),1-MOD(A82/Calculator!$F$19,1)),ABS(MOD(A82/Calculator!$F$19,1)-0.5))),1)</f>
        <v>1</v>
      </c>
      <c r="J82" s="219" t="n">
        <f aca="false">IF(Calculator!$E$20="YES",IF(A82&lt;Calculator!$G$20,0,MIN(MIN(MOD(A82/Calculator!$F$20,1),1-MOD(A82/Calculator!$F$20,1)),ABS(MOD(A82/Calculator!$F$20,1)-0.5))),1)</f>
        <v>1</v>
      </c>
      <c r="K82" s="219" t="n">
        <f aca="false">IF(Calculator!$E$21="YES",IF(A82&lt;Calculator!$G$21,0,MIN(MIN(MOD(A82/Calculator!$F$21,1),1-MOD(A82/Calculator!$F$21,1)),ABS(MOD(A82/Calculator!$F$21,1)-0.5))),1)</f>
        <v>0.0307017543859649</v>
      </c>
      <c r="L82" s="219" t="n">
        <f aca="false">IF(Calculator!$E$22="YES",IF(A82&lt;Calculator!$G$22,0,MIN(MIN(MOD(A82/Calculator!$F$22,1),1-MOD(A82/Calculator!$F$22,1)),ABS(MOD(A82/Calculator!$F$22,1)-0.5))),1)</f>
        <v>1</v>
      </c>
      <c r="M82" s="219" t="n">
        <f aca="false">MIN(B82:L82)</f>
        <v>0.0307017543859649</v>
      </c>
      <c r="N82" s="219" t="n">
        <f aca="false">SUMPRODUCT(($M$7:$M$557&gt;M82)*1)+SUMPRODUCT(($M$7:$M$557=M82)*(ROW($M$7:$M$557)&lt;ROW(M82)))+1</f>
        <v>362</v>
      </c>
      <c r="O82" s="219" t="str">
        <f aca="false">IF(M82&gt;=0.2,"★★★ EXCELLENT",IF(M82&gt;=0.12,"★★  GOOD",IF(M82&gt;=0.07,"★  FAIR",IF(M82&gt;=0.025,"⚠  MARGINAL","✗  AVOID"))))</f>
        <v>⚠  MARGINAL</v>
      </c>
    </row>
    <row r="83" customFormat="false" ht="15" hidden="false" customHeight="true" outlineLevel="0" collapsed="false">
      <c r="A83" s="216" t="n">
        <v>12.6</v>
      </c>
      <c r="B83" s="217" t="n">
        <f aca="false">IF(Calculator!$E$12="YES",IF(A83&lt;Calculator!$G$12,0,MIN(MIN(MOD(A83/Calculator!$F$12,1),1-MOD(A83/Calculator!$F$12,1)),ABS(MOD(A83/Calculator!$F$12,1)-0.5))),1)</f>
        <v>1</v>
      </c>
      <c r="C83" s="217" t="n">
        <f aca="false">IF(Calculator!$E$13="YES",IF(A83&lt;Calculator!$G$13,0,MIN(MIN(MOD(A83/Calculator!$F$13,1),1-MOD(A83/Calculator!$F$13,1)),ABS(MOD(A83/Calculator!$F$13,1)-0.5))),1)</f>
        <v>1</v>
      </c>
      <c r="D83" s="217" t="n">
        <f aca="false">IF(Calculator!$E$14="YES",IF(A83&lt;Calculator!$G$14,0,MIN(MIN(MOD(A83/Calculator!$F$14,1),1-MOD(A83/Calculator!$F$14,1)),ABS(MOD(A83/Calculator!$F$14,1)-0.5))),1)</f>
        <v>1</v>
      </c>
      <c r="E83" s="217" t="n">
        <f aca="false">IF(Calculator!$E$15="YES",IF(A83&lt;Calculator!$G$15,0,MIN(MIN(MOD(A83/Calculator!$F$15,1),1-MOD(A83/Calculator!$F$15,1)),ABS(MOD(A83/Calculator!$F$15,1)-0.5))),1)</f>
        <v>0.132210526315789</v>
      </c>
      <c r="F83" s="217" t="n">
        <f aca="false">IF(Calculator!$E$16="YES",IF(A83&lt;Calculator!$G$16,0,MIN(MIN(MOD(A83/Calculator!$F$16,1),1-MOD(A83/Calculator!$F$16,1)),ABS(MOD(A83/Calculator!$F$16,1)-0.5))),1)</f>
        <v>1</v>
      </c>
      <c r="G83" s="217" t="n">
        <f aca="false">IF(Calculator!$E$17="YES",IF(A83&lt;Calculator!$G$17,0,MIN(MIN(MOD(A83/Calculator!$F$17,1),1-MOD(A83/Calculator!$F$17,1)),ABS(MOD(A83/Calculator!$F$17,1)-0.5))),1)</f>
        <v>0.246631578947368</v>
      </c>
      <c r="H83" s="217" t="n">
        <f aca="false">IF(Calculator!$E$18="YES",IF(A83&lt;Calculator!$G$18,0,MIN(MIN(MOD(A83/Calculator!$F$18,1),1-MOD(A83/Calculator!$F$18,1)),ABS(MOD(A83/Calculator!$F$18,1)-0.5))),1)</f>
        <v>1</v>
      </c>
      <c r="I83" s="217" t="n">
        <f aca="false">IF(Calculator!$E$19="YES",IF(A83&lt;Calculator!$G$19,0,MIN(MIN(MOD(A83/Calculator!$F$19,1),1-MOD(A83/Calculator!$F$19,1)),ABS(MOD(A83/Calculator!$F$19,1)-0.5))),1)</f>
        <v>1</v>
      </c>
      <c r="J83" s="217" t="n">
        <f aca="false">IF(Calculator!$E$20="YES",IF(A83&lt;Calculator!$G$20,0,MIN(MIN(MOD(A83/Calculator!$F$20,1),1-MOD(A83/Calculator!$F$20,1)),ABS(MOD(A83/Calculator!$F$20,1)-0.5))),1)</f>
        <v>1</v>
      </c>
      <c r="K83" s="217" t="n">
        <f aca="false">IF(Calculator!$E$21="YES",IF(A83&lt;Calculator!$G$21,0,MIN(MIN(MOD(A83/Calculator!$F$21,1),1-MOD(A83/Calculator!$F$21,1)),ABS(MOD(A83/Calculator!$F$21,1)-0.5))),1)</f>
        <v>0.0509473684210526</v>
      </c>
      <c r="L83" s="217" t="n">
        <f aca="false">IF(Calculator!$E$22="YES",IF(A83&lt;Calculator!$G$22,0,MIN(MIN(MOD(A83/Calculator!$F$22,1),1-MOD(A83/Calculator!$F$22,1)),ABS(MOD(A83/Calculator!$F$22,1)-0.5))),1)</f>
        <v>1</v>
      </c>
      <c r="M83" s="217" t="n">
        <f aca="false">MIN(B83:L83)</f>
        <v>0.0509473684210526</v>
      </c>
      <c r="N83" s="217" t="n">
        <f aca="false">SUMPRODUCT(($M$7:$M$557&gt;M83)*1)+SUMPRODUCT(($M$7:$M$557=M83)*(ROW($M$7:$M$557)&lt;ROW(M83)))+1</f>
        <v>281</v>
      </c>
      <c r="O83" s="217" t="str">
        <f aca="false">IF(M83&gt;=0.2,"★★★ EXCELLENT",IF(M83&gt;=0.12,"★★  GOOD",IF(M83&gt;=0.07,"★  FAIR",IF(M83&gt;=0.025,"⚠  MARGINAL","✗  AVOID"))))</f>
        <v>⚠  MARGINAL</v>
      </c>
    </row>
    <row r="84" customFormat="false" ht="15" hidden="false" customHeight="true" outlineLevel="0" collapsed="false">
      <c r="A84" s="218" t="n">
        <v>12.7</v>
      </c>
      <c r="B84" s="219" t="n">
        <f aca="false">IF(Calculator!$E$12="YES",IF(A84&lt;Calculator!$G$12,0,MIN(MIN(MOD(A84/Calculator!$F$12,1),1-MOD(A84/Calculator!$F$12,1)),ABS(MOD(A84/Calculator!$F$12,1)-0.5))),1)</f>
        <v>1</v>
      </c>
      <c r="C84" s="219" t="n">
        <f aca="false">IF(Calculator!$E$13="YES",IF(A84&lt;Calculator!$G$13,0,MIN(MIN(MOD(A84/Calculator!$F$13,1),1-MOD(A84/Calculator!$F$13,1)),ABS(MOD(A84/Calculator!$F$13,1)-0.5))),1)</f>
        <v>1</v>
      </c>
      <c r="D84" s="219" t="n">
        <f aca="false">IF(Calculator!$E$14="YES",IF(A84&lt;Calculator!$G$14,0,MIN(MIN(MOD(A84/Calculator!$F$14,1),1-MOD(A84/Calculator!$F$14,1)),ABS(MOD(A84/Calculator!$F$14,1)-0.5))),1)</f>
        <v>1</v>
      </c>
      <c r="E84" s="219" t="n">
        <f aca="false">IF(Calculator!$E$15="YES",IF(A84&lt;Calculator!$G$15,0,MIN(MIN(MOD(A84/Calculator!$F$15,1),1-MOD(A84/Calculator!$F$15,1)),ABS(MOD(A84/Calculator!$F$15,1)-0.5))),1)</f>
        <v>0.137228070175439</v>
      </c>
      <c r="F84" s="219" t="n">
        <f aca="false">IF(Calculator!$E$16="YES",IF(A84&lt;Calculator!$G$16,0,MIN(MIN(MOD(A84/Calculator!$F$16,1),1-MOD(A84/Calculator!$F$16,1)),ABS(MOD(A84/Calculator!$F$16,1)-0.5))),1)</f>
        <v>1</v>
      </c>
      <c r="G84" s="219" t="n">
        <f aca="false">IF(Calculator!$E$17="YES",IF(A84&lt;Calculator!$G$17,0,MIN(MIN(MOD(A84/Calculator!$F$17,1),1-MOD(A84/Calculator!$F$17,1)),ABS(MOD(A84/Calculator!$F$17,1)-0.5))),1)</f>
        <v>0.236684210526316</v>
      </c>
      <c r="H84" s="219" t="n">
        <f aca="false">IF(Calculator!$E$18="YES",IF(A84&lt;Calculator!$G$18,0,MIN(MIN(MOD(A84/Calculator!$F$18,1),1-MOD(A84/Calculator!$F$18,1)),ABS(MOD(A84/Calculator!$F$18,1)-0.5))),1)</f>
        <v>1</v>
      </c>
      <c r="I84" s="219" t="n">
        <f aca="false">IF(Calculator!$E$19="YES",IF(A84&lt;Calculator!$G$19,0,MIN(MIN(MOD(A84/Calculator!$F$19,1),1-MOD(A84/Calculator!$F$19,1)),ABS(MOD(A84/Calculator!$F$19,1)-0.5))),1)</f>
        <v>1</v>
      </c>
      <c r="J84" s="219" t="n">
        <f aca="false">IF(Calculator!$E$20="YES",IF(A84&lt;Calculator!$G$20,0,MIN(MIN(MOD(A84/Calculator!$F$20,1),1-MOD(A84/Calculator!$F$20,1)),ABS(MOD(A84/Calculator!$F$20,1)-0.5))),1)</f>
        <v>1</v>
      </c>
      <c r="K84" s="219" t="n">
        <f aca="false">IF(Calculator!$E$21="YES",IF(A84&lt;Calculator!$G$21,0,MIN(MIN(MOD(A84/Calculator!$F$21,1),1-MOD(A84/Calculator!$F$21,1)),ABS(MOD(A84/Calculator!$F$21,1)-0.5))),1)</f>
        <v>0.0711929824561404</v>
      </c>
      <c r="L84" s="219" t="n">
        <f aca="false">IF(Calculator!$E$22="YES",IF(A84&lt;Calculator!$G$22,0,MIN(MIN(MOD(A84/Calculator!$F$22,1),1-MOD(A84/Calculator!$F$22,1)),ABS(MOD(A84/Calculator!$F$22,1)-0.5))),1)</f>
        <v>1</v>
      </c>
      <c r="M84" s="219" t="n">
        <f aca="false">MIN(B84:L84)</f>
        <v>0.0711929824561404</v>
      </c>
      <c r="N84" s="219" t="n">
        <f aca="false">SUMPRODUCT(($M$7:$M$557&gt;M84)*1)+SUMPRODUCT(($M$7:$M$557=M84)*(ROW($M$7:$M$557)&lt;ROW(M84)))+1</f>
        <v>202</v>
      </c>
      <c r="O84" s="219" t="str">
        <f aca="false">IF(M84&gt;=0.2,"★★★ EXCELLENT",IF(M84&gt;=0.12,"★★  GOOD",IF(M84&gt;=0.07,"★  FAIR",IF(M84&gt;=0.025,"⚠  MARGINAL","✗  AVOID"))))</f>
        <v>★  FAIR</v>
      </c>
    </row>
    <row r="85" customFormat="false" ht="15" hidden="false" customHeight="true" outlineLevel="0" collapsed="false">
      <c r="A85" s="216" t="n">
        <v>12.8</v>
      </c>
      <c r="B85" s="217" t="n">
        <f aca="false">IF(Calculator!$E$12="YES",IF(A85&lt;Calculator!$G$12,0,MIN(MIN(MOD(A85/Calculator!$F$12,1),1-MOD(A85/Calculator!$F$12,1)),ABS(MOD(A85/Calculator!$F$12,1)-0.5))),1)</f>
        <v>1</v>
      </c>
      <c r="C85" s="217" t="n">
        <f aca="false">IF(Calculator!$E$13="YES",IF(A85&lt;Calculator!$G$13,0,MIN(MIN(MOD(A85/Calculator!$F$13,1),1-MOD(A85/Calculator!$F$13,1)),ABS(MOD(A85/Calculator!$F$13,1)-0.5))),1)</f>
        <v>1</v>
      </c>
      <c r="D85" s="217" t="n">
        <f aca="false">IF(Calculator!$E$14="YES",IF(A85&lt;Calculator!$G$14,0,MIN(MIN(MOD(A85/Calculator!$F$14,1),1-MOD(A85/Calculator!$F$14,1)),ABS(MOD(A85/Calculator!$F$14,1)-0.5))),1)</f>
        <v>1</v>
      </c>
      <c r="E85" s="217" t="n">
        <f aca="false">IF(Calculator!$E$15="YES",IF(A85&lt;Calculator!$G$15,0,MIN(MIN(MOD(A85/Calculator!$F$15,1),1-MOD(A85/Calculator!$F$15,1)),ABS(MOD(A85/Calculator!$F$15,1)-0.5))),1)</f>
        <v>0.142245614035088</v>
      </c>
      <c r="F85" s="217" t="n">
        <f aca="false">IF(Calculator!$E$16="YES",IF(A85&lt;Calculator!$G$16,0,MIN(MIN(MOD(A85/Calculator!$F$16,1),1-MOD(A85/Calculator!$F$16,1)),ABS(MOD(A85/Calculator!$F$16,1)-0.5))),1)</f>
        <v>1</v>
      </c>
      <c r="G85" s="217" t="n">
        <f aca="false">IF(Calculator!$E$17="YES",IF(A85&lt;Calculator!$G$17,0,MIN(MIN(MOD(A85/Calculator!$F$17,1),1-MOD(A85/Calculator!$F$17,1)),ABS(MOD(A85/Calculator!$F$17,1)-0.5))),1)</f>
        <v>0.226736842105263</v>
      </c>
      <c r="H85" s="217" t="n">
        <f aca="false">IF(Calculator!$E$18="YES",IF(A85&lt;Calculator!$G$18,0,MIN(MIN(MOD(A85/Calculator!$F$18,1),1-MOD(A85/Calculator!$F$18,1)),ABS(MOD(A85/Calculator!$F$18,1)-0.5))),1)</f>
        <v>1</v>
      </c>
      <c r="I85" s="217" t="n">
        <f aca="false">IF(Calculator!$E$19="YES",IF(A85&lt;Calculator!$G$19,0,MIN(MIN(MOD(A85/Calculator!$F$19,1),1-MOD(A85/Calculator!$F$19,1)),ABS(MOD(A85/Calculator!$F$19,1)-0.5))),1)</f>
        <v>1</v>
      </c>
      <c r="J85" s="217" t="n">
        <f aca="false">IF(Calculator!$E$20="YES",IF(A85&lt;Calculator!$G$20,0,MIN(MIN(MOD(A85/Calculator!$F$20,1),1-MOD(A85/Calculator!$F$20,1)),ABS(MOD(A85/Calculator!$F$20,1)-0.5))),1)</f>
        <v>1</v>
      </c>
      <c r="K85" s="217" t="n">
        <f aca="false">IF(Calculator!$E$21="YES",IF(A85&lt;Calculator!$G$21,0,MIN(MIN(MOD(A85/Calculator!$F$21,1),1-MOD(A85/Calculator!$F$21,1)),ABS(MOD(A85/Calculator!$F$21,1)-0.5))),1)</f>
        <v>0.0914385964912281</v>
      </c>
      <c r="L85" s="217" t="n">
        <f aca="false">IF(Calculator!$E$22="YES",IF(A85&lt;Calculator!$G$22,0,MIN(MIN(MOD(A85/Calculator!$F$22,1),1-MOD(A85/Calculator!$F$22,1)),ABS(MOD(A85/Calculator!$F$22,1)-0.5))),1)</f>
        <v>1</v>
      </c>
      <c r="M85" s="217" t="n">
        <f aca="false">MIN(B85:L85)</f>
        <v>0.0914385964912281</v>
      </c>
      <c r="N85" s="217" t="n">
        <f aca="false">SUMPRODUCT(($M$7:$M$557&gt;M85)*1)+SUMPRODUCT(($M$7:$M$557=M85)*(ROW($M$7:$M$557)&lt;ROW(M85)))+1</f>
        <v>130</v>
      </c>
      <c r="O85" s="217" t="str">
        <f aca="false">IF(M85&gt;=0.2,"★★★ EXCELLENT",IF(M85&gt;=0.12,"★★  GOOD",IF(M85&gt;=0.07,"★  FAIR",IF(M85&gt;=0.025,"⚠  MARGINAL","✗  AVOID"))))</f>
        <v>★  FAIR</v>
      </c>
    </row>
    <row r="86" customFormat="false" ht="15" hidden="false" customHeight="true" outlineLevel="0" collapsed="false">
      <c r="A86" s="218" t="n">
        <v>12.9</v>
      </c>
      <c r="B86" s="219" t="n">
        <f aca="false">IF(Calculator!$E$12="YES",IF(A86&lt;Calculator!$G$12,0,MIN(MIN(MOD(A86/Calculator!$F$12,1),1-MOD(A86/Calculator!$F$12,1)),ABS(MOD(A86/Calculator!$F$12,1)-0.5))),1)</f>
        <v>1</v>
      </c>
      <c r="C86" s="219" t="n">
        <f aca="false">IF(Calculator!$E$13="YES",IF(A86&lt;Calculator!$G$13,0,MIN(MIN(MOD(A86/Calculator!$F$13,1),1-MOD(A86/Calculator!$F$13,1)),ABS(MOD(A86/Calculator!$F$13,1)-0.5))),1)</f>
        <v>1</v>
      </c>
      <c r="D86" s="219" t="n">
        <f aca="false">IF(Calculator!$E$14="YES",IF(A86&lt;Calculator!$G$14,0,MIN(MIN(MOD(A86/Calculator!$F$14,1),1-MOD(A86/Calculator!$F$14,1)),ABS(MOD(A86/Calculator!$F$14,1)-0.5))),1)</f>
        <v>1</v>
      </c>
      <c r="E86" s="219" t="n">
        <f aca="false">IF(Calculator!$E$15="YES",IF(A86&lt;Calculator!$G$15,0,MIN(MIN(MOD(A86/Calculator!$F$15,1),1-MOD(A86/Calculator!$F$15,1)),ABS(MOD(A86/Calculator!$F$15,1)-0.5))),1)</f>
        <v>0.147263157894737</v>
      </c>
      <c r="F86" s="219" t="n">
        <f aca="false">IF(Calculator!$E$16="YES",IF(A86&lt;Calculator!$G$16,0,MIN(MIN(MOD(A86/Calculator!$F$16,1),1-MOD(A86/Calculator!$F$16,1)),ABS(MOD(A86/Calculator!$F$16,1)-0.5))),1)</f>
        <v>1</v>
      </c>
      <c r="G86" s="219" t="n">
        <f aca="false">IF(Calculator!$E$17="YES",IF(A86&lt;Calculator!$G$17,0,MIN(MIN(MOD(A86/Calculator!$F$17,1),1-MOD(A86/Calculator!$F$17,1)),ABS(MOD(A86/Calculator!$F$17,1)-0.5))),1)</f>
        <v>0.21678947368421</v>
      </c>
      <c r="H86" s="219" t="n">
        <f aca="false">IF(Calculator!$E$18="YES",IF(A86&lt;Calculator!$G$18,0,MIN(MIN(MOD(A86/Calculator!$F$18,1),1-MOD(A86/Calculator!$F$18,1)),ABS(MOD(A86/Calculator!$F$18,1)-0.5))),1)</f>
        <v>1</v>
      </c>
      <c r="I86" s="219" t="n">
        <f aca="false">IF(Calculator!$E$19="YES",IF(A86&lt;Calculator!$G$19,0,MIN(MIN(MOD(A86/Calculator!$F$19,1),1-MOD(A86/Calculator!$F$19,1)),ABS(MOD(A86/Calculator!$F$19,1)-0.5))),1)</f>
        <v>1</v>
      </c>
      <c r="J86" s="219" t="n">
        <f aca="false">IF(Calculator!$E$20="YES",IF(A86&lt;Calculator!$G$20,0,MIN(MIN(MOD(A86/Calculator!$F$20,1),1-MOD(A86/Calculator!$F$20,1)),ABS(MOD(A86/Calculator!$F$20,1)-0.5))),1)</f>
        <v>1</v>
      </c>
      <c r="K86" s="219" t="n">
        <f aca="false">IF(Calculator!$E$21="YES",IF(A86&lt;Calculator!$G$21,0,MIN(MIN(MOD(A86/Calculator!$F$21,1),1-MOD(A86/Calculator!$F$21,1)),ABS(MOD(A86/Calculator!$F$21,1)-0.5))),1)</f>
        <v>0.111684210526316</v>
      </c>
      <c r="L86" s="219" t="n">
        <f aca="false">IF(Calculator!$E$22="YES",IF(A86&lt;Calculator!$G$22,0,MIN(MIN(MOD(A86/Calculator!$F$22,1),1-MOD(A86/Calculator!$F$22,1)),ABS(MOD(A86/Calculator!$F$22,1)-0.5))),1)</f>
        <v>1</v>
      </c>
      <c r="M86" s="219" t="n">
        <f aca="false">MIN(B86:L86)</f>
        <v>0.111684210526316</v>
      </c>
      <c r="N86" s="219" t="n">
        <f aca="false">SUMPRODUCT(($M$7:$M$557&gt;M86)*1)+SUMPRODUCT(($M$7:$M$557=M86)*(ROW($M$7:$M$557)&lt;ROW(M86)))+1</f>
        <v>79</v>
      </c>
      <c r="O86" s="219" t="str">
        <f aca="false">IF(M86&gt;=0.2,"★★★ EXCELLENT",IF(M86&gt;=0.12,"★★  GOOD",IF(M86&gt;=0.07,"★  FAIR",IF(M86&gt;=0.025,"⚠  MARGINAL","✗  AVOID"))))</f>
        <v>★  FAIR</v>
      </c>
    </row>
    <row r="87" customFormat="false" ht="15" hidden="false" customHeight="true" outlineLevel="0" collapsed="false">
      <c r="A87" s="216" t="n">
        <v>13</v>
      </c>
      <c r="B87" s="217" t="n">
        <f aca="false">IF(Calculator!$E$12="YES",IF(A87&lt;Calculator!$G$12,0,MIN(MIN(MOD(A87/Calculator!$F$12,1),1-MOD(A87/Calculator!$F$12,1)),ABS(MOD(A87/Calculator!$F$12,1)-0.5))),1)</f>
        <v>1</v>
      </c>
      <c r="C87" s="217" t="n">
        <f aca="false">IF(Calculator!$E$13="YES",IF(A87&lt;Calculator!$G$13,0,MIN(MIN(MOD(A87/Calculator!$F$13,1),1-MOD(A87/Calculator!$F$13,1)),ABS(MOD(A87/Calculator!$F$13,1)-0.5))),1)</f>
        <v>1</v>
      </c>
      <c r="D87" s="217" t="n">
        <f aca="false">IF(Calculator!$E$14="YES",IF(A87&lt;Calculator!$G$14,0,MIN(MIN(MOD(A87/Calculator!$F$14,1),1-MOD(A87/Calculator!$F$14,1)),ABS(MOD(A87/Calculator!$F$14,1)-0.5))),1)</f>
        <v>1</v>
      </c>
      <c r="E87" s="217" t="n">
        <f aca="false">IF(Calculator!$E$15="YES",IF(A87&lt;Calculator!$G$15,0,MIN(MIN(MOD(A87/Calculator!$F$15,1),1-MOD(A87/Calculator!$F$15,1)),ABS(MOD(A87/Calculator!$F$15,1)-0.5))),1)</f>
        <v>0.152280701754386</v>
      </c>
      <c r="F87" s="217" t="n">
        <f aca="false">IF(Calculator!$E$16="YES",IF(A87&lt;Calculator!$G$16,0,MIN(MIN(MOD(A87/Calculator!$F$16,1),1-MOD(A87/Calculator!$F$16,1)),ABS(MOD(A87/Calculator!$F$16,1)-0.5))),1)</f>
        <v>1</v>
      </c>
      <c r="G87" s="217" t="n">
        <f aca="false">IF(Calculator!$E$17="YES",IF(A87&lt;Calculator!$G$17,0,MIN(MIN(MOD(A87/Calculator!$F$17,1),1-MOD(A87/Calculator!$F$17,1)),ABS(MOD(A87/Calculator!$F$17,1)-0.5))),1)</f>
        <v>0.206842105263158</v>
      </c>
      <c r="H87" s="217" t="n">
        <f aca="false">IF(Calculator!$E$18="YES",IF(A87&lt;Calculator!$G$18,0,MIN(MIN(MOD(A87/Calculator!$F$18,1),1-MOD(A87/Calculator!$F$18,1)),ABS(MOD(A87/Calculator!$F$18,1)-0.5))),1)</f>
        <v>1</v>
      </c>
      <c r="I87" s="217" t="n">
        <f aca="false">IF(Calculator!$E$19="YES",IF(A87&lt;Calculator!$G$19,0,MIN(MIN(MOD(A87/Calculator!$F$19,1),1-MOD(A87/Calculator!$F$19,1)),ABS(MOD(A87/Calculator!$F$19,1)-0.5))),1)</f>
        <v>1</v>
      </c>
      <c r="J87" s="217" t="n">
        <f aca="false">IF(Calculator!$E$20="YES",IF(A87&lt;Calculator!$G$20,0,MIN(MIN(MOD(A87/Calculator!$F$20,1),1-MOD(A87/Calculator!$F$20,1)),ABS(MOD(A87/Calculator!$F$20,1)-0.5))),1)</f>
        <v>1</v>
      </c>
      <c r="K87" s="217" t="n">
        <f aca="false">IF(Calculator!$E$21="YES",IF(A87&lt;Calculator!$G$21,0,MIN(MIN(MOD(A87/Calculator!$F$21,1),1-MOD(A87/Calculator!$F$21,1)),ABS(MOD(A87/Calculator!$F$21,1)-0.5))),1)</f>
        <v>0.131929824561404</v>
      </c>
      <c r="L87" s="217" t="n">
        <f aca="false">IF(Calculator!$E$22="YES",IF(A87&lt;Calculator!$G$22,0,MIN(MIN(MOD(A87/Calculator!$F$22,1),1-MOD(A87/Calculator!$F$22,1)),ABS(MOD(A87/Calculator!$F$22,1)-0.5))),1)</f>
        <v>1</v>
      </c>
      <c r="M87" s="217" t="n">
        <f aca="false">MIN(B87:L87)</f>
        <v>0.131929824561404</v>
      </c>
      <c r="N87" s="217" t="n">
        <f aca="false">SUMPRODUCT(($M$7:$M$557&gt;M87)*1)+SUMPRODUCT(($M$7:$M$557=M87)*(ROW($M$7:$M$557)&lt;ROW(M87)))+1</f>
        <v>55</v>
      </c>
      <c r="O87" s="217" t="str">
        <f aca="false">IF(M87&gt;=0.2,"★★★ EXCELLENT",IF(M87&gt;=0.12,"★★  GOOD",IF(M87&gt;=0.07,"★  FAIR",IF(M87&gt;=0.025,"⚠  MARGINAL","✗  AVOID"))))</f>
        <v>★★  GOOD</v>
      </c>
    </row>
    <row r="88" customFormat="false" ht="15" hidden="false" customHeight="true" outlineLevel="0" collapsed="false">
      <c r="A88" s="218" t="n">
        <v>13.1</v>
      </c>
      <c r="B88" s="219" t="n">
        <f aca="false">IF(Calculator!$E$12="YES",IF(A88&lt;Calculator!$G$12,0,MIN(MIN(MOD(A88/Calculator!$F$12,1),1-MOD(A88/Calculator!$F$12,1)),ABS(MOD(A88/Calculator!$F$12,1)-0.5))),1)</f>
        <v>1</v>
      </c>
      <c r="C88" s="219" t="n">
        <f aca="false">IF(Calculator!$E$13="YES",IF(A88&lt;Calculator!$G$13,0,MIN(MIN(MOD(A88/Calculator!$F$13,1),1-MOD(A88/Calculator!$F$13,1)),ABS(MOD(A88/Calculator!$F$13,1)-0.5))),1)</f>
        <v>1</v>
      </c>
      <c r="D88" s="219" t="n">
        <f aca="false">IF(Calculator!$E$14="YES",IF(A88&lt;Calculator!$G$14,0,MIN(MIN(MOD(A88/Calculator!$F$14,1),1-MOD(A88/Calculator!$F$14,1)),ABS(MOD(A88/Calculator!$F$14,1)-0.5))),1)</f>
        <v>1</v>
      </c>
      <c r="E88" s="219" t="n">
        <f aca="false">IF(Calculator!$E$15="YES",IF(A88&lt;Calculator!$G$15,0,MIN(MIN(MOD(A88/Calculator!$F$15,1),1-MOD(A88/Calculator!$F$15,1)),ABS(MOD(A88/Calculator!$F$15,1)-0.5))),1)</f>
        <v>0.157298245614035</v>
      </c>
      <c r="F88" s="219" t="n">
        <f aca="false">IF(Calculator!$E$16="YES",IF(A88&lt;Calculator!$G$16,0,MIN(MIN(MOD(A88/Calculator!$F$16,1),1-MOD(A88/Calculator!$F$16,1)),ABS(MOD(A88/Calculator!$F$16,1)-0.5))),1)</f>
        <v>1</v>
      </c>
      <c r="G88" s="219" t="n">
        <f aca="false">IF(Calculator!$E$17="YES",IF(A88&lt;Calculator!$G$17,0,MIN(MIN(MOD(A88/Calculator!$F$17,1),1-MOD(A88/Calculator!$F$17,1)),ABS(MOD(A88/Calculator!$F$17,1)-0.5))),1)</f>
        <v>0.196894736842105</v>
      </c>
      <c r="H88" s="219" t="n">
        <f aca="false">IF(Calculator!$E$18="YES",IF(A88&lt;Calculator!$G$18,0,MIN(MIN(MOD(A88/Calculator!$F$18,1),1-MOD(A88/Calculator!$F$18,1)),ABS(MOD(A88/Calculator!$F$18,1)-0.5))),1)</f>
        <v>1</v>
      </c>
      <c r="I88" s="219" t="n">
        <f aca="false">IF(Calculator!$E$19="YES",IF(A88&lt;Calculator!$G$19,0,MIN(MIN(MOD(A88/Calculator!$F$19,1),1-MOD(A88/Calculator!$F$19,1)),ABS(MOD(A88/Calculator!$F$19,1)-0.5))),1)</f>
        <v>1</v>
      </c>
      <c r="J88" s="219" t="n">
        <f aca="false">IF(Calculator!$E$20="YES",IF(A88&lt;Calculator!$G$20,0,MIN(MIN(MOD(A88/Calculator!$F$20,1),1-MOD(A88/Calculator!$F$20,1)),ABS(MOD(A88/Calculator!$F$20,1)-0.5))),1)</f>
        <v>1</v>
      </c>
      <c r="K88" s="219" t="n">
        <f aca="false">IF(Calculator!$E$21="YES",IF(A88&lt;Calculator!$G$21,0,MIN(MIN(MOD(A88/Calculator!$F$21,1),1-MOD(A88/Calculator!$F$21,1)),ABS(MOD(A88/Calculator!$F$21,1)-0.5))),1)</f>
        <v>0.152175438596491</v>
      </c>
      <c r="L88" s="219" t="n">
        <f aca="false">IF(Calculator!$E$22="YES",IF(A88&lt;Calculator!$G$22,0,MIN(MIN(MOD(A88/Calculator!$F$22,1),1-MOD(A88/Calculator!$F$22,1)),ABS(MOD(A88/Calculator!$F$22,1)-0.5))),1)</f>
        <v>1</v>
      </c>
      <c r="M88" s="219" t="n">
        <f aca="false">MIN(B88:L88)</f>
        <v>0.152175438596491</v>
      </c>
      <c r="N88" s="219" t="n">
        <f aca="false">SUMPRODUCT(($M$7:$M$557&gt;M88)*1)+SUMPRODUCT(($M$7:$M$557=M88)*(ROW($M$7:$M$557)&lt;ROW(M88)))+1</f>
        <v>35</v>
      </c>
      <c r="O88" s="219" t="str">
        <f aca="false">IF(M88&gt;=0.2,"★★★ EXCELLENT",IF(M88&gt;=0.12,"★★  GOOD",IF(M88&gt;=0.07,"★  FAIR",IF(M88&gt;=0.025,"⚠  MARGINAL","✗  AVOID"))))</f>
        <v>★★  GOOD</v>
      </c>
    </row>
    <row r="89" customFormat="false" ht="15" hidden="false" customHeight="true" outlineLevel="0" collapsed="false">
      <c r="A89" s="216" t="n">
        <v>13.2</v>
      </c>
      <c r="B89" s="217" t="n">
        <f aca="false">IF(Calculator!$E$12="YES",IF(A89&lt;Calculator!$G$12,0,MIN(MIN(MOD(A89/Calculator!$F$12,1),1-MOD(A89/Calculator!$F$12,1)),ABS(MOD(A89/Calculator!$F$12,1)-0.5))),1)</f>
        <v>1</v>
      </c>
      <c r="C89" s="217" t="n">
        <f aca="false">IF(Calculator!$E$13="YES",IF(A89&lt;Calculator!$G$13,0,MIN(MIN(MOD(A89/Calculator!$F$13,1),1-MOD(A89/Calculator!$F$13,1)),ABS(MOD(A89/Calculator!$F$13,1)-0.5))),1)</f>
        <v>1</v>
      </c>
      <c r="D89" s="217" t="n">
        <f aca="false">IF(Calculator!$E$14="YES",IF(A89&lt;Calculator!$G$14,0,MIN(MIN(MOD(A89/Calculator!$F$14,1),1-MOD(A89/Calculator!$F$14,1)),ABS(MOD(A89/Calculator!$F$14,1)-0.5))),1)</f>
        <v>1</v>
      </c>
      <c r="E89" s="217" t="n">
        <f aca="false">IF(Calculator!$E$15="YES",IF(A89&lt;Calculator!$G$15,0,MIN(MIN(MOD(A89/Calculator!$F$15,1),1-MOD(A89/Calculator!$F$15,1)),ABS(MOD(A89/Calculator!$F$15,1)-0.5))),1)</f>
        <v>0.162315789473684</v>
      </c>
      <c r="F89" s="217" t="n">
        <f aca="false">IF(Calculator!$E$16="YES",IF(A89&lt;Calculator!$G$16,0,MIN(MIN(MOD(A89/Calculator!$F$16,1),1-MOD(A89/Calculator!$F$16,1)),ABS(MOD(A89/Calculator!$F$16,1)-0.5))),1)</f>
        <v>1</v>
      </c>
      <c r="G89" s="217" t="n">
        <f aca="false">IF(Calculator!$E$17="YES",IF(A89&lt;Calculator!$G$17,0,MIN(MIN(MOD(A89/Calculator!$F$17,1),1-MOD(A89/Calculator!$F$17,1)),ABS(MOD(A89/Calculator!$F$17,1)-0.5))),1)</f>
        <v>0.186947368421053</v>
      </c>
      <c r="H89" s="217" t="n">
        <f aca="false">IF(Calculator!$E$18="YES",IF(A89&lt;Calculator!$G$18,0,MIN(MIN(MOD(A89/Calculator!$F$18,1),1-MOD(A89/Calculator!$F$18,1)),ABS(MOD(A89/Calculator!$F$18,1)-0.5))),1)</f>
        <v>1</v>
      </c>
      <c r="I89" s="217" t="n">
        <f aca="false">IF(Calculator!$E$19="YES",IF(A89&lt;Calculator!$G$19,0,MIN(MIN(MOD(A89/Calculator!$F$19,1),1-MOD(A89/Calculator!$F$19,1)),ABS(MOD(A89/Calculator!$F$19,1)-0.5))),1)</f>
        <v>1</v>
      </c>
      <c r="J89" s="217" t="n">
        <f aca="false">IF(Calculator!$E$20="YES",IF(A89&lt;Calculator!$G$20,0,MIN(MIN(MOD(A89/Calculator!$F$20,1),1-MOD(A89/Calculator!$F$20,1)),ABS(MOD(A89/Calculator!$F$20,1)-0.5))),1)</f>
        <v>1</v>
      </c>
      <c r="K89" s="217" t="n">
        <f aca="false">IF(Calculator!$E$21="YES",IF(A89&lt;Calculator!$G$21,0,MIN(MIN(MOD(A89/Calculator!$F$21,1),1-MOD(A89/Calculator!$F$21,1)),ABS(MOD(A89/Calculator!$F$21,1)-0.5))),1)</f>
        <v>0.172421052631579</v>
      </c>
      <c r="L89" s="217" t="n">
        <f aca="false">IF(Calculator!$E$22="YES",IF(A89&lt;Calculator!$G$22,0,MIN(MIN(MOD(A89/Calculator!$F$22,1),1-MOD(A89/Calculator!$F$22,1)),ABS(MOD(A89/Calculator!$F$22,1)-0.5))),1)</f>
        <v>1</v>
      </c>
      <c r="M89" s="217" t="n">
        <f aca="false">MIN(B89:L89)</f>
        <v>0.162315789473684</v>
      </c>
      <c r="N89" s="217" t="n">
        <f aca="false">SUMPRODUCT(($M$7:$M$557&gt;M89)*1)+SUMPRODUCT(($M$7:$M$557=M89)*(ROW($M$7:$M$557)&lt;ROW(M89)))+1</f>
        <v>22</v>
      </c>
      <c r="O89" s="217" t="str">
        <f aca="false">IF(M89&gt;=0.2,"★★★ EXCELLENT",IF(M89&gt;=0.12,"★★  GOOD",IF(M89&gt;=0.07,"★  FAIR",IF(M89&gt;=0.025,"⚠  MARGINAL","✗  AVOID"))))</f>
        <v>★★  GOOD</v>
      </c>
    </row>
    <row r="90" customFormat="false" ht="15" hidden="false" customHeight="true" outlineLevel="0" collapsed="false">
      <c r="A90" s="218" t="n">
        <v>13.3</v>
      </c>
      <c r="B90" s="219" t="n">
        <f aca="false">IF(Calculator!$E$12="YES",IF(A90&lt;Calculator!$G$12,0,MIN(MIN(MOD(A90/Calculator!$F$12,1),1-MOD(A90/Calculator!$F$12,1)),ABS(MOD(A90/Calculator!$F$12,1)-0.5))),1)</f>
        <v>1</v>
      </c>
      <c r="C90" s="219" t="n">
        <f aca="false">IF(Calculator!$E$13="YES",IF(A90&lt;Calculator!$G$13,0,MIN(MIN(MOD(A90/Calculator!$F$13,1),1-MOD(A90/Calculator!$F$13,1)),ABS(MOD(A90/Calculator!$F$13,1)-0.5))),1)</f>
        <v>1</v>
      </c>
      <c r="D90" s="219" t="n">
        <f aca="false">IF(Calculator!$E$14="YES",IF(A90&lt;Calculator!$G$14,0,MIN(MIN(MOD(A90/Calculator!$F$14,1),1-MOD(A90/Calculator!$F$14,1)),ABS(MOD(A90/Calculator!$F$14,1)-0.5))),1)</f>
        <v>1</v>
      </c>
      <c r="E90" s="219" t="n">
        <f aca="false">IF(Calculator!$E$15="YES",IF(A90&lt;Calculator!$G$15,0,MIN(MIN(MOD(A90/Calculator!$F$15,1),1-MOD(A90/Calculator!$F$15,1)),ABS(MOD(A90/Calculator!$F$15,1)-0.5))),1)</f>
        <v>0.167333333333333</v>
      </c>
      <c r="F90" s="219" t="n">
        <f aca="false">IF(Calculator!$E$16="YES",IF(A90&lt;Calculator!$G$16,0,MIN(MIN(MOD(A90/Calculator!$F$16,1),1-MOD(A90/Calculator!$F$16,1)),ABS(MOD(A90/Calculator!$F$16,1)-0.5))),1)</f>
        <v>1</v>
      </c>
      <c r="G90" s="219" t="n">
        <f aca="false">IF(Calculator!$E$17="YES",IF(A90&lt;Calculator!$G$17,0,MIN(MIN(MOD(A90/Calculator!$F$17,1),1-MOD(A90/Calculator!$F$17,1)),ABS(MOD(A90/Calculator!$F$17,1)-0.5))),1)</f>
        <v>0.177</v>
      </c>
      <c r="H90" s="219" t="n">
        <f aca="false">IF(Calculator!$E$18="YES",IF(A90&lt;Calculator!$G$18,0,MIN(MIN(MOD(A90/Calculator!$F$18,1),1-MOD(A90/Calculator!$F$18,1)),ABS(MOD(A90/Calculator!$F$18,1)-0.5))),1)</f>
        <v>1</v>
      </c>
      <c r="I90" s="219" t="n">
        <f aca="false">IF(Calculator!$E$19="YES",IF(A90&lt;Calculator!$G$19,0,MIN(MIN(MOD(A90/Calculator!$F$19,1),1-MOD(A90/Calculator!$F$19,1)),ABS(MOD(A90/Calculator!$F$19,1)-0.5))),1)</f>
        <v>1</v>
      </c>
      <c r="J90" s="219" t="n">
        <f aca="false">IF(Calculator!$E$20="YES",IF(A90&lt;Calculator!$G$20,0,MIN(MIN(MOD(A90/Calculator!$F$20,1),1-MOD(A90/Calculator!$F$20,1)),ABS(MOD(A90/Calculator!$F$20,1)-0.5))),1)</f>
        <v>1</v>
      </c>
      <c r="K90" s="219" t="n">
        <f aca="false">IF(Calculator!$E$21="YES",IF(A90&lt;Calculator!$G$21,0,MIN(MIN(MOD(A90/Calculator!$F$21,1),1-MOD(A90/Calculator!$F$21,1)),ABS(MOD(A90/Calculator!$F$21,1)-0.5))),1)</f>
        <v>0.192666666666667</v>
      </c>
      <c r="L90" s="219" t="n">
        <f aca="false">IF(Calculator!$E$22="YES",IF(A90&lt;Calculator!$G$22,0,MIN(MIN(MOD(A90/Calculator!$F$22,1),1-MOD(A90/Calculator!$F$22,1)),ABS(MOD(A90/Calculator!$F$22,1)-0.5))),1)</f>
        <v>1</v>
      </c>
      <c r="M90" s="219" t="n">
        <f aca="false">MIN(B90:L90)</f>
        <v>0.167333333333333</v>
      </c>
      <c r="N90" s="219" t="n">
        <f aca="false">SUMPRODUCT(($M$7:$M$557&gt;M90)*1)+SUMPRODUCT(($M$7:$M$557=M90)*(ROW($M$7:$M$557)&lt;ROW(M90)))+1</f>
        <v>14</v>
      </c>
      <c r="O90" s="219" t="str">
        <f aca="false">IF(M90&gt;=0.2,"★★★ EXCELLENT",IF(M90&gt;=0.12,"★★  GOOD",IF(M90&gt;=0.07,"★  FAIR",IF(M90&gt;=0.025,"⚠  MARGINAL","✗  AVOID"))))</f>
        <v>★★  GOOD</v>
      </c>
    </row>
    <row r="91" customFormat="false" ht="15" hidden="false" customHeight="true" outlineLevel="0" collapsed="false">
      <c r="A91" s="216" t="n">
        <v>13.4</v>
      </c>
      <c r="B91" s="217" t="n">
        <f aca="false">IF(Calculator!$E$12="YES",IF(A91&lt;Calculator!$G$12,0,MIN(MIN(MOD(A91/Calculator!$F$12,1),1-MOD(A91/Calculator!$F$12,1)),ABS(MOD(A91/Calculator!$F$12,1)-0.5))),1)</f>
        <v>1</v>
      </c>
      <c r="C91" s="217" t="n">
        <f aca="false">IF(Calculator!$E$13="YES",IF(A91&lt;Calculator!$G$13,0,MIN(MIN(MOD(A91/Calculator!$F$13,1),1-MOD(A91/Calculator!$F$13,1)),ABS(MOD(A91/Calculator!$F$13,1)-0.5))),1)</f>
        <v>1</v>
      </c>
      <c r="D91" s="217" t="n">
        <f aca="false">IF(Calculator!$E$14="YES",IF(A91&lt;Calculator!$G$14,0,MIN(MIN(MOD(A91/Calculator!$F$14,1),1-MOD(A91/Calculator!$F$14,1)),ABS(MOD(A91/Calculator!$F$14,1)-0.5))),1)</f>
        <v>1</v>
      </c>
      <c r="E91" s="217" t="n">
        <f aca="false">IF(Calculator!$E$15="YES",IF(A91&lt;Calculator!$G$15,0,MIN(MIN(MOD(A91/Calculator!$F$15,1),1-MOD(A91/Calculator!$F$15,1)),ABS(MOD(A91/Calculator!$F$15,1)-0.5))),1)</f>
        <v>0.172350877192982</v>
      </c>
      <c r="F91" s="217" t="n">
        <f aca="false">IF(Calculator!$E$16="YES",IF(A91&lt;Calculator!$G$16,0,MIN(MIN(MOD(A91/Calculator!$F$16,1),1-MOD(A91/Calculator!$F$16,1)),ABS(MOD(A91/Calculator!$F$16,1)-0.5))),1)</f>
        <v>1</v>
      </c>
      <c r="G91" s="217" t="n">
        <f aca="false">IF(Calculator!$E$17="YES",IF(A91&lt;Calculator!$G$17,0,MIN(MIN(MOD(A91/Calculator!$F$17,1),1-MOD(A91/Calculator!$F$17,1)),ABS(MOD(A91/Calculator!$F$17,1)-0.5))),1)</f>
        <v>0.167052631578947</v>
      </c>
      <c r="H91" s="217" t="n">
        <f aca="false">IF(Calculator!$E$18="YES",IF(A91&lt;Calculator!$G$18,0,MIN(MIN(MOD(A91/Calculator!$F$18,1),1-MOD(A91/Calculator!$F$18,1)),ABS(MOD(A91/Calculator!$F$18,1)-0.5))),1)</f>
        <v>1</v>
      </c>
      <c r="I91" s="217" t="n">
        <f aca="false">IF(Calculator!$E$19="YES",IF(A91&lt;Calculator!$G$19,0,MIN(MIN(MOD(A91/Calculator!$F$19,1),1-MOD(A91/Calculator!$F$19,1)),ABS(MOD(A91/Calculator!$F$19,1)-0.5))),1)</f>
        <v>1</v>
      </c>
      <c r="J91" s="217" t="n">
        <f aca="false">IF(Calculator!$E$20="YES",IF(A91&lt;Calculator!$G$20,0,MIN(MIN(MOD(A91/Calculator!$F$20,1),1-MOD(A91/Calculator!$F$20,1)),ABS(MOD(A91/Calculator!$F$20,1)-0.5))),1)</f>
        <v>1</v>
      </c>
      <c r="K91" s="217" t="n">
        <f aca="false">IF(Calculator!$E$21="YES",IF(A91&lt;Calculator!$G$21,0,MIN(MIN(MOD(A91/Calculator!$F$21,1),1-MOD(A91/Calculator!$F$21,1)),ABS(MOD(A91/Calculator!$F$21,1)-0.5))),1)</f>
        <v>0.212912280701755</v>
      </c>
      <c r="L91" s="217" t="n">
        <f aca="false">IF(Calculator!$E$22="YES",IF(A91&lt;Calculator!$G$22,0,MIN(MIN(MOD(A91/Calculator!$F$22,1),1-MOD(A91/Calculator!$F$22,1)),ABS(MOD(A91/Calculator!$F$22,1)-0.5))),1)</f>
        <v>1</v>
      </c>
      <c r="M91" s="217" t="n">
        <f aca="false">MIN(B91:L91)</f>
        <v>0.167052631578947</v>
      </c>
      <c r="N91" s="217" t="n">
        <f aca="false">SUMPRODUCT(($M$7:$M$557&gt;M91)*1)+SUMPRODUCT(($M$7:$M$557=M91)*(ROW($M$7:$M$557)&lt;ROW(M91)))+1</f>
        <v>15</v>
      </c>
      <c r="O91" s="217" t="str">
        <f aca="false">IF(M91&gt;=0.2,"★★★ EXCELLENT",IF(M91&gt;=0.12,"★★  GOOD",IF(M91&gt;=0.07,"★  FAIR",IF(M91&gt;=0.025,"⚠  MARGINAL","✗  AVOID"))))</f>
        <v>★★  GOOD</v>
      </c>
    </row>
    <row r="92" customFormat="false" ht="15" hidden="false" customHeight="true" outlineLevel="0" collapsed="false">
      <c r="A92" s="218" t="n">
        <v>13.5</v>
      </c>
      <c r="B92" s="219" t="n">
        <f aca="false">IF(Calculator!$E$12="YES",IF(A92&lt;Calculator!$G$12,0,MIN(MIN(MOD(A92/Calculator!$F$12,1),1-MOD(A92/Calculator!$F$12,1)),ABS(MOD(A92/Calculator!$F$12,1)-0.5))),1)</f>
        <v>1</v>
      </c>
      <c r="C92" s="219" t="n">
        <f aca="false">IF(Calculator!$E$13="YES",IF(A92&lt;Calculator!$G$13,0,MIN(MIN(MOD(A92/Calculator!$F$13,1),1-MOD(A92/Calculator!$F$13,1)),ABS(MOD(A92/Calculator!$F$13,1)-0.5))),1)</f>
        <v>1</v>
      </c>
      <c r="D92" s="219" t="n">
        <f aca="false">IF(Calculator!$E$14="YES",IF(A92&lt;Calculator!$G$14,0,MIN(MIN(MOD(A92/Calculator!$F$14,1),1-MOD(A92/Calculator!$F$14,1)),ABS(MOD(A92/Calculator!$F$14,1)-0.5))),1)</f>
        <v>1</v>
      </c>
      <c r="E92" s="219" t="n">
        <f aca="false">IF(Calculator!$E$15="YES",IF(A92&lt;Calculator!$G$15,0,MIN(MIN(MOD(A92/Calculator!$F$15,1),1-MOD(A92/Calculator!$F$15,1)),ABS(MOD(A92/Calculator!$F$15,1)-0.5))),1)</f>
        <v>0.177368421052632</v>
      </c>
      <c r="F92" s="219" t="n">
        <f aca="false">IF(Calculator!$E$16="YES",IF(A92&lt;Calculator!$G$16,0,MIN(MIN(MOD(A92/Calculator!$F$16,1),1-MOD(A92/Calculator!$F$16,1)),ABS(MOD(A92/Calculator!$F$16,1)-0.5))),1)</f>
        <v>1</v>
      </c>
      <c r="G92" s="219" t="n">
        <f aca="false">IF(Calculator!$E$17="YES",IF(A92&lt;Calculator!$G$17,0,MIN(MIN(MOD(A92/Calculator!$F$17,1),1-MOD(A92/Calculator!$F$17,1)),ABS(MOD(A92/Calculator!$F$17,1)-0.5))),1)</f>
        <v>0.157105263157895</v>
      </c>
      <c r="H92" s="219" t="n">
        <f aca="false">IF(Calculator!$E$18="YES",IF(A92&lt;Calculator!$G$18,0,MIN(MIN(MOD(A92/Calculator!$F$18,1),1-MOD(A92/Calculator!$F$18,1)),ABS(MOD(A92/Calculator!$F$18,1)-0.5))),1)</f>
        <v>1</v>
      </c>
      <c r="I92" s="219" t="n">
        <f aca="false">IF(Calculator!$E$19="YES",IF(A92&lt;Calculator!$G$19,0,MIN(MIN(MOD(A92/Calculator!$F$19,1),1-MOD(A92/Calculator!$F$19,1)),ABS(MOD(A92/Calculator!$F$19,1)-0.5))),1)</f>
        <v>1</v>
      </c>
      <c r="J92" s="219" t="n">
        <f aca="false">IF(Calculator!$E$20="YES",IF(A92&lt;Calculator!$G$20,0,MIN(MIN(MOD(A92/Calculator!$F$20,1),1-MOD(A92/Calculator!$F$20,1)),ABS(MOD(A92/Calculator!$F$20,1)-0.5))),1)</f>
        <v>1</v>
      </c>
      <c r="K92" s="219" t="n">
        <f aca="false">IF(Calculator!$E$21="YES",IF(A92&lt;Calculator!$G$21,0,MIN(MIN(MOD(A92/Calculator!$F$21,1),1-MOD(A92/Calculator!$F$21,1)),ABS(MOD(A92/Calculator!$F$21,1)-0.5))),1)</f>
        <v>0.233157894736842</v>
      </c>
      <c r="L92" s="219" t="n">
        <f aca="false">IF(Calculator!$E$22="YES",IF(A92&lt;Calculator!$G$22,0,MIN(MIN(MOD(A92/Calculator!$F$22,1),1-MOD(A92/Calculator!$F$22,1)),ABS(MOD(A92/Calculator!$F$22,1)-0.5))),1)</f>
        <v>1</v>
      </c>
      <c r="M92" s="219" t="n">
        <f aca="false">MIN(B92:L92)</f>
        <v>0.157105263157895</v>
      </c>
      <c r="N92" s="219" t="n">
        <f aca="false">SUMPRODUCT(($M$7:$M$557&gt;M92)*1)+SUMPRODUCT(($M$7:$M$557=M92)*(ROW($M$7:$M$557)&lt;ROW(M92)))+1</f>
        <v>28</v>
      </c>
      <c r="O92" s="219" t="str">
        <f aca="false">IF(M92&gt;=0.2,"★★★ EXCELLENT",IF(M92&gt;=0.12,"★★  GOOD",IF(M92&gt;=0.07,"★  FAIR",IF(M92&gt;=0.025,"⚠  MARGINAL","✗  AVOID"))))</f>
        <v>★★  GOOD</v>
      </c>
    </row>
    <row r="93" customFormat="false" ht="15" hidden="false" customHeight="true" outlineLevel="0" collapsed="false">
      <c r="A93" s="216" t="n">
        <v>13.6</v>
      </c>
      <c r="B93" s="217" t="n">
        <f aca="false">IF(Calculator!$E$12="YES",IF(A93&lt;Calculator!$G$12,0,MIN(MIN(MOD(A93/Calculator!$F$12,1),1-MOD(A93/Calculator!$F$12,1)),ABS(MOD(A93/Calculator!$F$12,1)-0.5))),1)</f>
        <v>1</v>
      </c>
      <c r="C93" s="217" t="n">
        <f aca="false">IF(Calculator!$E$13="YES",IF(A93&lt;Calculator!$G$13,0,MIN(MIN(MOD(A93/Calculator!$F$13,1),1-MOD(A93/Calculator!$F$13,1)),ABS(MOD(A93/Calculator!$F$13,1)-0.5))),1)</f>
        <v>1</v>
      </c>
      <c r="D93" s="217" t="n">
        <f aca="false">IF(Calculator!$E$14="YES",IF(A93&lt;Calculator!$G$14,0,MIN(MIN(MOD(A93/Calculator!$F$14,1),1-MOD(A93/Calculator!$F$14,1)),ABS(MOD(A93/Calculator!$F$14,1)-0.5))),1)</f>
        <v>1</v>
      </c>
      <c r="E93" s="217" t="n">
        <f aca="false">IF(Calculator!$E$15="YES",IF(A93&lt;Calculator!$G$15,0,MIN(MIN(MOD(A93/Calculator!$F$15,1),1-MOD(A93/Calculator!$F$15,1)),ABS(MOD(A93/Calculator!$F$15,1)-0.5))),1)</f>
        <v>0.182385964912281</v>
      </c>
      <c r="F93" s="217" t="n">
        <f aca="false">IF(Calculator!$E$16="YES",IF(A93&lt;Calculator!$G$16,0,MIN(MIN(MOD(A93/Calculator!$F$16,1),1-MOD(A93/Calculator!$F$16,1)),ABS(MOD(A93/Calculator!$F$16,1)-0.5))),1)</f>
        <v>1</v>
      </c>
      <c r="G93" s="217" t="n">
        <f aca="false">IF(Calculator!$E$17="YES",IF(A93&lt;Calculator!$G$17,0,MIN(MIN(MOD(A93/Calculator!$F$17,1),1-MOD(A93/Calculator!$F$17,1)),ABS(MOD(A93/Calculator!$F$17,1)-0.5))),1)</f>
        <v>0.147157894736842</v>
      </c>
      <c r="H93" s="217" t="n">
        <f aca="false">IF(Calculator!$E$18="YES",IF(A93&lt;Calculator!$G$18,0,MIN(MIN(MOD(A93/Calculator!$F$18,1),1-MOD(A93/Calculator!$F$18,1)),ABS(MOD(A93/Calculator!$F$18,1)-0.5))),1)</f>
        <v>1</v>
      </c>
      <c r="I93" s="217" t="n">
        <f aca="false">IF(Calculator!$E$19="YES",IF(A93&lt;Calculator!$G$19,0,MIN(MIN(MOD(A93/Calculator!$F$19,1),1-MOD(A93/Calculator!$F$19,1)),ABS(MOD(A93/Calculator!$F$19,1)-0.5))),1)</f>
        <v>1</v>
      </c>
      <c r="J93" s="217" t="n">
        <f aca="false">IF(Calculator!$E$20="YES",IF(A93&lt;Calculator!$G$20,0,MIN(MIN(MOD(A93/Calculator!$F$20,1),1-MOD(A93/Calculator!$F$20,1)),ABS(MOD(A93/Calculator!$F$20,1)-0.5))),1)</f>
        <v>1</v>
      </c>
      <c r="K93" s="217" t="n">
        <f aca="false">IF(Calculator!$E$21="YES",IF(A93&lt;Calculator!$G$21,0,MIN(MIN(MOD(A93/Calculator!$F$21,1),1-MOD(A93/Calculator!$F$21,1)),ABS(MOD(A93/Calculator!$F$21,1)-0.5))),1)</f>
        <v>0.24659649122807</v>
      </c>
      <c r="L93" s="217" t="n">
        <f aca="false">IF(Calculator!$E$22="YES",IF(A93&lt;Calculator!$G$22,0,MIN(MIN(MOD(A93/Calculator!$F$22,1),1-MOD(A93/Calculator!$F$22,1)),ABS(MOD(A93/Calculator!$F$22,1)-0.5))),1)</f>
        <v>1</v>
      </c>
      <c r="M93" s="217" t="n">
        <f aca="false">MIN(B93:L93)</f>
        <v>0.147157894736842</v>
      </c>
      <c r="N93" s="217" t="n">
        <f aca="false">SUMPRODUCT(($M$7:$M$557&gt;M93)*1)+SUMPRODUCT(($M$7:$M$557=M93)*(ROW($M$7:$M$557)&lt;ROW(M93)))+1</f>
        <v>41</v>
      </c>
      <c r="O93" s="217" t="str">
        <f aca="false">IF(M93&gt;=0.2,"★★★ EXCELLENT",IF(M93&gt;=0.12,"★★  GOOD",IF(M93&gt;=0.07,"★  FAIR",IF(M93&gt;=0.025,"⚠  MARGINAL","✗  AVOID"))))</f>
        <v>★★  GOOD</v>
      </c>
    </row>
    <row r="94" customFormat="false" ht="15" hidden="false" customHeight="true" outlineLevel="0" collapsed="false">
      <c r="A94" s="218" t="n">
        <v>13.7</v>
      </c>
      <c r="B94" s="219" t="n">
        <f aca="false">IF(Calculator!$E$12="YES",IF(A94&lt;Calculator!$G$12,0,MIN(MIN(MOD(A94/Calculator!$F$12,1),1-MOD(A94/Calculator!$F$12,1)),ABS(MOD(A94/Calculator!$F$12,1)-0.5))),1)</f>
        <v>1</v>
      </c>
      <c r="C94" s="219" t="n">
        <f aca="false">IF(Calculator!$E$13="YES",IF(A94&lt;Calculator!$G$13,0,MIN(MIN(MOD(A94/Calculator!$F$13,1),1-MOD(A94/Calculator!$F$13,1)),ABS(MOD(A94/Calculator!$F$13,1)-0.5))),1)</f>
        <v>1</v>
      </c>
      <c r="D94" s="219" t="n">
        <f aca="false">IF(Calculator!$E$14="YES",IF(A94&lt;Calculator!$G$14,0,MIN(MIN(MOD(A94/Calculator!$F$14,1),1-MOD(A94/Calculator!$F$14,1)),ABS(MOD(A94/Calculator!$F$14,1)-0.5))),1)</f>
        <v>1</v>
      </c>
      <c r="E94" s="219" t="n">
        <f aca="false">IF(Calculator!$E$15="YES",IF(A94&lt;Calculator!$G$15,0,MIN(MIN(MOD(A94/Calculator!$F$15,1),1-MOD(A94/Calculator!$F$15,1)),ABS(MOD(A94/Calculator!$F$15,1)-0.5))),1)</f>
        <v>0.18740350877193</v>
      </c>
      <c r="F94" s="219" t="n">
        <f aca="false">IF(Calculator!$E$16="YES",IF(A94&lt;Calculator!$G$16,0,MIN(MIN(MOD(A94/Calculator!$F$16,1),1-MOD(A94/Calculator!$F$16,1)),ABS(MOD(A94/Calculator!$F$16,1)-0.5))),1)</f>
        <v>1</v>
      </c>
      <c r="G94" s="219" t="n">
        <f aca="false">IF(Calculator!$E$17="YES",IF(A94&lt;Calculator!$G$17,0,MIN(MIN(MOD(A94/Calculator!$F$17,1),1-MOD(A94/Calculator!$F$17,1)),ABS(MOD(A94/Calculator!$F$17,1)-0.5))),1)</f>
        <v>0.137210526315789</v>
      </c>
      <c r="H94" s="219" t="n">
        <f aca="false">IF(Calculator!$E$18="YES",IF(A94&lt;Calculator!$G$18,0,MIN(MIN(MOD(A94/Calculator!$F$18,1),1-MOD(A94/Calculator!$F$18,1)),ABS(MOD(A94/Calculator!$F$18,1)-0.5))),1)</f>
        <v>1</v>
      </c>
      <c r="I94" s="219" t="n">
        <f aca="false">IF(Calculator!$E$19="YES",IF(A94&lt;Calculator!$G$19,0,MIN(MIN(MOD(A94/Calculator!$F$19,1),1-MOD(A94/Calculator!$F$19,1)),ABS(MOD(A94/Calculator!$F$19,1)-0.5))),1)</f>
        <v>1</v>
      </c>
      <c r="J94" s="219" t="n">
        <f aca="false">IF(Calculator!$E$20="YES",IF(A94&lt;Calculator!$G$20,0,MIN(MIN(MOD(A94/Calculator!$F$20,1),1-MOD(A94/Calculator!$F$20,1)),ABS(MOD(A94/Calculator!$F$20,1)-0.5))),1)</f>
        <v>1</v>
      </c>
      <c r="K94" s="219" t="n">
        <f aca="false">IF(Calculator!$E$21="YES",IF(A94&lt;Calculator!$G$21,0,MIN(MIN(MOD(A94/Calculator!$F$21,1),1-MOD(A94/Calculator!$F$21,1)),ABS(MOD(A94/Calculator!$F$21,1)-0.5))),1)</f>
        <v>0.226350877192983</v>
      </c>
      <c r="L94" s="219" t="n">
        <f aca="false">IF(Calculator!$E$22="YES",IF(A94&lt;Calculator!$G$22,0,MIN(MIN(MOD(A94/Calculator!$F$22,1),1-MOD(A94/Calculator!$F$22,1)),ABS(MOD(A94/Calculator!$F$22,1)-0.5))),1)</f>
        <v>1</v>
      </c>
      <c r="M94" s="219" t="n">
        <f aca="false">MIN(B94:L94)</f>
        <v>0.137210526315789</v>
      </c>
      <c r="N94" s="219" t="n">
        <f aca="false">SUMPRODUCT(($M$7:$M$557&gt;M94)*1)+SUMPRODUCT(($M$7:$M$557=M94)*(ROW($M$7:$M$557)&lt;ROW(M94)))+1</f>
        <v>50</v>
      </c>
      <c r="O94" s="219" t="str">
        <f aca="false">IF(M94&gt;=0.2,"★★★ EXCELLENT",IF(M94&gt;=0.12,"★★  GOOD",IF(M94&gt;=0.07,"★  FAIR",IF(M94&gt;=0.025,"⚠  MARGINAL","✗  AVOID"))))</f>
        <v>★★  GOOD</v>
      </c>
    </row>
    <row r="95" customFormat="false" ht="15" hidden="false" customHeight="true" outlineLevel="0" collapsed="false">
      <c r="A95" s="216" t="n">
        <v>13.8</v>
      </c>
      <c r="B95" s="217" t="n">
        <f aca="false">IF(Calculator!$E$12="YES",IF(A95&lt;Calculator!$G$12,0,MIN(MIN(MOD(A95/Calculator!$F$12,1),1-MOD(A95/Calculator!$F$12,1)),ABS(MOD(A95/Calculator!$F$12,1)-0.5))),1)</f>
        <v>1</v>
      </c>
      <c r="C95" s="217" t="n">
        <f aca="false">IF(Calculator!$E$13="YES",IF(A95&lt;Calculator!$G$13,0,MIN(MIN(MOD(A95/Calculator!$F$13,1),1-MOD(A95/Calculator!$F$13,1)),ABS(MOD(A95/Calculator!$F$13,1)-0.5))),1)</f>
        <v>1</v>
      </c>
      <c r="D95" s="217" t="n">
        <f aca="false">IF(Calculator!$E$14="YES",IF(A95&lt;Calculator!$G$14,0,MIN(MIN(MOD(A95/Calculator!$F$14,1),1-MOD(A95/Calculator!$F$14,1)),ABS(MOD(A95/Calculator!$F$14,1)-0.5))),1)</f>
        <v>1</v>
      </c>
      <c r="E95" s="217" t="n">
        <f aca="false">IF(Calculator!$E$15="YES",IF(A95&lt;Calculator!$G$15,0,MIN(MIN(MOD(A95/Calculator!$F$15,1),1-MOD(A95/Calculator!$F$15,1)),ABS(MOD(A95/Calculator!$F$15,1)-0.5))),1)</f>
        <v>0.192421052631579</v>
      </c>
      <c r="F95" s="217" t="n">
        <f aca="false">IF(Calculator!$E$16="YES",IF(A95&lt;Calculator!$G$16,0,MIN(MIN(MOD(A95/Calculator!$F$16,1),1-MOD(A95/Calculator!$F$16,1)),ABS(MOD(A95/Calculator!$F$16,1)-0.5))),1)</f>
        <v>1</v>
      </c>
      <c r="G95" s="217" t="n">
        <f aca="false">IF(Calculator!$E$17="YES",IF(A95&lt;Calculator!$G$17,0,MIN(MIN(MOD(A95/Calculator!$F$17,1),1-MOD(A95/Calculator!$F$17,1)),ABS(MOD(A95/Calculator!$F$17,1)-0.5))),1)</f>
        <v>0.127263157894737</v>
      </c>
      <c r="H95" s="217" t="n">
        <f aca="false">IF(Calculator!$E$18="YES",IF(A95&lt;Calculator!$G$18,0,MIN(MIN(MOD(A95/Calculator!$F$18,1),1-MOD(A95/Calculator!$F$18,1)),ABS(MOD(A95/Calculator!$F$18,1)-0.5))),1)</f>
        <v>1</v>
      </c>
      <c r="I95" s="217" t="n">
        <f aca="false">IF(Calculator!$E$19="YES",IF(A95&lt;Calculator!$G$19,0,MIN(MIN(MOD(A95/Calculator!$F$19,1),1-MOD(A95/Calculator!$F$19,1)),ABS(MOD(A95/Calculator!$F$19,1)-0.5))),1)</f>
        <v>1</v>
      </c>
      <c r="J95" s="217" t="n">
        <f aca="false">IF(Calculator!$E$20="YES",IF(A95&lt;Calculator!$G$20,0,MIN(MIN(MOD(A95/Calculator!$F$20,1),1-MOD(A95/Calculator!$F$20,1)),ABS(MOD(A95/Calculator!$F$20,1)-0.5))),1)</f>
        <v>1</v>
      </c>
      <c r="K95" s="217" t="n">
        <f aca="false">IF(Calculator!$E$21="YES",IF(A95&lt;Calculator!$G$21,0,MIN(MIN(MOD(A95/Calculator!$F$21,1),1-MOD(A95/Calculator!$F$21,1)),ABS(MOD(A95/Calculator!$F$21,1)-0.5))),1)</f>
        <v>0.206105263157895</v>
      </c>
      <c r="L95" s="217" t="n">
        <f aca="false">IF(Calculator!$E$22="YES",IF(A95&lt;Calculator!$G$22,0,MIN(MIN(MOD(A95/Calculator!$F$22,1),1-MOD(A95/Calculator!$F$22,1)),ABS(MOD(A95/Calculator!$F$22,1)-0.5))),1)</f>
        <v>1</v>
      </c>
      <c r="M95" s="217" t="n">
        <f aca="false">MIN(B95:L95)</f>
        <v>0.127263157894737</v>
      </c>
      <c r="N95" s="217" t="n">
        <f aca="false">SUMPRODUCT(($M$7:$M$557&gt;M95)*1)+SUMPRODUCT(($M$7:$M$557=M95)*(ROW($M$7:$M$557)&lt;ROW(M95)))+1</f>
        <v>60</v>
      </c>
      <c r="O95" s="217" t="str">
        <f aca="false">IF(M95&gt;=0.2,"★★★ EXCELLENT",IF(M95&gt;=0.12,"★★  GOOD",IF(M95&gt;=0.07,"★  FAIR",IF(M95&gt;=0.025,"⚠  MARGINAL","✗  AVOID"))))</f>
        <v>★★  GOOD</v>
      </c>
    </row>
    <row r="96" customFormat="false" ht="15" hidden="false" customHeight="true" outlineLevel="0" collapsed="false">
      <c r="A96" s="218" t="n">
        <v>13.9</v>
      </c>
      <c r="B96" s="219" t="n">
        <f aca="false">IF(Calculator!$E$12="YES",IF(A96&lt;Calculator!$G$12,0,MIN(MIN(MOD(A96/Calculator!$F$12,1),1-MOD(A96/Calculator!$F$12,1)),ABS(MOD(A96/Calculator!$F$12,1)-0.5))),1)</f>
        <v>1</v>
      </c>
      <c r="C96" s="219" t="n">
        <f aca="false">IF(Calculator!$E$13="YES",IF(A96&lt;Calculator!$G$13,0,MIN(MIN(MOD(A96/Calculator!$F$13,1),1-MOD(A96/Calculator!$F$13,1)),ABS(MOD(A96/Calculator!$F$13,1)-0.5))),1)</f>
        <v>1</v>
      </c>
      <c r="D96" s="219" t="n">
        <f aca="false">IF(Calculator!$E$14="YES",IF(A96&lt;Calculator!$G$14,0,MIN(MIN(MOD(A96/Calculator!$F$14,1),1-MOD(A96/Calculator!$F$14,1)),ABS(MOD(A96/Calculator!$F$14,1)-0.5))),1)</f>
        <v>1</v>
      </c>
      <c r="E96" s="219" t="n">
        <f aca="false">IF(Calculator!$E$15="YES",IF(A96&lt;Calculator!$G$15,0,MIN(MIN(MOD(A96/Calculator!$F$15,1),1-MOD(A96/Calculator!$F$15,1)),ABS(MOD(A96/Calculator!$F$15,1)-0.5))),1)</f>
        <v>0.197438596491228</v>
      </c>
      <c r="F96" s="219" t="n">
        <f aca="false">IF(Calculator!$E$16="YES",IF(A96&lt;Calculator!$G$16,0,MIN(MIN(MOD(A96/Calculator!$F$16,1),1-MOD(A96/Calculator!$F$16,1)),ABS(MOD(A96/Calculator!$F$16,1)-0.5))),1)</f>
        <v>1</v>
      </c>
      <c r="G96" s="219" t="n">
        <f aca="false">IF(Calculator!$E$17="YES",IF(A96&lt;Calculator!$G$17,0,MIN(MIN(MOD(A96/Calculator!$F$17,1),1-MOD(A96/Calculator!$F$17,1)),ABS(MOD(A96/Calculator!$F$17,1)-0.5))),1)</f>
        <v>0.117315789473684</v>
      </c>
      <c r="H96" s="219" t="n">
        <f aca="false">IF(Calculator!$E$18="YES",IF(A96&lt;Calculator!$G$18,0,MIN(MIN(MOD(A96/Calculator!$F$18,1),1-MOD(A96/Calculator!$F$18,1)),ABS(MOD(A96/Calculator!$F$18,1)-0.5))),1)</f>
        <v>1</v>
      </c>
      <c r="I96" s="219" t="n">
        <f aca="false">IF(Calculator!$E$19="YES",IF(A96&lt;Calculator!$G$19,0,MIN(MIN(MOD(A96/Calculator!$F$19,1),1-MOD(A96/Calculator!$F$19,1)),ABS(MOD(A96/Calculator!$F$19,1)-0.5))),1)</f>
        <v>1</v>
      </c>
      <c r="J96" s="219" t="n">
        <f aca="false">IF(Calculator!$E$20="YES",IF(A96&lt;Calculator!$G$20,0,MIN(MIN(MOD(A96/Calculator!$F$20,1),1-MOD(A96/Calculator!$F$20,1)),ABS(MOD(A96/Calculator!$F$20,1)-0.5))),1)</f>
        <v>1</v>
      </c>
      <c r="K96" s="219" t="n">
        <f aca="false">IF(Calculator!$E$21="YES",IF(A96&lt;Calculator!$G$21,0,MIN(MIN(MOD(A96/Calculator!$F$21,1),1-MOD(A96/Calculator!$F$21,1)),ABS(MOD(A96/Calculator!$F$21,1)-0.5))),1)</f>
        <v>0.185859649122807</v>
      </c>
      <c r="L96" s="219" t="n">
        <f aca="false">IF(Calculator!$E$22="YES",IF(A96&lt;Calculator!$G$22,0,MIN(MIN(MOD(A96/Calculator!$F$22,1),1-MOD(A96/Calculator!$F$22,1)),ABS(MOD(A96/Calculator!$F$22,1)-0.5))),1)</f>
        <v>1</v>
      </c>
      <c r="M96" s="219" t="n">
        <f aca="false">MIN(B96:L96)</f>
        <v>0.117315789473684</v>
      </c>
      <c r="N96" s="219" t="n">
        <f aca="false">SUMPRODUCT(($M$7:$M$557&gt;M96)*1)+SUMPRODUCT(($M$7:$M$557=M96)*(ROW($M$7:$M$557)&lt;ROW(M96)))+1</f>
        <v>69</v>
      </c>
      <c r="O96" s="219" t="str">
        <f aca="false">IF(M96&gt;=0.2,"★★★ EXCELLENT",IF(M96&gt;=0.12,"★★  GOOD",IF(M96&gt;=0.07,"★  FAIR",IF(M96&gt;=0.025,"⚠  MARGINAL","✗  AVOID"))))</f>
        <v>★  FAIR</v>
      </c>
    </row>
    <row r="97" customFormat="false" ht="15" hidden="false" customHeight="true" outlineLevel="0" collapsed="false">
      <c r="A97" s="216" t="n">
        <v>14</v>
      </c>
      <c r="B97" s="217" t="n">
        <f aca="false">IF(Calculator!$E$12="YES",IF(A97&lt;Calculator!$G$12,0,MIN(MIN(MOD(A97/Calculator!$F$12,1),1-MOD(A97/Calculator!$F$12,1)),ABS(MOD(A97/Calculator!$F$12,1)-0.5))),1)</f>
        <v>1</v>
      </c>
      <c r="C97" s="217" t="n">
        <f aca="false">IF(Calculator!$E$13="YES",IF(A97&lt;Calculator!$G$13,0,MIN(MIN(MOD(A97/Calculator!$F$13,1),1-MOD(A97/Calculator!$F$13,1)),ABS(MOD(A97/Calculator!$F$13,1)-0.5))),1)</f>
        <v>1</v>
      </c>
      <c r="D97" s="217" t="n">
        <f aca="false">IF(Calculator!$E$14="YES",IF(A97&lt;Calculator!$G$14,0,MIN(MIN(MOD(A97/Calculator!$F$14,1),1-MOD(A97/Calculator!$F$14,1)),ABS(MOD(A97/Calculator!$F$14,1)-0.5))),1)</f>
        <v>1</v>
      </c>
      <c r="E97" s="217" t="n">
        <f aca="false">IF(Calculator!$E$15="YES",IF(A97&lt;Calculator!$G$15,0,MIN(MIN(MOD(A97/Calculator!$F$15,1),1-MOD(A97/Calculator!$F$15,1)),ABS(MOD(A97/Calculator!$F$15,1)-0.5))),1)</f>
        <v>0.202456140350877</v>
      </c>
      <c r="F97" s="217" t="n">
        <f aca="false">IF(Calculator!$E$16="YES",IF(A97&lt;Calculator!$G$16,0,MIN(MIN(MOD(A97/Calculator!$F$16,1),1-MOD(A97/Calculator!$F$16,1)),ABS(MOD(A97/Calculator!$F$16,1)-0.5))),1)</f>
        <v>1</v>
      </c>
      <c r="G97" s="217" t="n">
        <f aca="false">IF(Calculator!$E$17="YES",IF(A97&lt;Calculator!$G$17,0,MIN(MIN(MOD(A97/Calculator!$F$17,1),1-MOD(A97/Calculator!$F$17,1)),ABS(MOD(A97/Calculator!$F$17,1)-0.5))),1)</f>
        <v>0.107368421052632</v>
      </c>
      <c r="H97" s="217" t="n">
        <f aca="false">IF(Calculator!$E$18="YES",IF(A97&lt;Calculator!$G$18,0,MIN(MIN(MOD(A97/Calculator!$F$18,1),1-MOD(A97/Calculator!$F$18,1)),ABS(MOD(A97/Calculator!$F$18,1)-0.5))),1)</f>
        <v>1</v>
      </c>
      <c r="I97" s="217" t="n">
        <f aca="false">IF(Calculator!$E$19="YES",IF(A97&lt;Calculator!$G$19,0,MIN(MIN(MOD(A97/Calculator!$F$19,1),1-MOD(A97/Calculator!$F$19,1)),ABS(MOD(A97/Calculator!$F$19,1)-0.5))),1)</f>
        <v>1</v>
      </c>
      <c r="J97" s="217" t="n">
        <f aca="false">IF(Calculator!$E$20="YES",IF(A97&lt;Calculator!$G$20,0,MIN(MIN(MOD(A97/Calculator!$F$20,1),1-MOD(A97/Calculator!$F$20,1)),ABS(MOD(A97/Calculator!$F$20,1)-0.5))),1)</f>
        <v>1</v>
      </c>
      <c r="K97" s="217" t="n">
        <f aca="false">IF(Calculator!$E$21="YES",IF(A97&lt;Calculator!$G$21,0,MIN(MIN(MOD(A97/Calculator!$F$21,1),1-MOD(A97/Calculator!$F$21,1)),ABS(MOD(A97/Calculator!$F$21,1)-0.5))),1)</f>
        <v>0.16561403508772</v>
      </c>
      <c r="L97" s="217" t="n">
        <f aca="false">IF(Calculator!$E$22="YES",IF(A97&lt;Calculator!$G$22,0,MIN(MIN(MOD(A97/Calculator!$F$22,1),1-MOD(A97/Calculator!$F$22,1)),ABS(MOD(A97/Calculator!$F$22,1)-0.5))),1)</f>
        <v>1</v>
      </c>
      <c r="M97" s="217" t="n">
        <f aca="false">MIN(B97:L97)</f>
        <v>0.107368421052632</v>
      </c>
      <c r="N97" s="217" t="n">
        <f aca="false">SUMPRODUCT(($M$7:$M$557&gt;M97)*1)+SUMPRODUCT(($M$7:$M$557=M97)*(ROW($M$7:$M$557)&lt;ROW(M97)))+1</f>
        <v>89</v>
      </c>
      <c r="O97" s="217" t="str">
        <f aca="false">IF(M97&gt;=0.2,"★★★ EXCELLENT",IF(M97&gt;=0.12,"★★  GOOD",IF(M97&gt;=0.07,"★  FAIR",IF(M97&gt;=0.025,"⚠  MARGINAL","✗  AVOID"))))</f>
        <v>★  FAIR</v>
      </c>
    </row>
    <row r="98" customFormat="false" ht="15" hidden="false" customHeight="true" outlineLevel="0" collapsed="false">
      <c r="A98" s="218" t="n">
        <v>14.1</v>
      </c>
      <c r="B98" s="219" t="n">
        <f aca="false">IF(Calculator!$E$12="YES",IF(A98&lt;Calculator!$G$12,0,MIN(MIN(MOD(A98/Calculator!$F$12,1),1-MOD(A98/Calculator!$F$12,1)),ABS(MOD(A98/Calculator!$F$12,1)-0.5))),1)</f>
        <v>1</v>
      </c>
      <c r="C98" s="219" t="n">
        <f aca="false">IF(Calculator!$E$13="YES",IF(A98&lt;Calculator!$G$13,0,MIN(MIN(MOD(A98/Calculator!$F$13,1),1-MOD(A98/Calculator!$F$13,1)),ABS(MOD(A98/Calculator!$F$13,1)-0.5))),1)</f>
        <v>1</v>
      </c>
      <c r="D98" s="219" t="n">
        <f aca="false">IF(Calculator!$E$14="YES",IF(A98&lt;Calculator!$G$14,0,MIN(MIN(MOD(A98/Calculator!$F$14,1),1-MOD(A98/Calculator!$F$14,1)),ABS(MOD(A98/Calculator!$F$14,1)-0.5))),1)</f>
        <v>1</v>
      </c>
      <c r="E98" s="219" t="n">
        <f aca="false">IF(Calculator!$E$15="YES",IF(A98&lt;Calculator!$G$15,0,MIN(MIN(MOD(A98/Calculator!$F$15,1),1-MOD(A98/Calculator!$F$15,1)),ABS(MOD(A98/Calculator!$F$15,1)-0.5))),1)</f>
        <v>0.207473684210526</v>
      </c>
      <c r="F98" s="219" t="n">
        <f aca="false">IF(Calculator!$E$16="YES",IF(A98&lt;Calculator!$G$16,0,MIN(MIN(MOD(A98/Calculator!$F$16,1),1-MOD(A98/Calculator!$F$16,1)),ABS(MOD(A98/Calculator!$F$16,1)-0.5))),1)</f>
        <v>1</v>
      </c>
      <c r="G98" s="219" t="n">
        <f aca="false">IF(Calculator!$E$17="YES",IF(A98&lt;Calculator!$G$17,0,MIN(MIN(MOD(A98/Calculator!$F$17,1),1-MOD(A98/Calculator!$F$17,1)),ABS(MOD(A98/Calculator!$F$17,1)-0.5))),1)</f>
        <v>0.0974210526315789</v>
      </c>
      <c r="H98" s="219" t="n">
        <f aca="false">IF(Calculator!$E$18="YES",IF(A98&lt;Calculator!$G$18,0,MIN(MIN(MOD(A98/Calculator!$F$18,1),1-MOD(A98/Calculator!$F$18,1)),ABS(MOD(A98/Calculator!$F$18,1)-0.5))),1)</f>
        <v>1</v>
      </c>
      <c r="I98" s="219" t="n">
        <f aca="false">IF(Calculator!$E$19="YES",IF(A98&lt;Calculator!$G$19,0,MIN(MIN(MOD(A98/Calculator!$F$19,1),1-MOD(A98/Calculator!$F$19,1)),ABS(MOD(A98/Calculator!$F$19,1)-0.5))),1)</f>
        <v>1</v>
      </c>
      <c r="J98" s="219" t="n">
        <f aca="false">IF(Calculator!$E$20="YES",IF(A98&lt;Calculator!$G$20,0,MIN(MIN(MOD(A98/Calculator!$F$20,1),1-MOD(A98/Calculator!$F$20,1)),ABS(MOD(A98/Calculator!$F$20,1)-0.5))),1)</f>
        <v>1</v>
      </c>
      <c r="K98" s="219" t="n">
        <f aca="false">IF(Calculator!$E$21="YES",IF(A98&lt;Calculator!$G$21,0,MIN(MIN(MOD(A98/Calculator!$F$21,1),1-MOD(A98/Calculator!$F$21,1)),ABS(MOD(A98/Calculator!$F$21,1)-0.5))),1)</f>
        <v>0.145368421052632</v>
      </c>
      <c r="L98" s="219" t="n">
        <f aca="false">IF(Calculator!$E$22="YES",IF(A98&lt;Calculator!$G$22,0,MIN(MIN(MOD(A98/Calculator!$F$22,1),1-MOD(A98/Calculator!$F$22,1)),ABS(MOD(A98/Calculator!$F$22,1)-0.5))),1)</f>
        <v>1</v>
      </c>
      <c r="M98" s="219" t="n">
        <f aca="false">MIN(B98:L98)</f>
        <v>0.0974210526315789</v>
      </c>
      <c r="N98" s="219" t="n">
        <f aca="false">SUMPRODUCT(($M$7:$M$557&gt;M98)*1)+SUMPRODUCT(($M$7:$M$557=M98)*(ROW($M$7:$M$557)&lt;ROW(M98)))+1</f>
        <v>111</v>
      </c>
      <c r="O98" s="219" t="str">
        <f aca="false">IF(M98&gt;=0.2,"★★★ EXCELLENT",IF(M98&gt;=0.12,"★★  GOOD",IF(M98&gt;=0.07,"★  FAIR",IF(M98&gt;=0.025,"⚠  MARGINAL","✗  AVOID"))))</f>
        <v>★  FAIR</v>
      </c>
    </row>
    <row r="99" customFormat="false" ht="15" hidden="false" customHeight="true" outlineLevel="0" collapsed="false">
      <c r="A99" s="216" t="n">
        <v>14.2</v>
      </c>
      <c r="B99" s="217" t="n">
        <f aca="false">IF(Calculator!$E$12="YES",IF(A99&lt;Calculator!$G$12,0,MIN(MIN(MOD(A99/Calculator!$F$12,1),1-MOD(A99/Calculator!$F$12,1)),ABS(MOD(A99/Calculator!$F$12,1)-0.5))),1)</f>
        <v>1</v>
      </c>
      <c r="C99" s="217" t="n">
        <f aca="false">IF(Calculator!$E$13="YES",IF(A99&lt;Calculator!$G$13,0,MIN(MIN(MOD(A99/Calculator!$F$13,1),1-MOD(A99/Calculator!$F$13,1)),ABS(MOD(A99/Calculator!$F$13,1)-0.5))),1)</f>
        <v>1</v>
      </c>
      <c r="D99" s="217" t="n">
        <f aca="false">IF(Calculator!$E$14="YES",IF(A99&lt;Calculator!$G$14,0,MIN(MIN(MOD(A99/Calculator!$F$14,1),1-MOD(A99/Calculator!$F$14,1)),ABS(MOD(A99/Calculator!$F$14,1)-0.5))),1)</f>
        <v>1</v>
      </c>
      <c r="E99" s="217" t="n">
        <f aca="false">IF(Calculator!$E$15="YES",IF(A99&lt;Calculator!$G$15,0,MIN(MIN(MOD(A99/Calculator!$F$15,1),1-MOD(A99/Calculator!$F$15,1)),ABS(MOD(A99/Calculator!$F$15,1)-0.5))),1)</f>
        <v>0.212491228070175</v>
      </c>
      <c r="F99" s="217" t="n">
        <f aca="false">IF(Calculator!$E$16="YES",IF(A99&lt;Calculator!$G$16,0,MIN(MIN(MOD(A99/Calculator!$F$16,1),1-MOD(A99/Calculator!$F$16,1)),ABS(MOD(A99/Calculator!$F$16,1)-0.5))),1)</f>
        <v>1</v>
      </c>
      <c r="G99" s="217" t="n">
        <f aca="false">IF(Calculator!$E$17="YES",IF(A99&lt;Calculator!$G$17,0,MIN(MIN(MOD(A99/Calculator!$F$17,1),1-MOD(A99/Calculator!$F$17,1)),ABS(MOD(A99/Calculator!$F$17,1)-0.5))),1)</f>
        <v>0.0874736842105264</v>
      </c>
      <c r="H99" s="217" t="n">
        <f aca="false">IF(Calculator!$E$18="YES",IF(A99&lt;Calculator!$G$18,0,MIN(MIN(MOD(A99/Calculator!$F$18,1),1-MOD(A99/Calculator!$F$18,1)),ABS(MOD(A99/Calculator!$F$18,1)-0.5))),1)</f>
        <v>1</v>
      </c>
      <c r="I99" s="217" t="n">
        <f aca="false">IF(Calculator!$E$19="YES",IF(A99&lt;Calculator!$G$19,0,MIN(MIN(MOD(A99/Calculator!$F$19,1),1-MOD(A99/Calculator!$F$19,1)),ABS(MOD(A99/Calculator!$F$19,1)-0.5))),1)</f>
        <v>1</v>
      </c>
      <c r="J99" s="217" t="n">
        <f aca="false">IF(Calculator!$E$20="YES",IF(A99&lt;Calculator!$G$20,0,MIN(MIN(MOD(A99/Calculator!$F$20,1),1-MOD(A99/Calculator!$F$20,1)),ABS(MOD(A99/Calculator!$F$20,1)-0.5))),1)</f>
        <v>1</v>
      </c>
      <c r="K99" s="217" t="n">
        <f aca="false">IF(Calculator!$E$21="YES",IF(A99&lt;Calculator!$G$21,0,MIN(MIN(MOD(A99/Calculator!$F$21,1),1-MOD(A99/Calculator!$F$21,1)),ABS(MOD(A99/Calculator!$F$21,1)-0.5))),1)</f>
        <v>0.125122807017544</v>
      </c>
      <c r="L99" s="217" t="n">
        <f aca="false">IF(Calculator!$E$22="YES",IF(A99&lt;Calculator!$G$22,0,MIN(MIN(MOD(A99/Calculator!$F$22,1),1-MOD(A99/Calculator!$F$22,1)),ABS(MOD(A99/Calculator!$F$22,1)-0.5))),1)</f>
        <v>1</v>
      </c>
      <c r="M99" s="217" t="n">
        <f aca="false">MIN(B99:L99)</f>
        <v>0.0874736842105264</v>
      </c>
      <c r="N99" s="217" t="n">
        <f aca="false">SUMPRODUCT(($M$7:$M$557&gt;M99)*1)+SUMPRODUCT(($M$7:$M$557=M99)*(ROW($M$7:$M$557)&lt;ROW(M99)))+1</f>
        <v>142</v>
      </c>
      <c r="O99" s="217" t="str">
        <f aca="false">IF(M99&gt;=0.2,"★★★ EXCELLENT",IF(M99&gt;=0.12,"★★  GOOD",IF(M99&gt;=0.07,"★  FAIR",IF(M99&gt;=0.025,"⚠  MARGINAL","✗  AVOID"))))</f>
        <v>★  FAIR</v>
      </c>
    </row>
    <row r="100" customFormat="false" ht="15" hidden="false" customHeight="true" outlineLevel="0" collapsed="false">
      <c r="A100" s="218" t="n">
        <v>14.3</v>
      </c>
      <c r="B100" s="219" t="n">
        <f aca="false">IF(Calculator!$E$12="YES",IF(A100&lt;Calculator!$G$12,0,MIN(MIN(MOD(A100/Calculator!$F$12,1),1-MOD(A100/Calculator!$F$12,1)),ABS(MOD(A100/Calculator!$F$12,1)-0.5))),1)</f>
        <v>1</v>
      </c>
      <c r="C100" s="219" t="n">
        <f aca="false">IF(Calculator!$E$13="YES",IF(A100&lt;Calculator!$G$13,0,MIN(MIN(MOD(A100/Calculator!$F$13,1),1-MOD(A100/Calculator!$F$13,1)),ABS(MOD(A100/Calculator!$F$13,1)-0.5))),1)</f>
        <v>1</v>
      </c>
      <c r="D100" s="219" t="n">
        <f aca="false">IF(Calculator!$E$14="YES",IF(A100&lt;Calculator!$G$14,0,MIN(MIN(MOD(A100/Calculator!$F$14,1),1-MOD(A100/Calculator!$F$14,1)),ABS(MOD(A100/Calculator!$F$14,1)-0.5))),1)</f>
        <v>1</v>
      </c>
      <c r="E100" s="219" t="n">
        <f aca="false">IF(Calculator!$E$15="YES",IF(A100&lt;Calculator!$G$15,0,MIN(MIN(MOD(A100/Calculator!$F$15,1),1-MOD(A100/Calculator!$F$15,1)),ABS(MOD(A100/Calculator!$F$15,1)-0.5))),1)</f>
        <v>0.217508771929825</v>
      </c>
      <c r="F100" s="219" t="n">
        <f aca="false">IF(Calculator!$E$16="YES",IF(A100&lt;Calculator!$G$16,0,MIN(MIN(MOD(A100/Calculator!$F$16,1),1-MOD(A100/Calculator!$F$16,1)),ABS(MOD(A100/Calculator!$F$16,1)-0.5))),1)</f>
        <v>1</v>
      </c>
      <c r="G100" s="219" t="n">
        <f aca="false">IF(Calculator!$E$17="YES",IF(A100&lt;Calculator!$G$17,0,MIN(MIN(MOD(A100/Calculator!$F$17,1),1-MOD(A100/Calculator!$F$17,1)),ABS(MOD(A100/Calculator!$F$17,1)-0.5))),1)</f>
        <v>0.0775263157894734</v>
      </c>
      <c r="H100" s="219" t="n">
        <f aca="false">IF(Calculator!$E$18="YES",IF(A100&lt;Calculator!$G$18,0,MIN(MIN(MOD(A100/Calculator!$F$18,1),1-MOD(A100/Calculator!$F$18,1)),ABS(MOD(A100/Calculator!$F$18,1)-0.5))),1)</f>
        <v>1</v>
      </c>
      <c r="I100" s="219" t="n">
        <f aca="false">IF(Calculator!$E$19="YES",IF(A100&lt;Calculator!$G$19,0,MIN(MIN(MOD(A100/Calculator!$F$19,1),1-MOD(A100/Calculator!$F$19,1)),ABS(MOD(A100/Calculator!$F$19,1)-0.5))),1)</f>
        <v>1</v>
      </c>
      <c r="J100" s="219" t="n">
        <f aca="false">IF(Calculator!$E$20="YES",IF(A100&lt;Calculator!$G$20,0,MIN(MIN(MOD(A100/Calculator!$F$20,1),1-MOD(A100/Calculator!$F$20,1)),ABS(MOD(A100/Calculator!$F$20,1)-0.5))),1)</f>
        <v>1</v>
      </c>
      <c r="K100" s="219" t="n">
        <f aca="false">IF(Calculator!$E$21="YES",IF(A100&lt;Calculator!$G$21,0,MIN(MIN(MOD(A100/Calculator!$F$21,1),1-MOD(A100/Calculator!$F$21,1)),ABS(MOD(A100/Calculator!$F$21,1)-0.5))),1)</f>
        <v>0.104877192982456</v>
      </c>
      <c r="L100" s="219" t="n">
        <f aca="false">IF(Calculator!$E$22="YES",IF(A100&lt;Calculator!$G$22,0,MIN(MIN(MOD(A100/Calculator!$F$22,1),1-MOD(A100/Calculator!$F$22,1)),ABS(MOD(A100/Calculator!$F$22,1)-0.5))),1)</f>
        <v>1</v>
      </c>
      <c r="M100" s="219" t="n">
        <f aca="false">MIN(B100:L100)</f>
        <v>0.0775263157894734</v>
      </c>
      <c r="N100" s="219" t="n">
        <f aca="false">SUMPRODUCT(($M$7:$M$557&gt;M100)*1)+SUMPRODUCT(($M$7:$M$557=M100)*(ROW($M$7:$M$557)&lt;ROW(M100)))+1</f>
        <v>177</v>
      </c>
      <c r="O100" s="219" t="str">
        <f aca="false">IF(M100&gt;=0.2,"★★★ EXCELLENT",IF(M100&gt;=0.12,"★★  GOOD",IF(M100&gt;=0.07,"★  FAIR",IF(M100&gt;=0.025,"⚠  MARGINAL","✗  AVOID"))))</f>
        <v>★  FAIR</v>
      </c>
    </row>
    <row r="101" customFormat="false" ht="15" hidden="false" customHeight="true" outlineLevel="0" collapsed="false">
      <c r="A101" s="216" t="n">
        <v>14.4</v>
      </c>
      <c r="B101" s="217" t="n">
        <f aca="false">IF(Calculator!$E$12="YES",IF(A101&lt;Calculator!$G$12,0,MIN(MIN(MOD(A101/Calculator!$F$12,1),1-MOD(A101/Calculator!$F$12,1)),ABS(MOD(A101/Calculator!$F$12,1)-0.5))),1)</f>
        <v>1</v>
      </c>
      <c r="C101" s="217" t="n">
        <f aca="false">IF(Calculator!$E$13="YES",IF(A101&lt;Calculator!$G$13,0,MIN(MIN(MOD(A101/Calculator!$F$13,1),1-MOD(A101/Calculator!$F$13,1)),ABS(MOD(A101/Calculator!$F$13,1)-0.5))),1)</f>
        <v>1</v>
      </c>
      <c r="D101" s="217" t="n">
        <f aca="false">IF(Calculator!$E$14="YES",IF(A101&lt;Calculator!$G$14,0,MIN(MIN(MOD(A101/Calculator!$F$14,1),1-MOD(A101/Calculator!$F$14,1)),ABS(MOD(A101/Calculator!$F$14,1)-0.5))),1)</f>
        <v>1</v>
      </c>
      <c r="E101" s="217" t="n">
        <f aca="false">IF(Calculator!$E$15="YES",IF(A101&lt;Calculator!$G$15,0,MIN(MIN(MOD(A101/Calculator!$F$15,1),1-MOD(A101/Calculator!$F$15,1)),ABS(MOD(A101/Calculator!$F$15,1)-0.5))),1)</f>
        <v>0.222526315789474</v>
      </c>
      <c r="F101" s="217" t="n">
        <f aca="false">IF(Calculator!$E$16="YES",IF(A101&lt;Calculator!$G$16,0,MIN(MIN(MOD(A101/Calculator!$F$16,1),1-MOD(A101/Calculator!$F$16,1)),ABS(MOD(A101/Calculator!$F$16,1)-0.5))),1)</f>
        <v>1</v>
      </c>
      <c r="G101" s="217" t="n">
        <f aca="false">IF(Calculator!$E$17="YES",IF(A101&lt;Calculator!$G$17,0,MIN(MIN(MOD(A101/Calculator!$F$17,1),1-MOD(A101/Calculator!$F$17,1)),ABS(MOD(A101/Calculator!$F$17,1)-0.5))),1)</f>
        <v>0.067578947368421</v>
      </c>
      <c r="H101" s="217" t="n">
        <f aca="false">IF(Calculator!$E$18="YES",IF(A101&lt;Calculator!$G$18,0,MIN(MIN(MOD(A101/Calculator!$F$18,1),1-MOD(A101/Calculator!$F$18,1)),ABS(MOD(A101/Calculator!$F$18,1)-0.5))),1)</f>
        <v>1</v>
      </c>
      <c r="I101" s="217" t="n">
        <f aca="false">IF(Calculator!$E$19="YES",IF(A101&lt;Calculator!$G$19,0,MIN(MIN(MOD(A101/Calculator!$F$19,1),1-MOD(A101/Calculator!$F$19,1)),ABS(MOD(A101/Calculator!$F$19,1)-0.5))),1)</f>
        <v>1</v>
      </c>
      <c r="J101" s="217" t="n">
        <f aca="false">IF(Calculator!$E$20="YES",IF(A101&lt;Calculator!$G$20,0,MIN(MIN(MOD(A101/Calculator!$F$20,1),1-MOD(A101/Calculator!$F$20,1)),ABS(MOD(A101/Calculator!$F$20,1)-0.5))),1)</f>
        <v>1</v>
      </c>
      <c r="K101" s="217" t="n">
        <f aca="false">IF(Calculator!$E$21="YES",IF(A101&lt;Calculator!$G$21,0,MIN(MIN(MOD(A101/Calculator!$F$21,1),1-MOD(A101/Calculator!$F$21,1)),ABS(MOD(A101/Calculator!$F$21,1)-0.5))),1)</f>
        <v>0.0846315789473682</v>
      </c>
      <c r="L101" s="217" t="n">
        <f aca="false">IF(Calculator!$E$22="YES",IF(A101&lt;Calculator!$G$22,0,MIN(MIN(MOD(A101/Calculator!$F$22,1),1-MOD(A101/Calculator!$F$22,1)),ABS(MOD(A101/Calculator!$F$22,1)-0.5))),1)</f>
        <v>1</v>
      </c>
      <c r="M101" s="217" t="n">
        <f aca="false">MIN(B101:L101)</f>
        <v>0.067578947368421</v>
      </c>
      <c r="N101" s="217" t="n">
        <f aca="false">SUMPRODUCT(($M$7:$M$557&gt;M101)*1)+SUMPRODUCT(($M$7:$M$557=M101)*(ROW($M$7:$M$557)&lt;ROW(M101)))+1</f>
        <v>214</v>
      </c>
      <c r="O101" s="217" t="str">
        <f aca="false">IF(M101&gt;=0.2,"★★★ EXCELLENT",IF(M101&gt;=0.12,"★★  GOOD",IF(M101&gt;=0.07,"★  FAIR",IF(M101&gt;=0.025,"⚠  MARGINAL","✗  AVOID"))))</f>
        <v>⚠  MARGINAL</v>
      </c>
    </row>
    <row r="102" customFormat="false" ht="15" hidden="false" customHeight="true" outlineLevel="0" collapsed="false">
      <c r="A102" s="218" t="n">
        <v>14.5</v>
      </c>
      <c r="B102" s="219" t="n">
        <f aca="false">IF(Calculator!$E$12="YES",IF(A102&lt;Calculator!$G$12,0,MIN(MIN(MOD(A102/Calculator!$F$12,1),1-MOD(A102/Calculator!$F$12,1)),ABS(MOD(A102/Calculator!$F$12,1)-0.5))),1)</f>
        <v>1</v>
      </c>
      <c r="C102" s="219" t="n">
        <f aca="false">IF(Calculator!$E$13="YES",IF(A102&lt;Calculator!$G$13,0,MIN(MIN(MOD(A102/Calculator!$F$13,1),1-MOD(A102/Calculator!$F$13,1)),ABS(MOD(A102/Calculator!$F$13,1)-0.5))),1)</f>
        <v>1</v>
      </c>
      <c r="D102" s="219" t="n">
        <f aca="false">IF(Calculator!$E$14="YES",IF(A102&lt;Calculator!$G$14,0,MIN(MIN(MOD(A102/Calculator!$F$14,1),1-MOD(A102/Calculator!$F$14,1)),ABS(MOD(A102/Calculator!$F$14,1)-0.5))),1)</f>
        <v>1</v>
      </c>
      <c r="E102" s="219" t="n">
        <f aca="false">IF(Calculator!$E$15="YES",IF(A102&lt;Calculator!$G$15,0,MIN(MIN(MOD(A102/Calculator!$F$15,1),1-MOD(A102/Calculator!$F$15,1)),ABS(MOD(A102/Calculator!$F$15,1)-0.5))),1)</f>
        <v>0.227543859649123</v>
      </c>
      <c r="F102" s="219" t="n">
        <f aca="false">IF(Calculator!$E$16="YES",IF(A102&lt;Calculator!$G$16,0,MIN(MIN(MOD(A102/Calculator!$F$16,1),1-MOD(A102/Calculator!$F$16,1)),ABS(MOD(A102/Calculator!$F$16,1)-0.5))),1)</f>
        <v>1</v>
      </c>
      <c r="G102" s="219" t="n">
        <f aca="false">IF(Calculator!$E$17="YES",IF(A102&lt;Calculator!$G$17,0,MIN(MIN(MOD(A102/Calculator!$F$17,1),1-MOD(A102/Calculator!$F$17,1)),ABS(MOD(A102/Calculator!$F$17,1)-0.5))),1)</f>
        <v>0.0576315789473683</v>
      </c>
      <c r="H102" s="219" t="n">
        <f aca="false">IF(Calculator!$E$18="YES",IF(A102&lt;Calculator!$G$18,0,MIN(MIN(MOD(A102/Calculator!$F$18,1),1-MOD(A102/Calculator!$F$18,1)),ABS(MOD(A102/Calculator!$F$18,1)-0.5))),1)</f>
        <v>1</v>
      </c>
      <c r="I102" s="219" t="n">
        <f aca="false">IF(Calculator!$E$19="YES",IF(A102&lt;Calculator!$G$19,0,MIN(MIN(MOD(A102/Calculator!$F$19,1),1-MOD(A102/Calculator!$F$19,1)),ABS(MOD(A102/Calculator!$F$19,1)-0.5))),1)</f>
        <v>1</v>
      </c>
      <c r="J102" s="219" t="n">
        <f aca="false">IF(Calculator!$E$20="YES",IF(A102&lt;Calculator!$G$20,0,MIN(MIN(MOD(A102/Calculator!$F$20,1),1-MOD(A102/Calculator!$F$20,1)),ABS(MOD(A102/Calculator!$F$20,1)-0.5))),1)</f>
        <v>1</v>
      </c>
      <c r="K102" s="219" t="n">
        <f aca="false">IF(Calculator!$E$21="YES",IF(A102&lt;Calculator!$G$21,0,MIN(MIN(MOD(A102/Calculator!$F$21,1),1-MOD(A102/Calculator!$F$21,1)),ABS(MOD(A102/Calculator!$F$21,1)-0.5))),1)</f>
        <v>0.0643859649122809</v>
      </c>
      <c r="L102" s="219" t="n">
        <f aca="false">IF(Calculator!$E$22="YES",IF(A102&lt;Calculator!$G$22,0,MIN(MIN(MOD(A102/Calculator!$F$22,1),1-MOD(A102/Calculator!$F$22,1)),ABS(MOD(A102/Calculator!$F$22,1)-0.5))),1)</f>
        <v>1</v>
      </c>
      <c r="M102" s="219" t="n">
        <f aca="false">MIN(B102:L102)</f>
        <v>0.0576315789473683</v>
      </c>
      <c r="N102" s="219" t="n">
        <f aca="false">SUMPRODUCT(($M$7:$M$557&gt;M102)*1)+SUMPRODUCT(($M$7:$M$557=M102)*(ROW($M$7:$M$557)&lt;ROW(M102)))+1</f>
        <v>253</v>
      </c>
      <c r="O102" s="219" t="str">
        <f aca="false">IF(M102&gt;=0.2,"★★★ EXCELLENT",IF(M102&gt;=0.12,"★★  GOOD",IF(M102&gt;=0.07,"★  FAIR",IF(M102&gt;=0.025,"⚠  MARGINAL","✗  AVOID"))))</f>
        <v>⚠  MARGINAL</v>
      </c>
    </row>
    <row r="103" customFormat="false" ht="15" hidden="false" customHeight="true" outlineLevel="0" collapsed="false">
      <c r="A103" s="216" t="n">
        <v>14.6</v>
      </c>
      <c r="B103" s="217" t="n">
        <f aca="false">IF(Calculator!$E$12="YES",IF(A103&lt;Calculator!$G$12,0,MIN(MIN(MOD(A103/Calculator!$F$12,1),1-MOD(A103/Calculator!$F$12,1)),ABS(MOD(A103/Calculator!$F$12,1)-0.5))),1)</f>
        <v>1</v>
      </c>
      <c r="C103" s="217" t="n">
        <f aca="false">IF(Calculator!$E$13="YES",IF(A103&lt;Calculator!$G$13,0,MIN(MIN(MOD(A103/Calculator!$F$13,1),1-MOD(A103/Calculator!$F$13,1)),ABS(MOD(A103/Calculator!$F$13,1)-0.5))),1)</f>
        <v>1</v>
      </c>
      <c r="D103" s="217" t="n">
        <f aca="false">IF(Calculator!$E$14="YES",IF(A103&lt;Calculator!$G$14,0,MIN(MIN(MOD(A103/Calculator!$F$14,1),1-MOD(A103/Calculator!$F$14,1)),ABS(MOD(A103/Calculator!$F$14,1)-0.5))),1)</f>
        <v>1</v>
      </c>
      <c r="E103" s="217" t="n">
        <f aca="false">IF(Calculator!$E$15="YES",IF(A103&lt;Calculator!$G$15,0,MIN(MIN(MOD(A103/Calculator!$F$15,1),1-MOD(A103/Calculator!$F$15,1)),ABS(MOD(A103/Calculator!$F$15,1)-0.5))),1)</f>
        <v>0.232561403508772</v>
      </c>
      <c r="F103" s="217" t="n">
        <f aca="false">IF(Calculator!$E$16="YES",IF(A103&lt;Calculator!$G$16,0,MIN(MIN(MOD(A103/Calculator!$F$16,1),1-MOD(A103/Calculator!$F$16,1)),ABS(MOD(A103/Calculator!$F$16,1)-0.5))),1)</f>
        <v>1</v>
      </c>
      <c r="G103" s="217" t="n">
        <f aca="false">IF(Calculator!$E$17="YES",IF(A103&lt;Calculator!$G$17,0,MIN(MIN(MOD(A103/Calculator!$F$17,1),1-MOD(A103/Calculator!$F$17,1)),ABS(MOD(A103/Calculator!$F$17,1)-0.5))),1)</f>
        <v>0.0476842105263158</v>
      </c>
      <c r="H103" s="217" t="n">
        <f aca="false">IF(Calculator!$E$18="YES",IF(A103&lt;Calculator!$G$18,0,MIN(MIN(MOD(A103/Calculator!$F$18,1),1-MOD(A103/Calculator!$F$18,1)),ABS(MOD(A103/Calculator!$F$18,1)-0.5))),1)</f>
        <v>1</v>
      </c>
      <c r="I103" s="217" t="n">
        <f aca="false">IF(Calculator!$E$19="YES",IF(A103&lt;Calculator!$G$19,0,MIN(MIN(MOD(A103/Calculator!$F$19,1),1-MOD(A103/Calculator!$F$19,1)),ABS(MOD(A103/Calculator!$F$19,1)-0.5))),1)</f>
        <v>1</v>
      </c>
      <c r="J103" s="217" t="n">
        <f aca="false">IF(Calculator!$E$20="YES",IF(A103&lt;Calculator!$G$20,0,MIN(MIN(MOD(A103/Calculator!$F$20,1),1-MOD(A103/Calculator!$F$20,1)),ABS(MOD(A103/Calculator!$F$20,1)-0.5))),1)</f>
        <v>1</v>
      </c>
      <c r="K103" s="217" t="n">
        <f aca="false">IF(Calculator!$E$21="YES",IF(A103&lt;Calculator!$G$21,0,MIN(MIN(MOD(A103/Calculator!$F$21,1),1-MOD(A103/Calculator!$F$21,1)),ABS(MOD(A103/Calculator!$F$21,1)-0.5))),1)</f>
        <v>0.0441403508771931</v>
      </c>
      <c r="L103" s="217" t="n">
        <f aca="false">IF(Calculator!$E$22="YES",IF(A103&lt;Calculator!$G$22,0,MIN(MIN(MOD(A103/Calculator!$F$22,1),1-MOD(A103/Calculator!$F$22,1)),ABS(MOD(A103/Calculator!$F$22,1)-0.5))),1)</f>
        <v>1</v>
      </c>
      <c r="M103" s="217" t="n">
        <f aca="false">MIN(B103:L103)</f>
        <v>0.0441403508771931</v>
      </c>
      <c r="N103" s="217" t="n">
        <f aca="false">SUMPRODUCT(($M$7:$M$557&gt;M103)*1)+SUMPRODUCT(($M$7:$M$557=M103)*(ROW($M$7:$M$557)&lt;ROW(M103)))+1</f>
        <v>307</v>
      </c>
      <c r="O103" s="217" t="str">
        <f aca="false">IF(M103&gt;=0.2,"★★★ EXCELLENT",IF(M103&gt;=0.12,"★★  GOOD",IF(M103&gt;=0.07,"★  FAIR",IF(M103&gt;=0.025,"⚠  MARGINAL","✗  AVOID"))))</f>
        <v>⚠  MARGINAL</v>
      </c>
    </row>
    <row r="104" customFormat="false" ht="15" hidden="false" customHeight="true" outlineLevel="0" collapsed="false">
      <c r="A104" s="218" t="n">
        <v>14.7</v>
      </c>
      <c r="B104" s="219" t="n">
        <f aca="false">IF(Calculator!$E$12="YES",IF(A104&lt;Calculator!$G$12,0,MIN(MIN(MOD(A104/Calculator!$F$12,1),1-MOD(A104/Calculator!$F$12,1)),ABS(MOD(A104/Calculator!$F$12,1)-0.5))),1)</f>
        <v>1</v>
      </c>
      <c r="C104" s="219" t="n">
        <f aca="false">IF(Calculator!$E$13="YES",IF(A104&lt;Calculator!$G$13,0,MIN(MIN(MOD(A104/Calculator!$F$13,1),1-MOD(A104/Calculator!$F$13,1)),ABS(MOD(A104/Calculator!$F$13,1)-0.5))),1)</f>
        <v>1</v>
      </c>
      <c r="D104" s="219" t="n">
        <f aca="false">IF(Calculator!$E$14="YES",IF(A104&lt;Calculator!$G$14,0,MIN(MIN(MOD(A104/Calculator!$F$14,1),1-MOD(A104/Calculator!$F$14,1)),ABS(MOD(A104/Calculator!$F$14,1)-0.5))),1)</f>
        <v>1</v>
      </c>
      <c r="E104" s="219" t="n">
        <f aca="false">IF(Calculator!$E$15="YES",IF(A104&lt;Calculator!$G$15,0,MIN(MIN(MOD(A104/Calculator!$F$15,1),1-MOD(A104/Calculator!$F$15,1)),ABS(MOD(A104/Calculator!$F$15,1)-0.5))),1)</f>
        <v>0.237578947368421</v>
      </c>
      <c r="F104" s="219" t="n">
        <f aca="false">IF(Calculator!$E$16="YES",IF(A104&lt;Calculator!$G$16,0,MIN(MIN(MOD(A104/Calculator!$F$16,1),1-MOD(A104/Calculator!$F$16,1)),ABS(MOD(A104/Calculator!$F$16,1)-0.5))),1)</f>
        <v>1</v>
      </c>
      <c r="G104" s="219" t="n">
        <f aca="false">IF(Calculator!$E$17="YES",IF(A104&lt;Calculator!$G$17,0,MIN(MIN(MOD(A104/Calculator!$F$17,1),1-MOD(A104/Calculator!$F$17,1)),ABS(MOD(A104/Calculator!$F$17,1)-0.5))),1)</f>
        <v>0.0377368421052631</v>
      </c>
      <c r="H104" s="219" t="n">
        <f aca="false">IF(Calculator!$E$18="YES",IF(A104&lt;Calculator!$G$18,0,MIN(MIN(MOD(A104/Calculator!$F$18,1),1-MOD(A104/Calculator!$F$18,1)),ABS(MOD(A104/Calculator!$F$18,1)-0.5))),1)</f>
        <v>1</v>
      </c>
      <c r="I104" s="219" t="n">
        <f aca="false">IF(Calculator!$E$19="YES",IF(A104&lt;Calculator!$G$19,0,MIN(MIN(MOD(A104/Calculator!$F$19,1),1-MOD(A104/Calculator!$F$19,1)),ABS(MOD(A104/Calculator!$F$19,1)-0.5))),1)</f>
        <v>1</v>
      </c>
      <c r="J104" s="219" t="n">
        <f aca="false">IF(Calculator!$E$20="YES",IF(A104&lt;Calculator!$G$20,0,MIN(MIN(MOD(A104/Calculator!$F$20,1),1-MOD(A104/Calculator!$F$20,1)),ABS(MOD(A104/Calculator!$F$20,1)-0.5))),1)</f>
        <v>1</v>
      </c>
      <c r="K104" s="219" t="n">
        <f aca="false">IF(Calculator!$E$21="YES",IF(A104&lt;Calculator!$G$21,0,MIN(MIN(MOD(A104/Calculator!$F$21,1),1-MOD(A104/Calculator!$F$21,1)),ABS(MOD(A104/Calculator!$F$21,1)-0.5))),1)</f>
        <v>0.0238947368421054</v>
      </c>
      <c r="L104" s="219" t="n">
        <f aca="false">IF(Calculator!$E$22="YES",IF(A104&lt;Calculator!$G$22,0,MIN(MIN(MOD(A104/Calculator!$F$22,1),1-MOD(A104/Calculator!$F$22,1)),ABS(MOD(A104/Calculator!$F$22,1)-0.5))),1)</f>
        <v>1</v>
      </c>
      <c r="M104" s="219" t="n">
        <f aca="false">MIN(B104:L104)</f>
        <v>0.0238947368421054</v>
      </c>
      <c r="N104" s="219" t="n">
        <f aca="false">SUMPRODUCT(($M$7:$M$557&gt;M104)*1)+SUMPRODUCT(($M$7:$M$557=M104)*(ROW($M$7:$M$557)&lt;ROW(M104)))+1</f>
        <v>385</v>
      </c>
      <c r="O104" s="219" t="str">
        <f aca="false">IF(M104&gt;=0.2,"★★★ EXCELLENT",IF(M104&gt;=0.12,"★★  GOOD",IF(M104&gt;=0.07,"★  FAIR",IF(M104&gt;=0.025,"⚠  MARGINAL","✗  AVOID"))))</f>
        <v>✗  AVOID</v>
      </c>
    </row>
    <row r="105" customFormat="false" ht="15" hidden="false" customHeight="true" outlineLevel="0" collapsed="false">
      <c r="A105" s="216" t="n">
        <v>14.8</v>
      </c>
      <c r="B105" s="217" t="n">
        <f aca="false">IF(Calculator!$E$12="YES",IF(A105&lt;Calculator!$G$12,0,MIN(MIN(MOD(A105/Calculator!$F$12,1),1-MOD(A105/Calculator!$F$12,1)),ABS(MOD(A105/Calculator!$F$12,1)-0.5))),1)</f>
        <v>1</v>
      </c>
      <c r="C105" s="217" t="n">
        <f aca="false">IF(Calculator!$E$13="YES",IF(A105&lt;Calculator!$G$13,0,MIN(MIN(MOD(A105/Calculator!$F$13,1),1-MOD(A105/Calculator!$F$13,1)),ABS(MOD(A105/Calculator!$F$13,1)-0.5))),1)</f>
        <v>1</v>
      </c>
      <c r="D105" s="217" t="n">
        <f aca="false">IF(Calculator!$E$14="YES",IF(A105&lt;Calculator!$G$14,0,MIN(MIN(MOD(A105/Calculator!$F$14,1),1-MOD(A105/Calculator!$F$14,1)),ABS(MOD(A105/Calculator!$F$14,1)-0.5))),1)</f>
        <v>1</v>
      </c>
      <c r="E105" s="217" t="n">
        <f aca="false">IF(Calculator!$E$15="YES",IF(A105&lt;Calculator!$G$15,0,MIN(MIN(MOD(A105/Calculator!$F$15,1),1-MOD(A105/Calculator!$F$15,1)),ABS(MOD(A105/Calculator!$F$15,1)-0.5))),1)</f>
        <v>0.24259649122807</v>
      </c>
      <c r="F105" s="217" t="n">
        <f aca="false">IF(Calculator!$E$16="YES",IF(A105&lt;Calculator!$G$16,0,MIN(MIN(MOD(A105/Calculator!$F$16,1),1-MOD(A105/Calculator!$F$16,1)),ABS(MOD(A105/Calculator!$F$16,1)-0.5))),1)</f>
        <v>1</v>
      </c>
      <c r="G105" s="217" t="n">
        <f aca="false">IF(Calculator!$E$17="YES",IF(A105&lt;Calculator!$G$17,0,MIN(MIN(MOD(A105/Calculator!$F$17,1),1-MOD(A105/Calculator!$F$17,1)),ABS(MOD(A105/Calculator!$F$17,1)-0.5))),1)</f>
        <v>0.0277894736842104</v>
      </c>
      <c r="H105" s="217" t="n">
        <f aca="false">IF(Calculator!$E$18="YES",IF(A105&lt;Calculator!$G$18,0,MIN(MIN(MOD(A105/Calculator!$F$18,1),1-MOD(A105/Calculator!$F$18,1)),ABS(MOD(A105/Calculator!$F$18,1)-0.5))),1)</f>
        <v>1</v>
      </c>
      <c r="I105" s="217" t="n">
        <f aca="false">IF(Calculator!$E$19="YES",IF(A105&lt;Calculator!$G$19,0,MIN(MIN(MOD(A105/Calculator!$F$19,1),1-MOD(A105/Calculator!$F$19,1)),ABS(MOD(A105/Calculator!$F$19,1)-0.5))),1)</f>
        <v>1</v>
      </c>
      <c r="J105" s="217" t="n">
        <f aca="false">IF(Calculator!$E$20="YES",IF(A105&lt;Calculator!$G$20,0,MIN(MIN(MOD(A105/Calculator!$F$20,1),1-MOD(A105/Calculator!$F$20,1)),ABS(MOD(A105/Calculator!$F$20,1)-0.5))),1)</f>
        <v>1</v>
      </c>
      <c r="K105" s="217" t="n">
        <f aca="false">IF(Calculator!$E$21="YES",IF(A105&lt;Calculator!$G$21,0,MIN(MIN(MOD(A105/Calculator!$F$21,1),1-MOD(A105/Calculator!$F$21,1)),ABS(MOD(A105/Calculator!$F$21,1)-0.5))),1)</f>
        <v>0.00364912280701724</v>
      </c>
      <c r="L105" s="217" t="n">
        <f aca="false">IF(Calculator!$E$22="YES",IF(A105&lt;Calculator!$G$22,0,MIN(MIN(MOD(A105/Calculator!$F$22,1),1-MOD(A105/Calculator!$F$22,1)),ABS(MOD(A105/Calculator!$F$22,1)-0.5))),1)</f>
        <v>1</v>
      </c>
      <c r="M105" s="217" t="n">
        <f aca="false">MIN(B105:L105)</f>
        <v>0.00364912280701724</v>
      </c>
      <c r="N105" s="217" t="n">
        <f aca="false">SUMPRODUCT(($M$7:$M$557&gt;M105)*1)+SUMPRODUCT(($M$7:$M$557=M105)*(ROW($M$7:$M$557)&lt;ROW(M105)))+1</f>
        <v>479</v>
      </c>
      <c r="O105" s="217" t="str">
        <f aca="false">IF(M105&gt;=0.2,"★★★ EXCELLENT",IF(M105&gt;=0.12,"★★  GOOD",IF(M105&gt;=0.07,"★  FAIR",IF(M105&gt;=0.025,"⚠  MARGINAL","✗  AVOID"))))</f>
        <v>✗  AVOID</v>
      </c>
    </row>
    <row r="106" customFormat="false" ht="15" hidden="false" customHeight="true" outlineLevel="0" collapsed="false">
      <c r="A106" s="218" t="n">
        <v>14.9</v>
      </c>
      <c r="B106" s="219" t="n">
        <f aca="false">IF(Calculator!$E$12="YES",IF(A106&lt;Calculator!$G$12,0,MIN(MIN(MOD(A106/Calculator!$F$12,1),1-MOD(A106/Calculator!$F$12,1)),ABS(MOD(A106/Calculator!$F$12,1)-0.5))),1)</f>
        <v>1</v>
      </c>
      <c r="C106" s="219" t="n">
        <f aca="false">IF(Calculator!$E$13="YES",IF(A106&lt;Calculator!$G$13,0,MIN(MIN(MOD(A106/Calculator!$F$13,1),1-MOD(A106/Calculator!$F$13,1)),ABS(MOD(A106/Calculator!$F$13,1)-0.5))),1)</f>
        <v>1</v>
      </c>
      <c r="D106" s="219" t="n">
        <f aca="false">IF(Calculator!$E$14="YES",IF(A106&lt;Calculator!$G$14,0,MIN(MIN(MOD(A106/Calculator!$F$14,1),1-MOD(A106/Calculator!$F$14,1)),ABS(MOD(A106/Calculator!$F$14,1)-0.5))),1)</f>
        <v>1</v>
      </c>
      <c r="E106" s="219" t="n">
        <f aca="false">IF(Calculator!$E$15="YES",IF(A106&lt;Calculator!$G$15,0,MIN(MIN(MOD(A106/Calculator!$F$15,1),1-MOD(A106/Calculator!$F$15,1)),ABS(MOD(A106/Calculator!$F$15,1)-0.5))),1)</f>
        <v>0.247614035087719</v>
      </c>
      <c r="F106" s="219" t="n">
        <f aca="false">IF(Calculator!$E$16="YES",IF(A106&lt;Calculator!$G$16,0,MIN(MIN(MOD(A106/Calculator!$F$16,1),1-MOD(A106/Calculator!$F$16,1)),ABS(MOD(A106/Calculator!$F$16,1)-0.5))),1)</f>
        <v>1</v>
      </c>
      <c r="G106" s="219" t="n">
        <f aca="false">IF(Calculator!$E$17="YES",IF(A106&lt;Calculator!$G$17,0,MIN(MIN(MOD(A106/Calculator!$F$17,1),1-MOD(A106/Calculator!$F$17,1)),ABS(MOD(A106/Calculator!$F$17,1)-0.5))),1)</f>
        <v>0.0178421052631577</v>
      </c>
      <c r="H106" s="219" t="n">
        <f aca="false">IF(Calculator!$E$18="YES",IF(A106&lt;Calculator!$G$18,0,MIN(MIN(MOD(A106/Calculator!$F$18,1),1-MOD(A106/Calculator!$F$18,1)),ABS(MOD(A106/Calculator!$F$18,1)-0.5))),1)</f>
        <v>1</v>
      </c>
      <c r="I106" s="219" t="n">
        <f aca="false">IF(Calculator!$E$19="YES",IF(A106&lt;Calculator!$G$19,0,MIN(MIN(MOD(A106/Calculator!$F$19,1),1-MOD(A106/Calculator!$F$19,1)),ABS(MOD(A106/Calculator!$F$19,1)-0.5))),1)</f>
        <v>1</v>
      </c>
      <c r="J106" s="219" t="n">
        <f aca="false">IF(Calculator!$E$20="YES",IF(A106&lt;Calculator!$G$20,0,MIN(MIN(MOD(A106/Calculator!$F$20,1),1-MOD(A106/Calculator!$F$20,1)),ABS(MOD(A106/Calculator!$F$20,1)-0.5))),1)</f>
        <v>1</v>
      </c>
      <c r="K106" s="219" t="n">
        <f aca="false">IF(Calculator!$E$21="YES",IF(A106&lt;Calculator!$G$21,0,MIN(MIN(MOD(A106/Calculator!$F$21,1),1-MOD(A106/Calculator!$F$21,1)),ABS(MOD(A106/Calculator!$F$21,1)-0.5))),1)</f>
        <v>0.0165964912280701</v>
      </c>
      <c r="L106" s="219" t="n">
        <f aca="false">IF(Calculator!$E$22="YES",IF(A106&lt;Calculator!$G$22,0,MIN(MIN(MOD(A106/Calculator!$F$22,1),1-MOD(A106/Calculator!$F$22,1)),ABS(MOD(A106/Calculator!$F$22,1)-0.5))),1)</f>
        <v>1</v>
      </c>
      <c r="M106" s="219" t="n">
        <f aca="false">MIN(B106:L106)</f>
        <v>0.0165964912280701</v>
      </c>
      <c r="N106" s="219" t="n">
        <f aca="false">SUMPRODUCT(($M$7:$M$557&gt;M106)*1)+SUMPRODUCT(($M$7:$M$557=M106)*(ROW($M$7:$M$557)&lt;ROW(M106)))+1</f>
        <v>415</v>
      </c>
      <c r="O106" s="219" t="str">
        <f aca="false">IF(M106&gt;=0.2,"★★★ EXCELLENT",IF(M106&gt;=0.12,"★★  GOOD",IF(M106&gt;=0.07,"★  FAIR",IF(M106&gt;=0.025,"⚠  MARGINAL","✗  AVOID"))))</f>
        <v>✗  AVOID</v>
      </c>
    </row>
    <row r="107" customFormat="false" ht="15" hidden="false" customHeight="true" outlineLevel="0" collapsed="false">
      <c r="A107" s="216" t="n">
        <v>15</v>
      </c>
      <c r="B107" s="217" t="n">
        <f aca="false">IF(Calculator!$E$12="YES",IF(A107&lt;Calculator!$G$12,0,MIN(MIN(MOD(A107/Calculator!$F$12,1),1-MOD(A107/Calculator!$F$12,1)),ABS(MOD(A107/Calculator!$F$12,1)-0.5))),1)</f>
        <v>1</v>
      </c>
      <c r="C107" s="217" t="n">
        <f aca="false">IF(Calculator!$E$13="YES",IF(A107&lt;Calculator!$G$13,0,MIN(MIN(MOD(A107/Calculator!$F$13,1),1-MOD(A107/Calculator!$F$13,1)),ABS(MOD(A107/Calculator!$F$13,1)-0.5))),1)</f>
        <v>1</v>
      </c>
      <c r="D107" s="217" t="n">
        <f aca="false">IF(Calculator!$E$14="YES",IF(A107&lt;Calculator!$G$14,0,MIN(MIN(MOD(A107/Calculator!$F$14,1),1-MOD(A107/Calculator!$F$14,1)),ABS(MOD(A107/Calculator!$F$14,1)-0.5))),1)</f>
        <v>1</v>
      </c>
      <c r="E107" s="217" t="n">
        <f aca="false">IF(Calculator!$E$15="YES",IF(A107&lt;Calculator!$G$15,0,MIN(MIN(MOD(A107/Calculator!$F$15,1),1-MOD(A107/Calculator!$F$15,1)),ABS(MOD(A107/Calculator!$F$15,1)-0.5))),1)</f>
        <v>0.247368421052632</v>
      </c>
      <c r="F107" s="217" t="n">
        <f aca="false">IF(Calculator!$E$16="YES",IF(A107&lt;Calculator!$G$16,0,MIN(MIN(MOD(A107/Calculator!$F$16,1),1-MOD(A107/Calculator!$F$16,1)),ABS(MOD(A107/Calculator!$F$16,1)-0.5))),1)</f>
        <v>1</v>
      </c>
      <c r="G107" s="217" t="n">
        <f aca="false">IF(Calculator!$E$17="YES",IF(A107&lt;Calculator!$G$17,0,MIN(MIN(MOD(A107/Calculator!$F$17,1),1-MOD(A107/Calculator!$F$17,1)),ABS(MOD(A107/Calculator!$F$17,1)-0.5))),1)</f>
        <v>0.00789473684210518</v>
      </c>
      <c r="H107" s="217" t="n">
        <f aca="false">IF(Calculator!$E$18="YES",IF(A107&lt;Calculator!$G$18,0,MIN(MIN(MOD(A107/Calculator!$F$18,1),1-MOD(A107/Calculator!$F$18,1)),ABS(MOD(A107/Calculator!$F$18,1)-0.5))),1)</f>
        <v>1</v>
      </c>
      <c r="I107" s="217" t="n">
        <f aca="false">IF(Calculator!$E$19="YES",IF(A107&lt;Calculator!$G$19,0,MIN(MIN(MOD(A107/Calculator!$F$19,1),1-MOD(A107/Calculator!$F$19,1)),ABS(MOD(A107/Calculator!$F$19,1)-0.5))),1)</f>
        <v>1</v>
      </c>
      <c r="J107" s="217" t="n">
        <f aca="false">IF(Calculator!$E$20="YES",IF(A107&lt;Calculator!$G$20,0,MIN(MIN(MOD(A107/Calculator!$F$20,1),1-MOD(A107/Calculator!$F$20,1)),ABS(MOD(A107/Calculator!$F$20,1)-0.5))),1)</f>
        <v>1</v>
      </c>
      <c r="K107" s="217" t="n">
        <f aca="false">IF(Calculator!$E$21="YES",IF(A107&lt;Calculator!$G$21,0,MIN(MIN(MOD(A107/Calculator!$F$21,1),1-MOD(A107/Calculator!$F$21,1)),ABS(MOD(A107/Calculator!$F$21,1)-0.5))),1)</f>
        <v>0.0368421052631578</v>
      </c>
      <c r="L107" s="217" t="n">
        <f aca="false">IF(Calculator!$E$22="YES",IF(A107&lt;Calculator!$G$22,0,MIN(MIN(MOD(A107/Calculator!$F$22,1),1-MOD(A107/Calculator!$F$22,1)),ABS(MOD(A107/Calculator!$F$22,1)-0.5))),1)</f>
        <v>1</v>
      </c>
      <c r="M107" s="217" t="n">
        <f aca="false">MIN(B107:L107)</f>
        <v>0.00789473684210518</v>
      </c>
      <c r="N107" s="217" t="n">
        <f aca="false">SUMPRODUCT(($M$7:$M$557&gt;M107)*1)+SUMPRODUCT(($M$7:$M$557=M107)*(ROW($M$7:$M$557)&lt;ROW(M107)))+1</f>
        <v>455</v>
      </c>
      <c r="O107" s="217" t="str">
        <f aca="false">IF(M107&gt;=0.2,"★★★ EXCELLENT",IF(M107&gt;=0.12,"★★  GOOD",IF(M107&gt;=0.07,"★  FAIR",IF(M107&gt;=0.025,"⚠  MARGINAL","✗  AVOID"))))</f>
        <v>✗  AVOID</v>
      </c>
    </row>
    <row r="108" customFormat="false" ht="15" hidden="false" customHeight="true" outlineLevel="0" collapsed="false">
      <c r="A108" s="218" t="n">
        <v>15.1</v>
      </c>
      <c r="B108" s="219" t="n">
        <f aca="false">IF(Calculator!$E$12="YES",IF(A108&lt;Calculator!$G$12,0,MIN(MIN(MOD(A108/Calculator!$F$12,1),1-MOD(A108/Calculator!$F$12,1)),ABS(MOD(A108/Calculator!$F$12,1)-0.5))),1)</f>
        <v>1</v>
      </c>
      <c r="C108" s="219" t="n">
        <f aca="false">IF(Calculator!$E$13="YES",IF(A108&lt;Calculator!$G$13,0,MIN(MIN(MOD(A108/Calculator!$F$13,1),1-MOD(A108/Calculator!$F$13,1)),ABS(MOD(A108/Calculator!$F$13,1)-0.5))),1)</f>
        <v>1</v>
      </c>
      <c r="D108" s="219" t="n">
        <f aca="false">IF(Calculator!$E$14="YES",IF(A108&lt;Calculator!$G$14,0,MIN(MIN(MOD(A108/Calculator!$F$14,1),1-MOD(A108/Calculator!$F$14,1)),ABS(MOD(A108/Calculator!$F$14,1)-0.5))),1)</f>
        <v>1</v>
      </c>
      <c r="E108" s="219" t="n">
        <f aca="false">IF(Calculator!$E$15="YES",IF(A108&lt;Calculator!$G$15,0,MIN(MIN(MOD(A108/Calculator!$F$15,1),1-MOD(A108/Calculator!$F$15,1)),ABS(MOD(A108/Calculator!$F$15,1)-0.5))),1)</f>
        <v>0.242350877192982</v>
      </c>
      <c r="F108" s="219" t="n">
        <f aca="false">IF(Calculator!$E$16="YES",IF(A108&lt;Calculator!$G$16,0,MIN(MIN(MOD(A108/Calculator!$F$16,1),1-MOD(A108/Calculator!$F$16,1)),ABS(MOD(A108/Calculator!$F$16,1)-0.5))),1)</f>
        <v>1</v>
      </c>
      <c r="G108" s="219" t="n">
        <f aca="false">IF(Calculator!$E$17="YES",IF(A108&lt;Calculator!$G$17,0,MIN(MIN(MOD(A108/Calculator!$F$17,1),1-MOD(A108/Calculator!$F$17,1)),ABS(MOD(A108/Calculator!$F$17,1)-0.5))),1)</f>
        <v>0.00205263157894753</v>
      </c>
      <c r="H108" s="219" t="n">
        <f aca="false">IF(Calculator!$E$18="YES",IF(A108&lt;Calculator!$G$18,0,MIN(MIN(MOD(A108/Calculator!$F$18,1),1-MOD(A108/Calculator!$F$18,1)),ABS(MOD(A108/Calculator!$F$18,1)-0.5))),1)</f>
        <v>1</v>
      </c>
      <c r="I108" s="219" t="n">
        <f aca="false">IF(Calculator!$E$19="YES",IF(A108&lt;Calculator!$G$19,0,MIN(MIN(MOD(A108/Calculator!$F$19,1),1-MOD(A108/Calculator!$F$19,1)),ABS(MOD(A108/Calculator!$F$19,1)-0.5))),1)</f>
        <v>1</v>
      </c>
      <c r="J108" s="219" t="n">
        <f aca="false">IF(Calculator!$E$20="YES",IF(A108&lt;Calculator!$G$20,0,MIN(MIN(MOD(A108/Calculator!$F$20,1),1-MOD(A108/Calculator!$F$20,1)),ABS(MOD(A108/Calculator!$F$20,1)-0.5))),1)</f>
        <v>1</v>
      </c>
      <c r="K108" s="219" t="n">
        <f aca="false">IF(Calculator!$E$21="YES",IF(A108&lt;Calculator!$G$21,0,MIN(MIN(MOD(A108/Calculator!$F$21,1),1-MOD(A108/Calculator!$F$21,1)),ABS(MOD(A108/Calculator!$F$21,1)-0.5))),1)</f>
        <v>0.0570877192982455</v>
      </c>
      <c r="L108" s="219" t="n">
        <f aca="false">IF(Calculator!$E$22="YES",IF(A108&lt;Calculator!$G$22,0,MIN(MIN(MOD(A108/Calculator!$F$22,1),1-MOD(A108/Calculator!$F$22,1)),ABS(MOD(A108/Calculator!$F$22,1)-0.5))),1)</f>
        <v>1</v>
      </c>
      <c r="M108" s="219" t="n">
        <f aca="false">MIN(B108:L108)</f>
        <v>0.00205263157894753</v>
      </c>
      <c r="N108" s="219" t="n">
        <f aca="false">SUMPRODUCT(($M$7:$M$557&gt;M108)*1)+SUMPRODUCT(($M$7:$M$557=M108)*(ROW($M$7:$M$557)&lt;ROW(M108)))+1</f>
        <v>487</v>
      </c>
      <c r="O108" s="219" t="str">
        <f aca="false">IF(M108&gt;=0.2,"★★★ EXCELLENT",IF(M108&gt;=0.12,"★★  GOOD",IF(M108&gt;=0.07,"★  FAIR",IF(M108&gt;=0.025,"⚠  MARGINAL","✗  AVOID"))))</f>
        <v>✗  AVOID</v>
      </c>
    </row>
    <row r="109" customFormat="false" ht="15" hidden="false" customHeight="true" outlineLevel="0" collapsed="false">
      <c r="A109" s="216" t="n">
        <v>15.2</v>
      </c>
      <c r="B109" s="217" t="n">
        <f aca="false">IF(Calculator!$E$12="YES",IF(A109&lt;Calculator!$G$12,0,MIN(MIN(MOD(A109/Calculator!$F$12,1),1-MOD(A109/Calculator!$F$12,1)),ABS(MOD(A109/Calculator!$F$12,1)-0.5))),1)</f>
        <v>1</v>
      </c>
      <c r="C109" s="217" t="n">
        <f aca="false">IF(Calculator!$E$13="YES",IF(A109&lt;Calculator!$G$13,0,MIN(MIN(MOD(A109/Calculator!$F$13,1),1-MOD(A109/Calculator!$F$13,1)),ABS(MOD(A109/Calculator!$F$13,1)-0.5))),1)</f>
        <v>1</v>
      </c>
      <c r="D109" s="217" t="n">
        <f aca="false">IF(Calculator!$E$14="YES",IF(A109&lt;Calculator!$G$14,0,MIN(MIN(MOD(A109/Calculator!$F$14,1),1-MOD(A109/Calculator!$F$14,1)),ABS(MOD(A109/Calculator!$F$14,1)-0.5))),1)</f>
        <v>1</v>
      </c>
      <c r="E109" s="217" t="n">
        <f aca="false">IF(Calculator!$E$15="YES",IF(A109&lt;Calculator!$G$15,0,MIN(MIN(MOD(A109/Calculator!$F$15,1),1-MOD(A109/Calculator!$F$15,1)),ABS(MOD(A109/Calculator!$F$15,1)-0.5))),1)</f>
        <v>0.237333333333333</v>
      </c>
      <c r="F109" s="217" t="n">
        <f aca="false">IF(Calculator!$E$16="YES",IF(A109&lt;Calculator!$G$16,0,MIN(MIN(MOD(A109/Calculator!$F$16,1),1-MOD(A109/Calculator!$F$16,1)),ABS(MOD(A109/Calculator!$F$16,1)-0.5))),1)</f>
        <v>1</v>
      </c>
      <c r="G109" s="217" t="n">
        <f aca="false">IF(Calculator!$E$17="YES",IF(A109&lt;Calculator!$G$17,0,MIN(MIN(MOD(A109/Calculator!$F$17,1),1-MOD(A109/Calculator!$F$17,1)),ABS(MOD(A109/Calculator!$F$17,1)-0.5))),1)</f>
        <v>0.012</v>
      </c>
      <c r="H109" s="217" t="n">
        <f aca="false">IF(Calculator!$E$18="YES",IF(A109&lt;Calculator!$G$18,0,MIN(MIN(MOD(A109/Calculator!$F$18,1),1-MOD(A109/Calculator!$F$18,1)),ABS(MOD(A109/Calculator!$F$18,1)-0.5))),1)</f>
        <v>1</v>
      </c>
      <c r="I109" s="217" t="n">
        <f aca="false">IF(Calculator!$E$19="YES",IF(A109&lt;Calculator!$G$19,0,MIN(MIN(MOD(A109/Calculator!$F$19,1),1-MOD(A109/Calculator!$F$19,1)),ABS(MOD(A109/Calculator!$F$19,1)-0.5))),1)</f>
        <v>1</v>
      </c>
      <c r="J109" s="217" t="n">
        <f aca="false">IF(Calculator!$E$20="YES",IF(A109&lt;Calculator!$G$20,0,MIN(MIN(MOD(A109/Calculator!$F$20,1),1-MOD(A109/Calculator!$F$20,1)),ABS(MOD(A109/Calculator!$F$20,1)-0.5))),1)</f>
        <v>1</v>
      </c>
      <c r="K109" s="217" t="n">
        <f aca="false">IF(Calculator!$E$21="YES",IF(A109&lt;Calculator!$G$21,0,MIN(MIN(MOD(A109/Calculator!$F$21,1),1-MOD(A109/Calculator!$F$21,1)),ABS(MOD(A109/Calculator!$F$21,1)-0.5))),1)</f>
        <v>0.0773333333333333</v>
      </c>
      <c r="L109" s="217" t="n">
        <f aca="false">IF(Calculator!$E$22="YES",IF(A109&lt;Calculator!$G$22,0,MIN(MIN(MOD(A109/Calculator!$F$22,1),1-MOD(A109/Calculator!$F$22,1)),ABS(MOD(A109/Calculator!$F$22,1)-0.5))),1)</f>
        <v>1</v>
      </c>
      <c r="M109" s="217" t="n">
        <f aca="false">MIN(B109:L109)</f>
        <v>0.012</v>
      </c>
      <c r="N109" s="217" t="n">
        <f aca="false">SUMPRODUCT(($M$7:$M$557&gt;M109)*1)+SUMPRODUCT(($M$7:$M$557=M109)*(ROW($M$7:$M$557)&lt;ROW(M109)))+1</f>
        <v>433</v>
      </c>
      <c r="O109" s="217" t="str">
        <f aca="false">IF(M109&gt;=0.2,"★★★ EXCELLENT",IF(M109&gt;=0.12,"★★  GOOD",IF(M109&gt;=0.07,"★  FAIR",IF(M109&gt;=0.025,"⚠  MARGINAL","✗  AVOID"))))</f>
        <v>✗  AVOID</v>
      </c>
    </row>
    <row r="110" customFormat="false" ht="15" hidden="false" customHeight="true" outlineLevel="0" collapsed="false">
      <c r="A110" s="218" t="n">
        <v>15.3</v>
      </c>
      <c r="B110" s="219" t="n">
        <f aca="false">IF(Calculator!$E$12="YES",IF(A110&lt;Calculator!$G$12,0,MIN(MIN(MOD(A110/Calculator!$F$12,1),1-MOD(A110/Calculator!$F$12,1)),ABS(MOD(A110/Calculator!$F$12,1)-0.5))),1)</f>
        <v>1</v>
      </c>
      <c r="C110" s="219" t="n">
        <f aca="false">IF(Calculator!$E$13="YES",IF(A110&lt;Calculator!$G$13,0,MIN(MIN(MOD(A110/Calculator!$F$13,1),1-MOD(A110/Calculator!$F$13,1)),ABS(MOD(A110/Calculator!$F$13,1)-0.5))),1)</f>
        <v>1</v>
      </c>
      <c r="D110" s="219" t="n">
        <f aca="false">IF(Calculator!$E$14="YES",IF(A110&lt;Calculator!$G$14,0,MIN(MIN(MOD(A110/Calculator!$F$14,1),1-MOD(A110/Calculator!$F$14,1)),ABS(MOD(A110/Calculator!$F$14,1)-0.5))),1)</f>
        <v>1</v>
      </c>
      <c r="E110" s="219" t="n">
        <f aca="false">IF(Calculator!$E$15="YES",IF(A110&lt;Calculator!$G$15,0,MIN(MIN(MOD(A110/Calculator!$F$15,1),1-MOD(A110/Calculator!$F$15,1)),ABS(MOD(A110/Calculator!$F$15,1)-0.5))),1)</f>
        <v>0.232315789473684</v>
      </c>
      <c r="F110" s="219" t="n">
        <f aca="false">IF(Calculator!$E$16="YES",IF(A110&lt;Calculator!$G$16,0,MIN(MIN(MOD(A110/Calculator!$F$16,1),1-MOD(A110/Calculator!$F$16,1)),ABS(MOD(A110/Calculator!$F$16,1)-0.5))),1)</f>
        <v>1</v>
      </c>
      <c r="G110" s="219" t="n">
        <f aca="false">IF(Calculator!$E$17="YES",IF(A110&lt;Calculator!$G$17,0,MIN(MIN(MOD(A110/Calculator!$F$17,1),1-MOD(A110/Calculator!$F$17,1)),ABS(MOD(A110/Calculator!$F$17,1)-0.5))),1)</f>
        <v>0.0219473684210527</v>
      </c>
      <c r="H110" s="219" t="n">
        <f aca="false">IF(Calculator!$E$18="YES",IF(A110&lt;Calculator!$G$18,0,MIN(MIN(MOD(A110/Calculator!$F$18,1),1-MOD(A110/Calculator!$F$18,1)),ABS(MOD(A110/Calculator!$F$18,1)-0.5))),1)</f>
        <v>1</v>
      </c>
      <c r="I110" s="219" t="n">
        <f aca="false">IF(Calculator!$E$19="YES",IF(A110&lt;Calculator!$G$19,0,MIN(MIN(MOD(A110/Calculator!$F$19,1),1-MOD(A110/Calculator!$F$19,1)),ABS(MOD(A110/Calculator!$F$19,1)-0.5))),1)</f>
        <v>1</v>
      </c>
      <c r="J110" s="219" t="n">
        <f aca="false">IF(Calculator!$E$20="YES",IF(A110&lt;Calculator!$G$20,0,MIN(MIN(MOD(A110/Calculator!$F$20,1),1-MOD(A110/Calculator!$F$20,1)),ABS(MOD(A110/Calculator!$F$20,1)-0.5))),1)</f>
        <v>1</v>
      </c>
      <c r="K110" s="219" t="n">
        <f aca="false">IF(Calculator!$E$21="YES",IF(A110&lt;Calculator!$G$21,0,MIN(MIN(MOD(A110/Calculator!$F$21,1),1-MOD(A110/Calculator!$F$21,1)),ABS(MOD(A110/Calculator!$F$21,1)-0.5))),1)</f>
        <v>0.097578947368421</v>
      </c>
      <c r="L110" s="219" t="n">
        <f aca="false">IF(Calculator!$E$22="YES",IF(A110&lt;Calculator!$G$22,0,MIN(MIN(MOD(A110/Calculator!$F$22,1),1-MOD(A110/Calculator!$F$22,1)),ABS(MOD(A110/Calculator!$F$22,1)-0.5))),1)</f>
        <v>1</v>
      </c>
      <c r="M110" s="219" t="n">
        <f aca="false">MIN(B110:L110)</f>
        <v>0.0219473684210527</v>
      </c>
      <c r="N110" s="219" t="n">
        <f aca="false">SUMPRODUCT(($M$7:$M$557&gt;M110)*1)+SUMPRODUCT(($M$7:$M$557=M110)*(ROW($M$7:$M$557)&lt;ROW(M110)))+1</f>
        <v>393</v>
      </c>
      <c r="O110" s="219" t="str">
        <f aca="false">IF(M110&gt;=0.2,"★★★ EXCELLENT",IF(M110&gt;=0.12,"★★  GOOD",IF(M110&gt;=0.07,"★  FAIR",IF(M110&gt;=0.025,"⚠  MARGINAL","✗  AVOID"))))</f>
        <v>✗  AVOID</v>
      </c>
    </row>
    <row r="111" customFormat="false" ht="15" hidden="false" customHeight="true" outlineLevel="0" collapsed="false">
      <c r="A111" s="216" t="n">
        <v>15.4</v>
      </c>
      <c r="B111" s="217" t="n">
        <f aca="false">IF(Calculator!$E$12="YES",IF(A111&lt;Calculator!$G$12,0,MIN(MIN(MOD(A111/Calculator!$F$12,1),1-MOD(A111/Calculator!$F$12,1)),ABS(MOD(A111/Calculator!$F$12,1)-0.5))),1)</f>
        <v>1</v>
      </c>
      <c r="C111" s="217" t="n">
        <f aca="false">IF(Calculator!$E$13="YES",IF(A111&lt;Calculator!$G$13,0,MIN(MIN(MOD(A111/Calculator!$F$13,1),1-MOD(A111/Calculator!$F$13,1)),ABS(MOD(A111/Calculator!$F$13,1)-0.5))),1)</f>
        <v>1</v>
      </c>
      <c r="D111" s="217" t="n">
        <f aca="false">IF(Calculator!$E$14="YES",IF(A111&lt;Calculator!$G$14,0,MIN(MIN(MOD(A111/Calculator!$F$14,1),1-MOD(A111/Calculator!$F$14,1)),ABS(MOD(A111/Calculator!$F$14,1)-0.5))),1)</f>
        <v>1</v>
      </c>
      <c r="E111" s="217" t="n">
        <f aca="false">IF(Calculator!$E$15="YES",IF(A111&lt;Calculator!$G$15,0,MIN(MIN(MOD(A111/Calculator!$F$15,1),1-MOD(A111/Calculator!$F$15,1)),ABS(MOD(A111/Calculator!$F$15,1)-0.5))),1)</f>
        <v>0.227298245614035</v>
      </c>
      <c r="F111" s="217" t="n">
        <f aca="false">IF(Calculator!$E$16="YES",IF(A111&lt;Calculator!$G$16,0,MIN(MIN(MOD(A111/Calculator!$F$16,1),1-MOD(A111/Calculator!$F$16,1)),ABS(MOD(A111/Calculator!$F$16,1)-0.5))),1)</f>
        <v>1</v>
      </c>
      <c r="G111" s="217" t="n">
        <f aca="false">IF(Calculator!$E$17="YES",IF(A111&lt;Calculator!$G$17,0,MIN(MIN(MOD(A111/Calculator!$F$17,1),1-MOD(A111/Calculator!$F$17,1)),ABS(MOD(A111/Calculator!$F$17,1)-0.5))),1)</f>
        <v>0.0318947368421054</v>
      </c>
      <c r="H111" s="217" t="n">
        <f aca="false">IF(Calculator!$E$18="YES",IF(A111&lt;Calculator!$G$18,0,MIN(MIN(MOD(A111/Calculator!$F$18,1),1-MOD(A111/Calculator!$F$18,1)),ABS(MOD(A111/Calculator!$F$18,1)-0.5))),1)</f>
        <v>1</v>
      </c>
      <c r="I111" s="217" t="n">
        <f aca="false">IF(Calculator!$E$19="YES",IF(A111&lt;Calculator!$G$19,0,MIN(MIN(MOD(A111/Calculator!$F$19,1),1-MOD(A111/Calculator!$F$19,1)),ABS(MOD(A111/Calculator!$F$19,1)-0.5))),1)</f>
        <v>1</v>
      </c>
      <c r="J111" s="217" t="n">
        <f aca="false">IF(Calculator!$E$20="YES",IF(A111&lt;Calculator!$G$20,0,MIN(MIN(MOD(A111/Calculator!$F$20,1),1-MOD(A111/Calculator!$F$20,1)),ABS(MOD(A111/Calculator!$F$20,1)-0.5))),1)</f>
        <v>1</v>
      </c>
      <c r="K111" s="217" t="n">
        <f aca="false">IF(Calculator!$E$21="YES",IF(A111&lt;Calculator!$G$21,0,MIN(MIN(MOD(A111/Calculator!$F$21,1),1-MOD(A111/Calculator!$F$21,1)),ABS(MOD(A111/Calculator!$F$21,1)-0.5))),1)</f>
        <v>0.117824561403509</v>
      </c>
      <c r="L111" s="217" t="n">
        <f aca="false">IF(Calculator!$E$22="YES",IF(A111&lt;Calculator!$G$22,0,MIN(MIN(MOD(A111/Calculator!$F$22,1),1-MOD(A111/Calculator!$F$22,1)),ABS(MOD(A111/Calculator!$F$22,1)-0.5))),1)</f>
        <v>1</v>
      </c>
      <c r="M111" s="217" t="n">
        <f aca="false">MIN(B111:L111)</f>
        <v>0.0318947368421054</v>
      </c>
      <c r="N111" s="217" t="n">
        <f aca="false">SUMPRODUCT(($M$7:$M$557&gt;M111)*1)+SUMPRODUCT(($M$7:$M$557=M111)*(ROW($M$7:$M$557)&lt;ROW(M111)))+1</f>
        <v>354</v>
      </c>
      <c r="O111" s="217" t="str">
        <f aca="false">IF(M111&gt;=0.2,"★★★ EXCELLENT",IF(M111&gt;=0.12,"★★  GOOD",IF(M111&gt;=0.07,"★  FAIR",IF(M111&gt;=0.025,"⚠  MARGINAL","✗  AVOID"))))</f>
        <v>⚠  MARGINAL</v>
      </c>
    </row>
    <row r="112" customFormat="false" ht="15" hidden="false" customHeight="true" outlineLevel="0" collapsed="false">
      <c r="A112" s="218" t="n">
        <v>15.5</v>
      </c>
      <c r="B112" s="219" t="n">
        <f aca="false">IF(Calculator!$E$12="YES",IF(A112&lt;Calculator!$G$12,0,MIN(MIN(MOD(A112/Calculator!$F$12,1),1-MOD(A112/Calculator!$F$12,1)),ABS(MOD(A112/Calculator!$F$12,1)-0.5))),1)</f>
        <v>1</v>
      </c>
      <c r="C112" s="219" t="n">
        <f aca="false">IF(Calculator!$E$13="YES",IF(A112&lt;Calculator!$G$13,0,MIN(MIN(MOD(A112/Calculator!$F$13,1),1-MOD(A112/Calculator!$F$13,1)),ABS(MOD(A112/Calculator!$F$13,1)-0.5))),1)</f>
        <v>1</v>
      </c>
      <c r="D112" s="219" t="n">
        <f aca="false">IF(Calculator!$E$14="YES",IF(A112&lt;Calculator!$G$14,0,MIN(MIN(MOD(A112/Calculator!$F$14,1),1-MOD(A112/Calculator!$F$14,1)),ABS(MOD(A112/Calculator!$F$14,1)-0.5))),1)</f>
        <v>1</v>
      </c>
      <c r="E112" s="219" t="n">
        <f aca="false">IF(Calculator!$E$15="YES",IF(A112&lt;Calculator!$G$15,0,MIN(MIN(MOD(A112/Calculator!$F$15,1),1-MOD(A112/Calculator!$F$15,1)),ABS(MOD(A112/Calculator!$F$15,1)-0.5))),1)</f>
        <v>0.222280701754386</v>
      </c>
      <c r="F112" s="219" t="n">
        <f aca="false">IF(Calculator!$E$16="YES",IF(A112&lt;Calculator!$G$16,0,MIN(MIN(MOD(A112/Calculator!$F$16,1),1-MOD(A112/Calculator!$F$16,1)),ABS(MOD(A112/Calculator!$F$16,1)-0.5))),1)</f>
        <v>1</v>
      </c>
      <c r="G112" s="219" t="n">
        <f aca="false">IF(Calculator!$E$17="YES",IF(A112&lt;Calculator!$G$17,0,MIN(MIN(MOD(A112/Calculator!$F$17,1),1-MOD(A112/Calculator!$F$17,1)),ABS(MOD(A112/Calculator!$F$17,1)-0.5))),1)</f>
        <v>0.0418421052631581</v>
      </c>
      <c r="H112" s="219" t="n">
        <f aca="false">IF(Calculator!$E$18="YES",IF(A112&lt;Calculator!$G$18,0,MIN(MIN(MOD(A112/Calculator!$F$18,1),1-MOD(A112/Calculator!$F$18,1)),ABS(MOD(A112/Calculator!$F$18,1)-0.5))),1)</f>
        <v>1</v>
      </c>
      <c r="I112" s="219" t="n">
        <f aca="false">IF(Calculator!$E$19="YES",IF(A112&lt;Calculator!$G$19,0,MIN(MIN(MOD(A112/Calculator!$F$19,1),1-MOD(A112/Calculator!$F$19,1)),ABS(MOD(A112/Calculator!$F$19,1)-0.5))),1)</f>
        <v>1</v>
      </c>
      <c r="J112" s="219" t="n">
        <f aca="false">IF(Calculator!$E$20="YES",IF(A112&lt;Calculator!$G$20,0,MIN(MIN(MOD(A112/Calculator!$F$20,1),1-MOD(A112/Calculator!$F$20,1)),ABS(MOD(A112/Calculator!$F$20,1)-0.5))),1)</f>
        <v>1</v>
      </c>
      <c r="K112" s="219" t="n">
        <f aca="false">IF(Calculator!$E$21="YES",IF(A112&lt;Calculator!$G$21,0,MIN(MIN(MOD(A112/Calculator!$F$21,1),1-MOD(A112/Calculator!$F$21,1)),ABS(MOD(A112/Calculator!$F$21,1)-0.5))),1)</f>
        <v>0.138070175438596</v>
      </c>
      <c r="L112" s="219" t="n">
        <f aca="false">IF(Calculator!$E$22="YES",IF(A112&lt;Calculator!$G$22,0,MIN(MIN(MOD(A112/Calculator!$F$22,1),1-MOD(A112/Calculator!$F$22,1)),ABS(MOD(A112/Calculator!$F$22,1)-0.5))),1)</f>
        <v>1</v>
      </c>
      <c r="M112" s="219" t="n">
        <f aca="false">MIN(B112:L112)</f>
        <v>0.0418421052631581</v>
      </c>
      <c r="N112" s="219" t="n">
        <f aca="false">SUMPRODUCT(($M$7:$M$557&gt;M112)*1)+SUMPRODUCT(($M$7:$M$557=M112)*(ROW($M$7:$M$557)&lt;ROW(M112)))+1</f>
        <v>316</v>
      </c>
      <c r="O112" s="219" t="str">
        <f aca="false">IF(M112&gt;=0.2,"★★★ EXCELLENT",IF(M112&gt;=0.12,"★★  GOOD",IF(M112&gt;=0.07,"★  FAIR",IF(M112&gt;=0.025,"⚠  MARGINAL","✗  AVOID"))))</f>
        <v>⚠  MARGINAL</v>
      </c>
    </row>
    <row r="113" customFormat="false" ht="15" hidden="false" customHeight="true" outlineLevel="0" collapsed="false">
      <c r="A113" s="216" t="n">
        <v>15.6</v>
      </c>
      <c r="B113" s="217" t="n">
        <f aca="false">IF(Calculator!$E$12="YES",IF(A113&lt;Calculator!$G$12,0,MIN(MIN(MOD(A113/Calculator!$F$12,1),1-MOD(A113/Calculator!$F$12,1)),ABS(MOD(A113/Calculator!$F$12,1)-0.5))),1)</f>
        <v>1</v>
      </c>
      <c r="C113" s="217" t="n">
        <f aca="false">IF(Calculator!$E$13="YES",IF(A113&lt;Calculator!$G$13,0,MIN(MIN(MOD(A113/Calculator!$F$13,1),1-MOD(A113/Calculator!$F$13,1)),ABS(MOD(A113/Calculator!$F$13,1)-0.5))),1)</f>
        <v>1</v>
      </c>
      <c r="D113" s="217" t="n">
        <f aca="false">IF(Calculator!$E$14="YES",IF(A113&lt;Calculator!$G$14,0,MIN(MIN(MOD(A113/Calculator!$F$14,1),1-MOD(A113/Calculator!$F$14,1)),ABS(MOD(A113/Calculator!$F$14,1)-0.5))),1)</f>
        <v>1</v>
      </c>
      <c r="E113" s="217" t="n">
        <f aca="false">IF(Calculator!$E$15="YES",IF(A113&lt;Calculator!$G$15,0,MIN(MIN(MOD(A113/Calculator!$F$15,1),1-MOD(A113/Calculator!$F$15,1)),ABS(MOD(A113/Calculator!$F$15,1)-0.5))),1)</f>
        <v>0.217263157894737</v>
      </c>
      <c r="F113" s="217" t="n">
        <f aca="false">IF(Calculator!$E$16="YES",IF(A113&lt;Calculator!$G$16,0,MIN(MIN(MOD(A113/Calculator!$F$16,1),1-MOD(A113/Calculator!$F$16,1)),ABS(MOD(A113/Calculator!$F$16,1)-0.5))),1)</f>
        <v>1</v>
      </c>
      <c r="G113" s="217" t="n">
        <f aca="false">IF(Calculator!$E$17="YES",IF(A113&lt;Calculator!$G$17,0,MIN(MIN(MOD(A113/Calculator!$F$17,1),1-MOD(A113/Calculator!$F$17,1)),ABS(MOD(A113/Calculator!$F$17,1)-0.5))),1)</f>
        <v>0.0517894736842106</v>
      </c>
      <c r="H113" s="217" t="n">
        <f aca="false">IF(Calculator!$E$18="YES",IF(A113&lt;Calculator!$G$18,0,MIN(MIN(MOD(A113/Calculator!$F$18,1),1-MOD(A113/Calculator!$F$18,1)),ABS(MOD(A113/Calculator!$F$18,1)-0.5))),1)</f>
        <v>1</v>
      </c>
      <c r="I113" s="217" t="n">
        <f aca="false">IF(Calculator!$E$19="YES",IF(A113&lt;Calculator!$G$19,0,MIN(MIN(MOD(A113/Calculator!$F$19,1),1-MOD(A113/Calculator!$F$19,1)),ABS(MOD(A113/Calculator!$F$19,1)-0.5))),1)</f>
        <v>1</v>
      </c>
      <c r="J113" s="217" t="n">
        <f aca="false">IF(Calculator!$E$20="YES",IF(A113&lt;Calculator!$G$20,0,MIN(MIN(MOD(A113/Calculator!$F$20,1),1-MOD(A113/Calculator!$F$20,1)),ABS(MOD(A113/Calculator!$F$20,1)-0.5))),1)</f>
        <v>1</v>
      </c>
      <c r="K113" s="217" t="n">
        <f aca="false">IF(Calculator!$E$21="YES",IF(A113&lt;Calculator!$G$21,0,MIN(MIN(MOD(A113/Calculator!$F$21,1),1-MOD(A113/Calculator!$F$21,1)),ABS(MOD(A113/Calculator!$F$21,1)-0.5))),1)</f>
        <v>0.158315789473684</v>
      </c>
      <c r="L113" s="217" t="n">
        <f aca="false">IF(Calculator!$E$22="YES",IF(A113&lt;Calculator!$G$22,0,MIN(MIN(MOD(A113/Calculator!$F$22,1),1-MOD(A113/Calculator!$F$22,1)),ABS(MOD(A113/Calculator!$F$22,1)-0.5))),1)</f>
        <v>1</v>
      </c>
      <c r="M113" s="217" t="n">
        <f aca="false">MIN(B113:L113)</f>
        <v>0.0517894736842106</v>
      </c>
      <c r="N113" s="217" t="n">
        <f aca="false">SUMPRODUCT(($M$7:$M$557&gt;M113)*1)+SUMPRODUCT(($M$7:$M$557=M113)*(ROW($M$7:$M$557)&lt;ROW(M113)))+1</f>
        <v>275</v>
      </c>
      <c r="O113" s="217" t="str">
        <f aca="false">IF(M113&gt;=0.2,"★★★ EXCELLENT",IF(M113&gt;=0.12,"★★  GOOD",IF(M113&gt;=0.07,"★  FAIR",IF(M113&gt;=0.025,"⚠  MARGINAL","✗  AVOID"))))</f>
        <v>⚠  MARGINAL</v>
      </c>
    </row>
    <row r="114" customFormat="false" ht="15" hidden="false" customHeight="true" outlineLevel="0" collapsed="false">
      <c r="A114" s="218" t="n">
        <v>15.7</v>
      </c>
      <c r="B114" s="219" t="n">
        <f aca="false">IF(Calculator!$E$12="YES",IF(A114&lt;Calculator!$G$12,0,MIN(MIN(MOD(A114/Calculator!$F$12,1),1-MOD(A114/Calculator!$F$12,1)),ABS(MOD(A114/Calculator!$F$12,1)-0.5))),1)</f>
        <v>1</v>
      </c>
      <c r="C114" s="219" t="n">
        <f aca="false">IF(Calculator!$E$13="YES",IF(A114&lt;Calculator!$G$13,0,MIN(MIN(MOD(A114/Calculator!$F$13,1),1-MOD(A114/Calculator!$F$13,1)),ABS(MOD(A114/Calculator!$F$13,1)-0.5))),1)</f>
        <v>1</v>
      </c>
      <c r="D114" s="219" t="n">
        <f aca="false">IF(Calculator!$E$14="YES",IF(A114&lt;Calculator!$G$14,0,MIN(MIN(MOD(A114/Calculator!$F$14,1),1-MOD(A114/Calculator!$F$14,1)),ABS(MOD(A114/Calculator!$F$14,1)-0.5))),1)</f>
        <v>1</v>
      </c>
      <c r="E114" s="219" t="n">
        <f aca="false">IF(Calculator!$E$15="YES",IF(A114&lt;Calculator!$G$15,0,MIN(MIN(MOD(A114/Calculator!$F$15,1),1-MOD(A114/Calculator!$F$15,1)),ABS(MOD(A114/Calculator!$F$15,1)-0.5))),1)</f>
        <v>0.212245614035088</v>
      </c>
      <c r="F114" s="219" t="n">
        <f aca="false">IF(Calculator!$E$16="YES",IF(A114&lt;Calculator!$G$16,0,MIN(MIN(MOD(A114/Calculator!$F$16,1),1-MOD(A114/Calculator!$F$16,1)),ABS(MOD(A114/Calculator!$F$16,1)-0.5))),1)</f>
        <v>1</v>
      </c>
      <c r="G114" s="219" t="n">
        <f aca="false">IF(Calculator!$E$17="YES",IF(A114&lt;Calculator!$G$17,0,MIN(MIN(MOD(A114/Calculator!$F$17,1),1-MOD(A114/Calculator!$F$17,1)),ABS(MOD(A114/Calculator!$F$17,1)-0.5))),1)</f>
        <v>0.0617368421052633</v>
      </c>
      <c r="H114" s="219" t="n">
        <f aca="false">IF(Calculator!$E$18="YES",IF(A114&lt;Calculator!$G$18,0,MIN(MIN(MOD(A114/Calculator!$F$18,1),1-MOD(A114/Calculator!$F$18,1)),ABS(MOD(A114/Calculator!$F$18,1)-0.5))),1)</f>
        <v>1</v>
      </c>
      <c r="I114" s="219" t="n">
        <f aca="false">IF(Calculator!$E$19="YES",IF(A114&lt;Calculator!$G$19,0,MIN(MIN(MOD(A114/Calculator!$F$19,1),1-MOD(A114/Calculator!$F$19,1)),ABS(MOD(A114/Calculator!$F$19,1)-0.5))),1)</f>
        <v>1</v>
      </c>
      <c r="J114" s="219" t="n">
        <f aca="false">IF(Calculator!$E$20="YES",IF(A114&lt;Calculator!$G$20,0,MIN(MIN(MOD(A114/Calculator!$F$20,1),1-MOD(A114/Calculator!$F$20,1)),ABS(MOD(A114/Calculator!$F$20,1)-0.5))),1)</f>
        <v>1</v>
      </c>
      <c r="K114" s="219" t="n">
        <f aca="false">IF(Calculator!$E$21="YES",IF(A114&lt;Calculator!$G$21,0,MIN(MIN(MOD(A114/Calculator!$F$21,1),1-MOD(A114/Calculator!$F$21,1)),ABS(MOD(A114/Calculator!$F$21,1)-0.5))),1)</f>
        <v>0.178561403508772</v>
      </c>
      <c r="L114" s="219" t="n">
        <f aca="false">IF(Calculator!$E$22="YES",IF(A114&lt;Calculator!$G$22,0,MIN(MIN(MOD(A114/Calculator!$F$22,1),1-MOD(A114/Calculator!$F$22,1)),ABS(MOD(A114/Calculator!$F$22,1)-0.5))),1)</f>
        <v>1</v>
      </c>
      <c r="M114" s="219" t="n">
        <f aca="false">MIN(B114:L114)</f>
        <v>0.0617368421052633</v>
      </c>
      <c r="N114" s="219" t="n">
        <f aca="false">SUMPRODUCT(($M$7:$M$557&gt;M114)*1)+SUMPRODUCT(($M$7:$M$557=M114)*(ROW($M$7:$M$557)&lt;ROW(M114)))+1</f>
        <v>236</v>
      </c>
      <c r="O114" s="219" t="str">
        <f aca="false">IF(M114&gt;=0.2,"★★★ EXCELLENT",IF(M114&gt;=0.12,"★★  GOOD",IF(M114&gt;=0.07,"★  FAIR",IF(M114&gt;=0.025,"⚠  MARGINAL","✗  AVOID"))))</f>
        <v>⚠  MARGINAL</v>
      </c>
    </row>
    <row r="115" customFormat="false" ht="15" hidden="false" customHeight="true" outlineLevel="0" collapsed="false">
      <c r="A115" s="216" t="n">
        <v>15.8</v>
      </c>
      <c r="B115" s="217" t="n">
        <f aca="false">IF(Calculator!$E$12="YES",IF(A115&lt;Calculator!$G$12,0,MIN(MIN(MOD(A115/Calculator!$F$12,1),1-MOD(A115/Calculator!$F$12,1)),ABS(MOD(A115/Calculator!$F$12,1)-0.5))),1)</f>
        <v>1</v>
      </c>
      <c r="C115" s="217" t="n">
        <f aca="false">IF(Calculator!$E$13="YES",IF(A115&lt;Calculator!$G$13,0,MIN(MIN(MOD(A115/Calculator!$F$13,1),1-MOD(A115/Calculator!$F$13,1)),ABS(MOD(A115/Calculator!$F$13,1)-0.5))),1)</f>
        <v>1</v>
      </c>
      <c r="D115" s="217" t="n">
        <f aca="false">IF(Calculator!$E$14="YES",IF(A115&lt;Calculator!$G$14,0,MIN(MIN(MOD(A115/Calculator!$F$14,1),1-MOD(A115/Calculator!$F$14,1)),ABS(MOD(A115/Calculator!$F$14,1)-0.5))),1)</f>
        <v>1</v>
      </c>
      <c r="E115" s="217" t="n">
        <f aca="false">IF(Calculator!$E$15="YES",IF(A115&lt;Calculator!$G$15,0,MIN(MIN(MOD(A115/Calculator!$F$15,1),1-MOD(A115/Calculator!$F$15,1)),ABS(MOD(A115/Calculator!$F$15,1)-0.5))),1)</f>
        <v>0.207228070175439</v>
      </c>
      <c r="F115" s="217" t="n">
        <f aca="false">IF(Calculator!$E$16="YES",IF(A115&lt;Calculator!$G$16,0,MIN(MIN(MOD(A115/Calculator!$F$16,1),1-MOD(A115/Calculator!$F$16,1)),ABS(MOD(A115/Calculator!$F$16,1)-0.5))),1)</f>
        <v>1</v>
      </c>
      <c r="G115" s="217" t="n">
        <f aca="false">IF(Calculator!$E$17="YES",IF(A115&lt;Calculator!$G$17,0,MIN(MIN(MOD(A115/Calculator!$F$17,1),1-MOD(A115/Calculator!$F$17,1)),ABS(MOD(A115/Calculator!$F$17,1)-0.5))),1)</f>
        <v>0.071684210526316</v>
      </c>
      <c r="H115" s="217" t="n">
        <f aca="false">IF(Calculator!$E$18="YES",IF(A115&lt;Calculator!$G$18,0,MIN(MIN(MOD(A115/Calculator!$F$18,1),1-MOD(A115/Calculator!$F$18,1)),ABS(MOD(A115/Calculator!$F$18,1)-0.5))),1)</f>
        <v>1</v>
      </c>
      <c r="I115" s="217" t="n">
        <f aca="false">IF(Calculator!$E$19="YES",IF(A115&lt;Calculator!$G$19,0,MIN(MIN(MOD(A115/Calculator!$F$19,1),1-MOD(A115/Calculator!$F$19,1)),ABS(MOD(A115/Calculator!$F$19,1)-0.5))),1)</f>
        <v>1</v>
      </c>
      <c r="J115" s="217" t="n">
        <f aca="false">IF(Calculator!$E$20="YES",IF(A115&lt;Calculator!$G$20,0,MIN(MIN(MOD(A115/Calculator!$F$20,1),1-MOD(A115/Calculator!$F$20,1)),ABS(MOD(A115/Calculator!$F$20,1)-0.5))),1)</f>
        <v>1</v>
      </c>
      <c r="K115" s="217" t="n">
        <f aca="false">IF(Calculator!$E$21="YES",IF(A115&lt;Calculator!$G$21,0,MIN(MIN(MOD(A115/Calculator!$F$21,1),1-MOD(A115/Calculator!$F$21,1)),ABS(MOD(A115/Calculator!$F$21,1)-0.5))),1)</f>
        <v>0.19880701754386</v>
      </c>
      <c r="L115" s="217" t="n">
        <f aca="false">IF(Calculator!$E$22="YES",IF(A115&lt;Calculator!$G$22,0,MIN(MIN(MOD(A115/Calculator!$F$22,1),1-MOD(A115/Calculator!$F$22,1)),ABS(MOD(A115/Calculator!$F$22,1)-0.5))),1)</f>
        <v>1</v>
      </c>
      <c r="M115" s="217" t="n">
        <f aca="false">MIN(B115:L115)</f>
        <v>0.071684210526316</v>
      </c>
      <c r="N115" s="217" t="n">
        <f aca="false">SUMPRODUCT(($M$7:$M$557&gt;M115)*1)+SUMPRODUCT(($M$7:$M$557=M115)*(ROW($M$7:$M$557)&lt;ROW(M115)))+1</f>
        <v>199</v>
      </c>
      <c r="O115" s="217" t="str">
        <f aca="false">IF(M115&gt;=0.2,"★★★ EXCELLENT",IF(M115&gt;=0.12,"★★  GOOD",IF(M115&gt;=0.07,"★  FAIR",IF(M115&gt;=0.025,"⚠  MARGINAL","✗  AVOID"))))</f>
        <v>★  FAIR</v>
      </c>
    </row>
    <row r="116" customFormat="false" ht="15" hidden="false" customHeight="true" outlineLevel="0" collapsed="false">
      <c r="A116" s="218" t="n">
        <v>15.9</v>
      </c>
      <c r="B116" s="219" t="n">
        <f aca="false">IF(Calculator!$E$12="YES",IF(A116&lt;Calculator!$G$12,0,MIN(MIN(MOD(A116/Calculator!$F$12,1),1-MOD(A116/Calculator!$F$12,1)),ABS(MOD(A116/Calculator!$F$12,1)-0.5))),1)</f>
        <v>1</v>
      </c>
      <c r="C116" s="219" t="n">
        <f aca="false">IF(Calculator!$E$13="YES",IF(A116&lt;Calculator!$G$13,0,MIN(MIN(MOD(A116/Calculator!$F$13,1),1-MOD(A116/Calculator!$F$13,1)),ABS(MOD(A116/Calculator!$F$13,1)-0.5))),1)</f>
        <v>1</v>
      </c>
      <c r="D116" s="219" t="n">
        <f aca="false">IF(Calculator!$E$14="YES",IF(A116&lt;Calculator!$G$14,0,MIN(MIN(MOD(A116/Calculator!$F$14,1),1-MOD(A116/Calculator!$F$14,1)),ABS(MOD(A116/Calculator!$F$14,1)-0.5))),1)</f>
        <v>1</v>
      </c>
      <c r="E116" s="219" t="n">
        <f aca="false">IF(Calculator!$E$15="YES",IF(A116&lt;Calculator!$G$15,0,MIN(MIN(MOD(A116/Calculator!$F$15,1),1-MOD(A116/Calculator!$F$15,1)),ABS(MOD(A116/Calculator!$F$15,1)-0.5))),1)</f>
        <v>0.20221052631579</v>
      </c>
      <c r="F116" s="219" t="n">
        <f aca="false">IF(Calculator!$E$16="YES",IF(A116&lt;Calculator!$G$16,0,MIN(MIN(MOD(A116/Calculator!$F$16,1),1-MOD(A116/Calculator!$F$16,1)),ABS(MOD(A116/Calculator!$F$16,1)-0.5))),1)</f>
        <v>1</v>
      </c>
      <c r="G116" s="219" t="n">
        <f aca="false">IF(Calculator!$E$17="YES",IF(A116&lt;Calculator!$G$17,0,MIN(MIN(MOD(A116/Calculator!$F$17,1),1-MOD(A116/Calculator!$F$17,1)),ABS(MOD(A116/Calculator!$F$17,1)-0.5))),1)</f>
        <v>0.0816315789473685</v>
      </c>
      <c r="H116" s="219" t="n">
        <f aca="false">IF(Calculator!$E$18="YES",IF(A116&lt;Calculator!$G$18,0,MIN(MIN(MOD(A116/Calculator!$F$18,1),1-MOD(A116/Calculator!$F$18,1)),ABS(MOD(A116/Calculator!$F$18,1)-0.5))),1)</f>
        <v>1</v>
      </c>
      <c r="I116" s="219" t="n">
        <f aca="false">IF(Calculator!$E$19="YES",IF(A116&lt;Calculator!$G$19,0,MIN(MIN(MOD(A116/Calculator!$F$19,1),1-MOD(A116/Calculator!$F$19,1)),ABS(MOD(A116/Calculator!$F$19,1)-0.5))),1)</f>
        <v>1</v>
      </c>
      <c r="J116" s="219" t="n">
        <f aca="false">IF(Calculator!$E$20="YES",IF(A116&lt;Calculator!$G$20,0,MIN(MIN(MOD(A116/Calculator!$F$20,1),1-MOD(A116/Calculator!$F$20,1)),ABS(MOD(A116/Calculator!$F$20,1)-0.5))),1)</f>
        <v>1</v>
      </c>
      <c r="K116" s="219" t="n">
        <f aca="false">IF(Calculator!$E$21="YES",IF(A116&lt;Calculator!$G$21,0,MIN(MIN(MOD(A116/Calculator!$F$21,1),1-MOD(A116/Calculator!$F$21,1)),ABS(MOD(A116/Calculator!$F$21,1)-0.5))),1)</f>
        <v>0.219052631578947</v>
      </c>
      <c r="L116" s="219" t="n">
        <f aca="false">IF(Calculator!$E$22="YES",IF(A116&lt;Calculator!$G$22,0,MIN(MIN(MOD(A116/Calculator!$F$22,1),1-MOD(A116/Calculator!$F$22,1)),ABS(MOD(A116/Calculator!$F$22,1)-0.5))),1)</f>
        <v>1</v>
      </c>
      <c r="M116" s="219" t="n">
        <f aca="false">MIN(B116:L116)</f>
        <v>0.0816315789473685</v>
      </c>
      <c r="N116" s="219" t="n">
        <f aca="false">SUMPRODUCT(($M$7:$M$557&gt;M116)*1)+SUMPRODUCT(($M$7:$M$557=M116)*(ROW($M$7:$M$557)&lt;ROW(M116)))+1</f>
        <v>161</v>
      </c>
      <c r="O116" s="219" t="str">
        <f aca="false">IF(M116&gt;=0.2,"★★★ EXCELLENT",IF(M116&gt;=0.12,"★★  GOOD",IF(M116&gt;=0.07,"★  FAIR",IF(M116&gt;=0.025,"⚠  MARGINAL","✗  AVOID"))))</f>
        <v>★  FAIR</v>
      </c>
    </row>
    <row r="117" customFormat="false" ht="15" hidden="false" customHeight="true" outlineLevel="0" collapsed="false">
      <c r="A117" s="216" t="n">
        <v>16</v>
      </c>
      <c r="B117" s="217" t="n">
        <f aca="false">IF(Calculator!$E$12="YES",IF(A117&lt;Calculator!$G$12,0,MIN(MIN(MOD(A117/Calculator!$F$12,1),1-MOD(A117/Calculator!$F$12,1)),ABS(MOD(A117/Calculator!$F$12,1)-0.5))),1)</f>
        <v>1</v>
      </c>
      <c r="C117" s="217" t="n">
        <f aca="false">IF(Calculator!$E$13="YES",IF(A117&lt;Calculator!$G$13,0,MIN(MIN(MOD(A117/Calculator!$F$13,1),1-MOD(A117/Calculator!$F$13,1)),ABS(MOD(A117/Calculator!$F$13,1)-0.5))),1)</f>
        <v>1</v>
      </c>
      <c r="D117" s="217" t="n">
        <f aca="false">IF(Calculator!$E$14="YES",IF(A117&lt;Calculator!$G$14,0,MIN(MIN(MOD(A117/Calculator!$F$14,1),1-MOD(A117/Calculator!$F$14,1)),ABS(MOD(A117/Calculator!$F$14,1)-0.5))),1)</f>
        <v>1</v>
      </c>
      <c r="E117" s="217" t="n">
        <f aca="false">IF(Calculator!$E$15="YES",IF(A117&lt;Calculator!$G$15,0,MIN(MIN(MOD(A117/Calculator!$F$15,1),1-MOD(A117/Calculator!$F$15,1)),ABS(MOD(A117/Calculator!$F$15,1)-0.5))),1)</f>
        <v>0.19719298245614</v>
      </c>
      <c r="F117" s="217" t="n">
        <f aca="false">IF(Calculator!$E$16="YES",IF(A117&lt;Calculator!$G$16,0,MIN(MIN(MOD(A117/Calculator!$F$16,1),1-MOD(A117/Calculator!$F$16,1)),ABS(MOD(A117/Calculator!$F$16,1)-0.5))),1)</f>
        <v>1</v>
      </c>
      <c r="G117" s="217" t="n">
        <f aca="false">IF(Calculator!$E$17="YES",IF(A117&lt;Calculator!$G$17,0,MIN(MIN(MOD(A117/Calculator!$F$17,1),1-MOD(A117/Calculator!$F$17,1)),ABS(MOD(A117/Calculator!$F$17,1)-0.5))),1)</f>
        <v>0.0915789473684212</v>
      </c>
      <c r="H117" s="217" t="n">
        <f aca="false">IF(Calculator!$E$18="YES",IF(A117&lt;Calculator!$G$18,0,MIN(MIN(MOD(A117/Calculator!$F$18,1),1-MOD(A117/Calculator!$F$18,1)),ABS(MOD(A117/Calculator!$F$18,1)-0.5))),1)</f>
        <v>1</v>
      </c>
      <c r="I117" s="217" t="n">
        <f aca="false">IF(Calculator!$E$19="YES",IF(A117&lt;Calculator!$G$19,0,MIN(MIN(MOD(A117/Calculator!$F$19,1),1-MOD(A117/Calculator!$F$19,1)),ABS(MOD(A117/Calculator!$F$19,1)-0.5))),1)</f>
        <v>1</v>
      </c>
      <c r="J117" s="217" t="n">
        <f aca="false">IF(Calculator!$E$20="YES",IF(A117&lt;Calculator!$G$20,0,MIN(MIN(MOD(A117/Calculator!$F$20,1),1-MOD(A117/Calculator!$F$20,1)),ABS(MOD(A117/Calculator!$F$20,1)-0.5))),1)</f>
        <v>1</v>
      </c>
      <c r="K117" s="217" t="n">
        <f aca="false">IF(Calculator!$E$21="YES",IF(A117&lt;Calculator!$G$21,0,MIN(MIN(MOD(A117/Calculator!$F$21,1),1-MOD(A117/Calculator!$F$21,1)),ABS(MOD(A117/Calculator!$F$21,1)-0.5))),1)</f>
        <v>0.239298245614035</v>
      </c>
      <c r="L117" s="217" t="n">
        <f aca="false">IF(Calculator!$E$22="YES",IF(A117&lt;Calculator!$G$22,0,MIN(MIN(MOD(A117/Calculator!$F$22,1),1-MOD(A117/Calculator!$F$22,1)),ABS(MOD(A117/Calculator!$F$22,1)-0.5))),1)</f>
        <v>1</v>
      </c>
      <c r="M117" s="217" t="n">
        <f aca="false">MIN(B117:L117)</f>
        <v>0.0915789473684212</v>
      </c>
      <c r="N117" s="217" t="n">
        <f aca="false">SUMPRODUCT(($M$7:$M$557&gt;M117)*1)+SUMPRODUCT(($M$7:$M$557=M117)*(ROW($M$7:$M$557)&lt;ROW(M117)))+1</f>
        <v>128</v>
      </c>
      <c r="O117" s="217" t="str">
        <f aca="false">IF(M117&gt;=0.2,"★★★ EXCELLENT",IF(M117&gt;=0.12,"★★  GOOD",IF(M117&gt;=0.07,"★  FAIR",IF(M117&gt;=0.025,"⚠  MARGINAL","✗  AVOID"))))</f>
        <v>★  FAIR</v>
      </c>
    </row>
    <row r="118" customFormat="false" ht="15" hidden="false" customHeight="true" outlineLevel="0" collapsed="false">
      <c r="A118" s="218" t="n">
        <v>16.1</v>
      </c>
      <c r="B118" s="219" t="n">
        <f aca="false">IF(Calculator!$E$12="YES",IF(A118&lt;Calculator!$G$12,0,MIN(MIN(MOD(A118/Calculator!$F$12,1),1-MOD(A118/Calculator!$F$12,1)),ABS(MOD(A118/Calculator!$F$12,1)-0.5))),1)</f>
        <v>1</v>
      </c>
      <c r="C118" s="219" t="n">
        <f aca="false">IF(Calculator!$E$13="YES",IF(A118&lt;Calculator!$G$13,0,MIN(MIN(MOD(A118/Calculator!$F$13,1),1-MOD(A118/Calculator!$F$13,1)),ABS(MOD(A118/Calculator!$F$13,1)-0.5))),1)</f>
        <v>1</v>
      </c>
      <c r="D118" s="219" t="n">
        <f aca="false">IF(Calculator!$E$14="YES",IF(A118&lt;Calculator!$G$14,0,MIN(MIN(MOD(A118/Calculator!$F$14,1),1-MOD(A118/Calculator!$F$14,1)),ABS(MOD(A118/Calculator!$F$14,1)-0.5))),1)</f>
        <v>1</v>
      </c>
      <c r="E118" s="219" t="n">
        <f aca="false">IF(Calculator!$E$15="YES",IF(A118&lt;Calculator!$G$15,0,MIN(MIN(MOD(A118/Calculator!$F$15,1),1-MOD(A118/Calculator!$F$15,1)),ABS(MOD(A118/Calculator!$F$15,1)-0.5))),1)</f>
        <v>0.192175438596491</v>
      </c>
      <c r="F118" s="219" t="n">
        <f aca="false">IF(Calculator!$E$16="YES",IF(A118&lt;Calculator!$G$16,0,MIN(MIN(MOD(A118/Calculator!$F$16,1),1-MOD(A118/Calculator!$F$16,1)),ABS(MOD(A118/Calculator!$F$16,1)-0.5))),1)</f>
        <v>1</v>
      </c>
      <c r="G118" s="219" t="n">
        <f aca="false">IF(Calculator!$E$17="YES",IF(A118&lt;Calculator!$G$17,0,MIN(MIN(MOD(A118/Calculator!$F$17,1),1-MOD(A118/Calculator!$F$17,1)),ABS(MOD(A118/Calculator!$F$17,1)-0.5))),1)</f>
        <v>0.101526315789474</v>
      </c>
      <c r="H118" s="219" t="n">
        <f aca="false">IF(Calculator!$E$18="YES",IF(A118&lt;Calculator!$G$18,0,MIN(MIN(MOD(A118/Calculator!$F$18,1),1-MOD(A118/Calculator!$F$18,1)),ABS(MOD(A118/Calculator!$F$18,1)-0.5))),1)</f>
        <v>1</v>
      </c>
      <c r="I118" s="219" t="n">
        <f aca="false">IF(Calculator!$E$19="YES",IF(A118&lt;Calculator!$G$19,0,MIN(MIN(MOD(A118/Calculator!$F$19,1),1-MOD(A118/Calculator!$F$19,1)),ABS(MOD(A118/Calculator!$F$19,1)-0.5))),1)</f>
        <v>1</v>
      </c>
      <c r="J118" s="219" t="n">
        <f aca="false">IF(Calculator!$E$20="YES",IF(A118&lt;Calculator!$G$20,0,MIN(MIN(MOD(A118/Calculator!$F$20,1),1-MOD(A118/Calculator!$F$20,1)),ABS(MOD(A118/Calculator!$F$20,1)-0.5))),1)</f>
        <v>1</v>
      </c>
      <c r="K118" s="219" t="n">
        <f aca="false">IF(Calculator!$E$21="YES",IF(A118&lt;Calculator!$G$21,0,MIN(MIN(MOD(A118/Calculator!$F$21,1),1-MOD(A118/Calculator!$F$21,1)),ABS(MOD(A118/Calculator!$F$21,1)-0.5))),1)</f>
        <v>0.240456140350877</v>
      </c>
      <c r="L118" s="219" t="n">
        <f aca="false">IF(Calculator!$E$22="YES",IF(A118&lt;Calculator!$G$22,0,MIN(MIN(MOD(A118/Calculator!$F$22,1),1-MOD(A118/Calculator!$F$22,1)),ABS(MOD(A118/Calculator!$F$22,1)-0.5))),1)</f>
        <v>1</v>
      </c>
      <c r="M118" s="219" t="n">
        <f aca="false">MIN(B118:L118)</f>
        <v>0.101526315789474</v>
      </c>
      <c r="N118" s="219" t="n">
        <f aca="false">SUMPRODUCT(($M$7:$M$557&gt;M118)*1)+SUMPRODUCT(($M$7:$M$557=M118)*(ROW($M$7:$M$557)&lt;ROW(M118)))+1</f>
        <v>102</v>
      </c>
      <c r="O118" s="219" t="str">
        <f aca="false">IF(M118&gt;=0.2,"★★★ EXCELLENT",IF(M118&gt;=0.12,"★★  GOOD",IF(M118&gt;=0.07,"★  FAIR",IF(M118&gt;=0.025,"⚠  MARGINAL","✗  AVOID"))))</f>
        <v>★  FAIR</v>
      </c>
    </row>
    <row r="119" customFormat="false" ht="15" hidden="false" customHeight="true" outlineLevel="0" collapsed="false">
      <c r="A119" s="216" t="n">
        <v>16.2</v>
      </c>
      <c r="B119" s="217" t="n">
        <f aca="false">IF(Calculator!$E$12="YES",IF(A119&lt;Calculator!$G$12,0,MIN(MIN(MOD(A119/Calculator!$F$12,1),1-MOD(A119/Calculator!$F$12,1)),ABS(MOD(A119/Calculator!$F$12,1)-0.5))),1)</f>
        <v>1</v>
      </c>
      <c r="C119" s="217" t="n">
        <f aca="false">IF(Calculator!$E$13="YES",IF(A119&lt;Calculator!$G$13,0,MIN(MIN(MOD(A119/Calculator!$F$13,1),1-MOD(A119/Calculator!$F$13,1)),ABS(MOD(A119/Calculator!$F$13,1)-0.5))),1)</f>
        <v>1</v>
      </c>
      <c r="D119" s="217" t="n">
        <f aca="false">IF(Calculator!$E$14="YES",IF(A119&lt;Calculator!$G$14,0,MIN(MIN(MOD(A119/Calculator!$F$14,1),1-MOD(A119/Calculator!$F$14,1)),ABS(MOD(A119/Calculator!$F$14,1)-0.5))),1)</f>
        <v>1</v>
      </c>
      <c r="E119" s="217" t="n">
        <f aca="false">IF(Calculator!$E$15="YES",IF(A119&lt;Calculator!$G$15,0,MIN(MIN(MOD(A119/Calculator!$F$15,1),1-MOD(A119/Calculator!$F$15,1)),ABS(MOD(A119/Calculator!$F$15,1)-0.5))),1)</f>
        <v>0.187157894736842</v>
      </c>
      <c r="F119" s="217" t="n">
        <f aca="false">IF(Calculator!$E$16="YES",IF(A119&lt;Calculator!$G$16,0,MIN(MIN(MOD(A119/Calculator!$F$16,1),1-MOD(A119/Calculator!$F$16,1)),ABS(MOD(A119/Calculator!$F$16,1)-0.5))),1)</f>
        <v>1</v>
      </c>
      <c r="G119" s="217" t="n">
        <f aca="false">IF(Calculator!$E$17="YES",IF(A119&lt;Calculator!$G$17,0,MIN(MIN(MOD(A119/Calculator!$F$17,1),1-MOD(A119/Calculator!$F$17,1)),ABS(MOD(A119/Calculator!$F$17,1)-0.5))),1)</f>
        <v>0.111473684210526</v>
      </c>
      <c r="H119" s="217" t="n">
        <f aca="false">IF(Calculator!$E$18="YES",IF(A119&lt;Calculator!$G$18,0,MIN(MIN(MOD(A119/Calculator!$F$18,1),1-MOD(A119/Calculator!$F$18,1)),ABS(MOD(A119/Calculator!$F$18,1)-0.5))),1)</f>
        <v>1</v>
      </c>
      <c r="I119" s="217" t="n">
        <f aca="false">IF(Calculator!$E$19="YES",IF(A119&lt;Calculator!$G$19,0,MIN(MIN(MOD(A119/Calculator!$F$19,1),1-MOD(A119/Calculator!$F$19,1)),ABS(MOD(A119/Calculator!$F$19,1)-0.5))),1)</f>
        <v>1</v>
      </c>
      <c r="J119" s="217" t="n">
        <f aca="false">IF(Calculator!$E$20="YES",IF(A119&lt;Calculator!$G$20,0,MIN(MIN(MOD(A119/Calculator!$F$20,1),1-MOD(A119/Calculator!$F$20,1)),ABS(MOD(A119/Calculator!$F$20,1)-0.5))),1)</f>
        <v>1</v>
      </c>
      <c r="K119" s="217" t="n">
        <f aca="false">IF(Calculator!$E$21="YES",IF(A119&lt;Calculator!$G$21,0,MIN(MIN(MOD(A119/Calculator!$F$21,1),1-MOD(A119/Calculator!$F$21,1)),ABS(MOD(A119/Calculator!$F$21,1)-0.5))),1)</f>
        <v>0.22021052631579</v>
      </c>
      <c r="L119" s="217" t="n">
        <f aca="false">IF(Calculator!$E$22="YES",IF(A119&lt;Calculator!$G$22,0,MIN(MIN(MOD(A119/Calculator!$F$22,1),1-MOD(A119/Calculator!$F$22,1)),ABS(MOD(A119/Calculator!$F$22,1)-0.5))),1)</f>
        <v>1</v>
      </c>
      <c r="M119" s="217" t="n">
        <f aca="false">MIN(B119:L119)</f>
        <v>0.111473684210526</v>
      </c>
      <c r="N119" s="217" t="n">
        <f aca="false">SUMPRODUCT(($M$7:$M$557&gt;M119)*1)+SUMPRODUCT(($M$7:$M$557=M119)*(ROW($M$7:$M$557)&lt;ROW(M119)))+1</f>
        <v>81</v>
      </c>
      <c r="O119" s="217" t="str">
        <f aca="false">IF(M119&gt;=0.2,"★★★ EXCELLENT",IF(M119&gt;=0.12,"★★  GOOD",IF(M119&gt;=0.07,"★  FAIR",IF(M119&gt;=0.025,"⚠  MARGINAL","✗  AVOID"))))</f>
        <v>★  FAIR</v>
      </c>
    </row>
    <row r="120" customFormat="false" ht="15" hidden="false" customHeight="true" outlineLevel="0" collapsed="false">
      <c r="A120" s="218" t="n">
        <v>16.3</v>
      </c>
      <c r="B120" s="219" t="n">
        <f aca="false">IF(Calculator!$E$12="YES",IF(A120&lt;Calculator!$G$12,0,MIN(MIN(MOD(A120/Calculator!$F$12,1),1-MOD(A120/Calculator!$F$12,1)),ABS(MOD(A120/Calculator!$F$12,1)-0.5))),1)</f>
        <v>1</v>
      </c>
      <c r="C120" s="219" t="n">
        <f aca="false">IF(Calculator!$E$13="YES",IF(A120&lt;Calculator!$G$13,0,MIN(MIN(MOD(A120/Calculator!$F$13,1),1-MOD(A120/Calculator!$F$13,1)),ABS(MOD(A120/Calculator!$F$13,1)-0.5))),1)</f>
        <v>1</v>
      </c>
      <c r="D120" s="219" t="n">
        <f aca="false">IF(Calculator!$E$14="YES",IF(A120&lt;Calculator!$G$14,0,MIN(MIN(MOD(A120/Calculator!$F$14,1),1-MOD(A120/Calculator!$F$14,1)),ABS(MOD(A120/Calculator!$F$14,1)-0.5))),1)</f>
        <v>1</v>
      </c>
      <c r="E120" s="219" t="n">
        <f aca="false">IF(Calculator!$E$15="YES",IF(A120&lt;Calculator!$G$15,0,MIN(MIN(MOD(A120/Calculator!$F$15,1),1-MOD(A120/Calculator!$F$15,1)),ABS(MOD(A120/Calculator!$F$15,1)-0.5))),1)</f>
        <v>0.182140350877193</v>
      </c>
      <c r="F120" s="219" t="n">
        <f aca="false">IF(Calculator!$E$16="YES",IF(A120&lt;Calculator!$G$16,0,MIN(MIN(MOD(A120/Calculator!$F$16,1),1-MOD(A120/Calculator!$F$16,1)),ABS(MOD(A120/Calculator!$F$16,1)-0.5))),1)</f>
        <v>1</v>
      </c>
      <c r="G120" s="219" t="n">
        <f aca="false">IF(Calculator!$E$17="YES",IF(A120&lt;Calculator!$G$17,0,MIN(MIN(MOD(A120/Calculator!$F$17,1),1-MOD(A120/Calculator!$F$17,1)),ABS(MOD(A120/Calculator!$F$17,1)-0.5))),1)</f>
        <v>0.121421052631579</v>
      </c>
      <c r="H120" s="219" t="n">
        <f aca="false">IF(Calculator!$E$18="YES",IF(A120&lt;Calculator!$G$18,0,MIN(MIN(MOD(A120/Calculator!$F$18,1),1-MOD(A120/Calculator!$F$18,1)),ABS(MOD(A120/Calculator!$F$18,1)-0.5))),1)</f>
        <v>1</v>
      </c>
      <c r="I120" s="219" t="n">
        <f aca="false">IF(Calculator!$E$19="YES",IF(A120&lt;Calculator!$G$19,0,MIN(MIN(MOD(A120/Calculator!$F$19,1),1-MOD(A120/Calculator!$F$19,1)),ABS(MOD(A120/Calculator!$F$19,1)-0.5))),1)</f>
        <v>1</v>
      </c>
      <c r="J120" s="219" t="n">
        <f aca="false">IF(Calculator!$E$20="YES",IF(A120&lt;Calculator!$G$20,0,MIN(MIN(MOD(A120/Calculator!$F$20,1),1-MOD(A120/Calculator!$F$20,1)),ABS(MOD(A120/Calculator!$F$20,1)-0.5))),1)</f>
        <v>1</v>
      </c>
      <c r="K120" s="219" t="n">
        <f aca="false">IF(Calculator!$E$21="YES",IF(A120&lt;Calculator!$G$21,0,MIN(MIN(MOD(A120/Calculator!$F$21,1),1-MOD(A120/Calculator!$F$21,1)),ABS(MOD(A120/Calculator!$F$21,1)-0.5))),1)</f>
        <v>0.199964912280702</v>
      </c>
      <c r="L120" s="219" t="n">
        <f aca="false">IF(Calculator!$E$22="YES",IF(A120&lt;Calculator!$G$22,0,MIN(MIN(MOD(A120/Calculator!$F$22,1),1-MOD(A120/Calculator!$F$22,1)),ABS(MOD(A120/Calculator!$F$22,1)-0.5))),1)</f>
        <v>1</v>
      </c>
      <c r="M120" s="219" t="n">
        <f aca="false">MIN(B120:L120)</f>
        <v>0.121421052631579</v>
      </c>
      <c r="N120" s="219" t="n">
        <f aca="false">SUMPRODUCT(($M$7:$M$557&gt;M120)*1)+SUMPRODUCT(($M$7:$M$557=M120)*(ROW($M$7:$M$557)&lt;ROW(M120)))+1</f>
        <v>64</v>
      </c>
      <c r="O120" s="219" t="str">
        <f aca="false">IF(M120&gt;=0.2,"★★★ EXCELLENT",IF(M120&gt;=0.12,"★★  GOOD",IF(M120&gt;=0.07,"★  FAIR",IF(M120&gt;=0.025,"⚠  MARGINAL","✗  AVOID"))))</f>
        <v>★★  GOOD</v>
      </c>
    </row>
    <row r="121" customFormat="false" ht="15" hidden="false" customHeight="true" outlineLevel="0" collapsed="false">
      <c r="A121" s="216" t="n">
        <v>16.4</v>
      </c>
      <c r="B121" s="217" t="n">
        <f aca="false">IF(Calculator!$E$12="YES",IF(A121&lt;Calculator!$G$12,0,MIN(MIN(MOD(A121/Calculator!$F$12,1),1-MOD(A121/Calculator!$F$12,1)),ABS(MOD(A121/Calculator!$F$12,1)-0.5))),1)</f>
        <v>1</v>
      </c>
      <c r="C121" s="217" t="n">
        <f aca="false">IF(Calculator!$E$13="YES",IF(A121&lt;Calculator!$G$13,0,MIN(MIN(MOD(A121/Calculator!$F$13,1),1-MOD(A121/Calculator!$F$13,1)),ABS(MOD(A121/Calculator!$F$13,1)-0.5))),1)</f>
        <v>1</v>
      </c>
      <c r="D121" s="217" t="n">
        <f aca="false">IF(Calculator!$E$14="YES",IF(A121&lt;Calculator!$G$14,0,MIN(MIN(MOD(A121/Calculator!$F$14,1),1-MOD(A121/Calculator!$F$14,1)),ABS(MOD(A121/Calculator!$F$14,1)-0.5))),1)</f>
        <v>1</v>
      </c>
      <c r="E121" s="217" t="n">
        <f aca="false">IF(Calculator!$E$15="YES",IF(A121&lt;Calculator!$G$15,0,MIN(MIN(MOD(A121/Calculator!$F$15,1),1-MOD(A121/Calculator!$F$15,1)),ABS(MOD(A121/Calculator!$F$15,1)-0.5))),1)</f>
        <v>0.177122807017544</v>
      </c>
      <c r="F121" s="217" t="n">
        <f aca="false">IF(Calculator!$E$16="YES",IF(A121&lt;Calculator!$G$16,0,MIN(MIN(MOD(A121/Calculator!$F$16,1),1-MOD(A121/Calculator!$F$16,1)),ABS(MOD(A121/Calculator!$F$16,1)-0.5))),1)</f>
        <v>1</v>
      </c>
      <c r="G121" s="217" t="n">
        <f aca="false">IF(Calculator!$E$17="YES",IF(A121&lt;Calculator!$G$17,0,MIN(MIN(MOD(A121/Calculator!$F$17,1),1-MOD(A121/Calculator!$F$17,1)),ABS(MOD(A121/Calculator!$F$17,1)-0.5))),1)</f>
        <v>0.131368421052632</v>
      </c>
      <c r="H121" s="217" t="n">
        <f aca="false">IF(Calculator!$E$18="YES",IF(A121&lt;Calculator!$G$18,0,MIN(MIN(MOD(A121/Calculator!$F$18,1),1-MOD(A121/Calculator!$F$18,1)),ABS(MOD(A121/Calculator!$F$18,1)-0.5))),1)</f>
        <v>1</v>
      </c>
      <c r="I121" s="217" t="n">
        <f aca="false">IF(Calculator!$E$19="YES",IF(A121&lt;Calculator!$G$19,0,MIN(MIN(MOD(A121/Calculator!$F$19,1),1-MOD(A121/Calculator!$F$19,1)),ABS(MOD(A121/Calculator!$F$19,1)-0.5))),1)</f>
        <v>1</v>
      </c>
      <c r="J121" s="217" t="n">
        <f aca="false">IF(Calculator!$E$20="YES",IF(A121&lt;Calculator!$G$20,0,MIN(MIN(MOD(A121/Calculator!$F$20,1),1-MOD(A121/Calculator!$F$20,1)),ABS(MOD(A121/Calculator!$F$20,1)-0.5))),1)</f>
        <v>1</v>
      </c>
      <c r="K121" s="217" t="n">
        <f aca="false">IF(Calculator!$E$21="YES",IF(A121&lt;Calculator!$G$21,0,MIN(MIN(MOD(A121/Calculator!$F$21,1),1-MOD(A121/Calculator!$F$21,1)),ABS(MOD(A121/Calculator!$F$21,1)-0.5))),1)</f>
        <v>0.179719298245614</v>
      </c>
      <c r="L121" s="217" t="n">
        <f aca="false">IF(Calculator!$E$22="YES",IF(A121&lt;Calculator!$G$22,0,MIN(MIN(MOD(A121/Calculator!$F$22,1),1-MOD(A121/Calculator!$F$22,1)),ABS(MOD(A121/Calculator!$F$22,1)-0.5))),1)</f>
        <v>1</v>
      </c>
      <c r="M121" s="217" t="n">
        <f aca="false">MIN(B121:L121)</f>
        <v>0.131368421052632</v>
      </c>
      <c r="N121" s="217" t="n">
        <f aca="false">SUMPRODUCT(($M$7:$M$557&gt;M121)*1)+SUMPRODUCT(($M$7:$M$557=M121)*(ROW($M$7:$M$557)&lt;ROW(M121)))+1</f>
        <v>56</v>
      </c>
      <c r="O121" s="217" t="str">
        <f aca="false">IF(M121&gt;=0.2,"★★★ EXCELLENT",IF(M121&gt;=0.12,"★★  GOOD",IF(M121&gt;=0.07,"★  FAIR",IF(M121&gt;=0.025,"⚠  MARGINAL","✗  AVOID"))))</f>
        <v>★★  GOOD</v>
      </c>
    </row>
    <row r="122" customFormat="false" ht="15" hidden="false" customHeight="true" outlineLevel="0" collapsed="false">
      <c r="A122" s="218" t="n">
        <v>16.5</v>
      </c>
      <c r="B122" s="219" t="n">
        <f aca="false">IF(Calculator!$E$12="YES",IF(A122&lt;Calculator!$G$12,0,MIN(MIN(MOD(A122/Calculator!$F$12,1),1-MOD(A122/Calculator!$F$12,1)),ABS(MOD(A122/Calculator!$F$12,1)-0.5))),1)</f>
        <v>1</v>
      </c>
      <c r="C122" s="219" t="n">
        <f aca="false">IF(Calculator!$E$13="YES",IF(A122&lt;Calculator!$G$13,0,MIN(MIN(MOD(A122/Calculator!$F$13,1),1-MOD(A122/Calculator!$F$13,1)),ABS(MOD(A122/Calculator!$F$13,1)-0.5))),1)</f>
        <v>1</v>
      </c>
      <c r="D122" s="219" t="n">
        <f aca="false">IF(Calculator!$E$14="YES",IF(A122&lt;Calculator!$G$14,0,MIN(MIN(MOD(A122/Calculator!$F$14,1),1-MOD(A122/Calculator!$F$14,1)),ABS(MOD(A122/Calculator!$F$14,1)-0.5))),1)</f>
        <v>1</v>
      </c>
      <c r="E122" s="219" t="n">
        <f aca="false">IF(Calculator!$E$15="YES",IF(A122&lt;Calculator!$G$15,0,MIN(MIN(MOD(A122/Calculator!$F$15,1),1-MOD(A122/Calculator!$F$15,1)),ABS(MOD(A122/Calculator!$F$15,1)-0.5))),1)</f>
        <v>0.172105263157895</v>
      </c>
      <c r="F122" s="219" t="n">
        <f aca="false">IF(Calculator!$E$16="YES",IF(A122&lt;Calculator!$G$16,0,MIN(MIN(MOD(A122/Calculator!$F$16,1),1-MOD(A122/Calculator!$F$16,1)),ABS(MOD(A122/Calculator!$F$16,1)-0.5))),1)</f>
        <v>1</v>
      </c>
      <c r="G122" s="219" t="n">
        <f aca="false">IF(Calculator!$E$17="YES",IF(A122&lt;Calculator!$G$17,0,MIN(MIN(MOD(A122/Calculator!$F$17,1),1-MOD(A122/Calculator!$F$17,1)),ABS(MOD(A122/Calculator!$F$17,1)-0.5))),1)</f>
        <v>0.141315789473684</v>
      </c>
      <c r="H122" s="219" t="n">
        <f aca="false">IF(Calculator!$E$18="YES",IF(A122&lt;Calculator!$G$18,0,MIN(MIN(MOD(A122/Calculator!$F$18,1),1-MOD(A122/Calculator!$F$18,1)),ABS(MOD(A122/Calculator!$F$18,1)-0.5))),1)</f>
        <v>1</v>
      </c>
      <c r="I122" s="219" t="n">
        <f aca="false">IF(Calculator!$E$19="YES",IF(A122&lt;Calculator!$G$19,0,MIN(MIN(MOD(A122/Calculator!$F$19,1),1-MOD(A122/Calculator!$F$19,1)),ABS(MOD(A122/Calculator!$F$19,1)-0.5))),1)</f>
        <v>1</v>
      </c>
      <c r="J122" s="219" t="n">
        <f aca="false">IF(Calculator!$E$20="YES",IF(A122&lt;Calculator!$G$20,0,MIN(MIN(MOD(A122/Calculator!$F$20,1),1-MOD(A122/Calculator!$F$20,1)),ABS(MOD(A122/Calculator!$F$20,1)-0.5))),1)</f>
        <v>1</v>
      </c>
      <c r="K122" s="219" t="n">
        <f aca="false">IF(Calculator!$E$21="YES",IF(A122&lt;Calculator!$G$21,0,MIN(MIN(MOD(A122/Calculator!$F$21,1),1-MOD(A122/Calculator!$F$21,1)),ABS(MOD(A122/Calculator!$F$21,1)-0.5))),1)</f>
        <v>0.159473684210526</v>
      </c>
      <c r="L122" s="219" t="n">
        <f aca="false">IF(Calculator!$E$22="YES",IF(A122&lt;Calculator!$G$22,0,MIN(MIN(MOD(A122/Calculator!$F$22,1),1-MOD(A122/Calculator!$F$22,1)),ABS(MOD(A122/Calculator!$F$22,1)-0.5))),1)</f>
        <v>1</v>
      </c>
      <c r="M122" s="219" t="n">
        <f aca="false">MIN(B122:L122)</f>
        <v>0.141315789473684</v>
      </c>
      <c r="N122" s="219" t="n">
        <f aca="false">SUMPRODUCT(($M$7:$M$557&gt;M122)*1)+SUMPRODUCT(($M$7:$M$557=M122)*(ROW($M$7:$M$557)&lt;ROW(M122)))+1</f>
        <v>45</v>
      </c>
      <c r="O122" s="219" t="str">
        <f aca="false">IF(M122&gt;=0.2,"★★★ EXCELLENT",IF(M122&gt;=0.12,"★★  GOOD",IF(M122&gt;=0.07,"★  FAIR",IF(M122&gt;=0.025,"⚠  MARGINAL","✗  AVOID"))))</f>
        <v>★★  GOOD</v>
      </c>
    </row>
    <row r="123" customFormat="false" ht="15" hidden="false" customHeight="true" outlineLevel="0" collapsed="false">
      <c r="A123" s="216" t="n">
        <v>16.6</v>
      </c>
      <c r="B123" s="217" t="n">
        <f aca="false">IF(Calculator!$E$12="YES",IF(A123&lt;Calculator!$G$12,0,MIN(MIN(MOD(A123/Calculator!$F$12,1),1-MOD(A123/Calculator!$F$12,1)),ABS(MOD(A123/Calculator!$F$12,1)-0.5))),1)</f>
        <v>1</v>
      </c>
      <c r="C123" s="217" t="n">
        <f aca="false">IF(Calculator!$E$13="YES",IF(A123&lt;Calculator!$G$13,0,MIN(MIN(MOD(A123/Calculator!$F$13,1),1-MOD(A123/Calculator!$F$13,1)),ABS(MOD(A123/Calculator!$F$13,1)-0.5))),1)</f>
        <v>1</v>
      </c>
      <c r="D123" s="217" t="n">
        <f aca="false">IF(Calculator!$E$14="YES",IF(A123&lt;Calculator!$G$14,0,MIN(MIN(MOD(A123/Calculator!$F$14,1),1-MOD(A123/Calculator!$F$14,1)),ABS(MOD(A123/Calculator!$F$14,1)-0.5))),1)</f>
        <v>1</v>
      </c>
      <c r="E123" s="217" t="n">
        <f aca="false">IF(Calculator!$E$15="YES",IF(A123&lt;Calculator!$G$15,0,MIN(MIN(MOD(A123/Calculator!$F$15,1),1-MOD(A123/Calculator!$F$15,1)),ABS(MOD(A123/Calculator!$F$15,1)-0.5))),1)</f>
        <v>0.167087719298246</v>
      </c>
      <c r="F123" s="217" t="n">
        <f aca="false">IF(Calculator!$E$16="YES",IF(A123&lt;Calculator!$G$16,0,MIN(MIN(MOD(A123/Calculator!$F$16,1),1-MOD(A123/Calculator!$F$16,1)),ABS(MOD(A123/Calculator!$F$16,1)-0.5))),1)</f>
        <v>1</v>
      </c>
      <c r="G123" s="217" t="n">
        <f aca="false">IF(Calculator!$E$17="YES",IF(A123&lt;Calculator!$G$17,0,MIN(MIN(MOD(A123/Calculator!$F$17,1),1-MOD(A123/Calculator!$F$17,1)),ABS(MOD(A123/Calculator!$F$17,1)-0.5))),1)</f>
        <v>0.151263157894737</v>
      </c>
      <c r="H123" s="217" t="n">
        <f aca="false">IF(Calculator!$E$18="YES",IF(A123&lt;Calculator!$G$18,0,MIN(MIN(MOD(A123/Calculator!$F$18,1),1-MOD(A123/Calculator!$F$18,1)),ABS(MOD(A123/Calculator!$F$18,1)-0.5))),1)</f>
        <v>1</v>
      </c>
      <c r="I123" s="217" t="n">
        <f aca="false">IF(Calculator!$E$19="YES",IF(A123&lt;Calculator!$G$19,0,MIN(MIN(MOD(A123/Calculator!$F$19,1),1-MOD(A123/Calculator!$F$19,1)),ABS(MOD(A123/Calculator!$F$19,1)-0.5))),1)</f>
        <v>1</v>
      </c>
      <c r="J123" s="217" t="n">
        <f aca="false">IF(Calculator!$E$20="YES",IF(A123&lt;Calculator!$G$20,0,MIN(MIN(MOD(A123/Calculator!$F$20,1),1-MOD(A123/Calculator!$F$20,1)),ABS(MOD(A123/Calculator!$F$20,1)-0.5))),1)</f>
        <v>1</v>
      </c>
      <c r="K123" s="217" t="n">
        <f aca="false">IF(Calculator!$E$21="YES",IF(A123&lt;Calculator!$G$21,0,MIN(MIN(MOD(A123/Calculator!$F$21,1),1-MOD(A123/Calculator!$F$21,1)),ABS(MOD(A123/Calculator!$F$21,1)-0.5))),1)</f>
        <v>0.139228070175438</v>
      </c>
      <c r="L123" s="217" t="n">
        <f aca="false">IF(Calculator!$E$22="YES",IF(A123&lt;Calculator!$G$22,0,MIN(MIN(MOD(A123/Calculator!$F$22,1),1-MOD(A123/Calculator!$F$22,1)),ABS(MOD(A123/Calculator!$F$22,1)-0.5))),1)</f>
        <v>1</v>
      </c>
      <c r="M123" s="217" t="n">
        <f aca="false">MIN(B123:L123)</f>
        <v>0.139228070175438</v>
      </c>
      <c r="N123" s="217" t="n">
        <f aca="false">SUMPRODUCT(($M$7:$M$557&gt;M123)*1)+SUMPRODUCT(($M$7:$M$557=M123)*(ROW($M$7:$M$557)&lt;ROW(M123)))+1</f>
        <v>47</v>
      </c>
      <c r="O123" s="217" t="str">
        <f aca="false">IF(M123&gt;=0.2,"★★★ EXCELLENT",IF(M123&gt;=0.12,"★★  GOOD",IF(M123&gt;=0.07,"★  FAIR",IF(M123&gt;=0.025,"⚠  MARGINAL","✗  AVOID"))))</f>
        <v>★★  GOOD</v>
      </c>
    </row>
    <row r="124" customFormat="false" ht="15" hidden="false" customHeight="true" outlineLevel="0" collapsed="false">
      <c r="A124" s="218" t="n">
        <v>16.7</v>
      </c>
      <c r="B124" s="219" t="n">
        <f aca="false">IF(Calculator!$E$12="YES",IF(A124&lt;Calculator!$G$12,0,MIN(MIN(MOD(A124/Calculator!$F$12,1),1-MOD(A124/Calculator!$F$12,1)),ABS(MOD(A124/Calculator!$F$12,1)-0.5))),1)</f>
        <v>1</v>
      </c>
      <c r="C124" s="219" t="n">
        <f aca="false">IF(Calculator!$E$13="YES",IF(A124&lt;Calculator!$G$13,0,MIN(MIN(MOD(A124/Calculator!$F$13,1),1-MOD(A124/Calculator!$F$13,1)),ABS(MOD(A124/Calculator!$F$13,1)-0.5))),1)</f>
        <v>1</v>
      </c>
      <c r="D124" s="219" t="n">
        <f aca="false">IF(Calculator!$E$14="YES",IF(A124&lt;Calculator!$G$14,0,MIN(MIN(MOD(A124/Calculator!$F$14,1),1-MOD(A124/Calculator!$F$14,1)),ABS(MOD(A124/Calculator!$F$14,1)-0.5))),1)</f>
        <v>1</v>
      </c>
      <c r="E124" s="219" t="n">
        <f aca="false">IF(Calculator!$E$15="YES",IF(A124&lt;Calculator!$G$15,0,MIN(MIN(MOD(A124/Calculator!$F$15,1),1-MOD(A124/Calculator!$F$15,1)),ABS(MOD(A124/Calculator!$F$15,1)-0.5))),1)</f>
        <v>0.162070175438596</v>
      </c>
      <c r="F124" s="219" t="n">
        <f aca="false">IF(Calculator!$E$16="YES",IF(A124&lt;Calculator!$G$16,0,MIN(MIN(MOD(A124/Calculator!$F$16,1),1-MOD(A124/Calculator!$F$16,1)),ABS(MOD(A124/Calculator!$F$16,1)-0.5))),1)</f>
        <v>1</v>
      </c>
      <c r="G124" s="219" t="n">
        <f aca="false">IF(Calculator!$E$17="YES",IF(A124&lt;Calculator!$G$17,0,MIN(MIN(MOD(A124/Calculator!$F$17,1),1-MOD(A124/Calculator!$F$17,1)),ABS(MOD(A124/Calculator!$F$17,1)-0.5))),1)</f>
        <v>0.161210526315789</v>
      </c>
      <c r="H124" s="219" t="n">
        <f aca="false">IF(Calculator!$E$18="YES",IF(A124&lt;Calculator!$G$18,0,MIN(MIN(MOD(A124/Calculator!$F$18,1),1-MOD(A124/Calculator!$F$18,1)),ABS(MOD(A124/Calculator!$F$18,1)-0.5))),1)</f>
        <v>1</v>
      </c>
      <c r="I124" s="219" t="n">
        <f aca="false">IF(Calculator!$E$19="YES",IF(A124&lt;Calculator!$G$19,0,MIN(MIN(MOD(A124/Calculator!$F$19,1),1-MOD(A124/Calculator!$F$19,1)),ABS(MOD(A124/Calculator!$F$19,1)-0.5))),1)</f>
        <v>1</v>
      </c>
      <c r="J124" s="219" t="n">
        <f aca="false">IF(Calculator!$E$20="YES",IF(A124&lt;Calculator!$G$20,0,MIN(MIN(MOD(A124/Calculator!$F$20,1),1-MOD(A124/Calculator!$F$20,1)),ABS(MOD(A124/Calculator!$F$20,1)-0.5))),1)</f>
        <v>1</v>
      </c>
      <c r="K124" s="219" t="n">
        <f aca="false">IF(Calculator!$E$21="YES",IF(A124&lt;Calculator!$G$21,0,MIN(MIN(MOD(A124/Calculator!$F$21,1),1-MOD(A124/Calculator!$F$21,1)),ABS(MOD(A124/Calculator!$F$21,1)-0.5))),1)</f>
        <v>0.118982456140351</v>
      </c>
      <c r="L124" s="219" t="n">
        <f aca="false">IF(Calculator!$E$22="YES",IF(A124&lt;Calculator!$G$22,0,MIN(MIN(MOD(A124/Calculator!$F$22,1),1-MOD(A124/Calculator!$F$22,1)),ABS(MOD(A124/Calculator!$F$22,1)-0.5))),1)</f>
        <v>1</v>
      </c>
      <c r="M124" s="219" t="n">
        <f aca="false">MIN(B124:L124)</f>
        <v>0.118982456140351</v>
      </c>
      <c r="N124" s="219" t="n">
        <f aca="false">SUMPRODUCT(($M$7:$M$557&gt;M124)*1)+SUMPRODUCT(($M$7:$M$557=M124)*(ROW($M$7:$M$557)&lt;ROW(M124)))+1</f>
        <v>68</v>
      </c>
      <c r="O124" s="219" t="str">
        <f aca="false">IF(M124&gt;=0.2,"★★★ EXCELLENT",IF(M124&gt;=0.12,"★★  GOOD",IF(M124&gt;=0.07,"★  FAIR",IF(M124&gt;=0.025,"⚠  MARGINAL","✗  AVOID"))))</f>
        <v>★  FAIR</v>
      </c>
    </row>
    <row r="125" customFormat="false" ht="15" hidden="false" customHeight="true" outlineLevel="0" collapsed="false">
      <c r="A125" s="216" t="n">
        <v>16.8</v>
      </c>
      <c r="B125" s="217" t="n">
        <f aca="false">IF(Calculator!$E$12="YES",IF(A125&lt;Calculator!$G$12,0,MIN(MIN(MOD(A125/Calculator!$F$12,1),1-MOD(A125/Calculator!$F$12,1)),ABS(MOD(A125/Calculator!$F$12,1)-0.5))),1)</f>
        <v>1</v>
      </c>
      <c r="C125" s="217" t="n">
        <f aca="false">IF(Calculator!$E$13="YES",IF(A125&lt;Calculator!$G$13,0,MIN(MIN(MOD(A125/Calculator!$F$13,1),1-MOD(A125/Calculator!$F$13,1)),ABS(MOD(A125/Calculator!$F$13,1)-0.5))),1)</f>
        <v>1</v>
      </c>
      <c r="D125" s="217" t="n">
        <f aca="false">IF(Calculator!$E$14="YES",IF(A125&lt;Calculator!$G$14,0,MIN(MIN(MOD(A125/Calculator!$F$14,1),1-MOD(A125/Calculator!$F$14,1)),ABS(MOD(A125/Calculator!$F$14,1)-0.5))),1)</f>
        <v>1</v>
      </c>
      <c r="E125" s="217" t="n">
        <f aca="false">IF(Calculator!$E$15="YES",IF(A125&lt;Calculator!$G$15,0,MIN(MIN(MOD(A125/Calculator!$F$15,1),1-MOD(A125/Calculator!$F$15,1)),ABS(MOD(A125/Calculator!$F$15,1)-0.5))),1)</f>
        <v>0.157052631578947</v>
      </c>
      <c r="F125" s="217" t="n">
        <f aca="false">IF(Calculator!$E$16="YES",IF(A125&lt;Calculator!$G$16,0,MIN(MIN(MOD(A125/Calculator!$F$16,1),1-MOD(A125/Calculator!$F$16,1)),ABS(MOD(A125/Calculator!$F$16,1)-0.5))),1)</f>
        <v>1</v>
      </c>
      <c r="G125" s="217" t="n">
        <f aca="false">IF(Calculator!$E$17="YES",IF(A125&lt;Calculator!$G$17,0,MIN(MIN(MOD(A125/Calculator!$F$17,1),1-MOD(A125/Calculator!$F$17,1)),ABS(MOD(A125/Calculator!$F$17,1)-0.5))),1)</f>
        <v>0.171157894736842</v>
      </c>
      <c r="H125" s="217" t="n">
        <f aca="false">IF(Calculator!$E$18="YES",IF(A125&lt;Calculator!$G$18,0,MIN(MIN(MOD(A125/Calculator!$F$18,1),1-MOD(A125/Calculator!$F$18,1)),ABS(MOD(A125/Calculator!$F$18,1)-0.5))),1)</f>
        <v>1</v>
      </c>
      <c r="I125" s="217" t="n">
        <f aca="false">IF(Calculator!$E$19="YES",IF(A125&lt;Calculator!$G$19,0,MIN(MIN(MOD(A125/Calculator!$F$19,1),1-MOD(A125/Calculator!$F$19,1)),ABS(MOD(A125/Calculator!$F$19,1)-0.5))),1)</f>
        <v>1</v>
      </c>
      <c r="J125" s="217" t="n">
        <f aca="false">IF(Calculator!$E$20="YES",IF(A125&lt;Calculator!$G$20,0,MIN(MIN(MOD(A125/Calculator!$F$20,1),1-MOD(A125/Calculator!$F$20,1)),ABS(MOD(A125/Calculator!$F$20,1)-0.5))),1)</f>
        <v>1</v>
      </c>
      <c r="K125" s="217" t="n">
        <f aca="false">IF(Calculator!$E$21="YES",IF(A125&lt;Calculator!$G$21,0,MIN(MIN(MOD(A125/Calculator!$F$21,1),1-MOD(A125/Calculator!$F$21,1)),ABS(MOD(A125/Calculator!$F$21,1)-0.5))),1)</f>
        <v>0.098736842105263</v>
      </c>
      <c r="L125" s="217" t="n">
        <f aca="false">IF(Calculator!$E$22="YES",IF(A125&lt;Calculator!$G$22,0,MIN(MIN(MOD(A125/Calculator!$F$22,1),1-MOD(A125/Calculator!$F$22,1)),ABS(MOD(A125/Calculator!$F$22,1)-0.5))),1)</f>
        <v>1</v>
      </c>
      <c r="M125" s="217" t="n">
        <f aca="false">MIN(B125:L125)</f>
        <v>0.098736842105263</v>
      </c>
      <c r="N125" s="217" t="n">
        <f aca="false">SUMPRODUCT(($M$7:$M$557&gt;M125)*1)+SUMPRODUCT(($M$7:$M$557=M125)*(ROW($M$7:$M$557)&lt;ROW(M125)))+1</f>
        <v>109</v>
      </c>
      <c r="O125" s="217" t="str">
        <f aca="false">IF(M125&gt;=0.2,"★★★ EXCELLENT",IF(M125&gt;=0.12,"★★  GOOD",IF(M125&gt;=0.07,"★  FAIR",IF(M125&gt;=0.025,"⚠  MARGINAL","✗  AVOID"))))</f>
        <v>★  FAIR</v>
      </c>
    </row>
    <row r="126" customFormat="false" ht="15" hidden="false" customHeight="true" outlineLevel="0" collapsed="false">
      <c r="A126" s="218" t="n">
        <v>16.9</v>
      </c>
      <c r="B126" s="219" t="n">
        <f aca="false">IF(Calculator!$E$12="YES",IF(A126&lt;Calculator!$G$12,0,MIN(MIN(MOD(A126/Calculator!$F$12,1),1-MOD(A126/Calculator!$F$12,1)),ABS(MOD(A126/Calculator!$F$12,1)-0.5))),1)</f>
        <v>1</v>
      </c>
      <c r="C126" s="219" t="n">
        <f aca="false">IF(Calculator!$E$13="YES",IF(A126&lt;Calculator!$G$13,0,MIN(MIN(MOD(A126/Calculator!$F$13,1),1-MOD(A126/Calculator!$F$13,1)),ABS(MOD(A126/Calculator!$F$13,1)-0.5))),1)</f>
        <v>1</v>
      </c>
      <c r="D126" s="219" t="n">
        <f aca="false">IF(Calculator!$E$14="YES",IF(A126&lt;Calculator!$G$14,0,MIN(MIN(MOD(A126/Calculator!$F$14,1),1-MOD(A126/Calculator!$F$14,1)),ABS(MOD(A126/Calculator!$F$14,1)-0.5))),1)</f>
        <v>1</v>
      </c>
      <c r="E126" s="219" t="n">
        <f aca="false">IF(Calculator!$E$15="YES",IF(A126&lt;Calculator!$G$15,0,MIN(MIN(MOD(A126/Calculator!$F$15,1),1-MOD(A126/Calculator!$F$15,1)),ABS(MOD(A126/Calculator!$F$15,1)-0.5))),1)</f>
        <v>0.152035087719298</v>
      </c>
      <c r="F126" s="219" t="n">
        <f aca="false">IF(Calculator!$E$16="YES",IF(A126&lt;Calculator!$G$16,0,MIN(MIN(MOD(A126/Calculator!$F$16,1),1-MOD(A126/Calculator!$F$16,1)),ABS(MOD(A126/Calculator!$F$16,1)-0.5))),1)</f>
        <v>1</v>
      </c>
      <c r="G126" s="219" t="n">
        <f aca="false">IF(Calculator!$E$17="YES",IF(A126&lt;Calculator!$G$17,0,MIN(MIN(MOD(A126/Calculator!$F$17,1),1-MOD(A126/Calculator!$F$17,1)),ABS(MOD(A126/Calculator!$F$17,1)-0.5))),1)</f>
        <v>0.181105263157895</v>
      </c>
      <c r="H126" s="219" t="n">
        <f aca="false">IF(Calculator!$E$18="YES",IF(A126&lt;Calculator!$G$18,0,MIN(MIN(MOD(A126/Calculator!$F$18,1),1-MOD(A126/Calculator!$F$18,1)),ABS(MOD(A126/Calculator!$F$18,1)-0.5))),1)</f>
        <v>1</v>
      </c>
      <c r="I126" s="219" t="n">
        <f aca="false">IF(Calculator!$E$19="YES",IF(A126&lt;Calculator!$G$19,0,MIN(MIN(MOD(A126/Calculator!$F$19,1),1-MOD(A126/Calculator!$F$19,1)),ABS(MOD(A126/Calculator!$F$19,1)-0.5))),1)</f>
        <v>1</v>
      </c>
      <c r="J126" s="219" t="n">
        <f aca="false">IF(Calculator!$E$20="YES",IF(A126&lt;Calculator!$G$20,0,MIN(MIN(MOD(A126/Calculator!$F$20,1),1-MOD(A126/Calculator!$F$20,1)),ABS(MOD(A126/Calculator!$F$20,1)-0.5))),1)</f>
        <v>1</v>
      </c>
      <c r="K126" s="219" t="n">
        <f aca="false">IF(Calculator!$E$21="YES",IF(A126&lt;Calculator!$G$21,0,MIN(MIN(MOD(A126/Calculator!$F$21,1),1-MOD(A126/Calculator!$F$21,1)),ABS(MOD(A126/Calculator!$F$21,1)-0.5))),1)</f>
        <v>0.0784912280701757</v>
      </c>
      <c r="L126" s="219" t="n">
        <f aca="false">IF(Calculator!$E$22="YES",IF(A126&lt;Calculator!$G$22,0,MIN(MIN(MOD(A126/Calculator!$F$22,1),1-MOD(A126/Calculator!$F$22,1)),ABS(MOD(A126/Calculator!$F$22,1)-0.5))),1)</f>
        <v>1</v>
      </c>
      <c r="M126" s="219" t="n">
        <f aca="false">MIN(B126:L126)</f>
        <v>0.0784912280701757</v>
      </c>
      <c r="N126" s="219" t="n">
        <f aca="false">SUMPRODUCT(($M$7:$M$557&gt;M126)*1)+SUMPRODUCT(($M$7:$M$557=M126)*(ROW($M$7:$M$557)&lt;ROW(M126)))+1</f>
        <v>174</v>
      </c>
      <c r="O126" s="219" t="str">
        <f aca="false">IF(M126&gt;=0.2,"★★★ EXCELLENT",IF(M126&gt;=0.12,"★★  GOOD",IF(M126&gt;=0.07,"★  FAIR",IF(M126&gt;=0.025,"⚠  MARGINAL","✗  AVOID"))))</f>
        <v>★  FAIR</v>
      </c>
    </row>
    <row r="127" customFormat="false" ht="15" hidden="false" customHeight="true" outlineLevel="0" collapsed="false">
      <c r="A127" s="216" t="n">
        <v>17</v>
      </c>
      <c r="B127" s="217" t="n">
        <f aca="false">IF(Calculator!$E$12="YES",IF(A127&lt;Calculator!$G$12,0,MIN(MIN(MOD(A127/Calculator!$F$12,1),1-MOD(A127/Calculator!$F$12,1)),ABS(MOD(A127/Calculator!$F$12,1)-0.5))),1)</f>
        <v>1</v>
      </c>
      <c r="C127" s="217" t="n">
        <f aca="false">IF(Calculator!$E$13="YES",IF(A127&lt;Calculator!$G$13,0,MIN(MIN(MOD(A127/Calculator!$F$13,1),1-MOD(A127/Calculator!$F$13,1)),ABS(MOD(A127/Calculator!$F$13,1)-0.5))),1)</f>
        <v>1</v>
      </c>
      <c r="D127" s="217" t="n">
        <f aca="false">IF(Calculator!$E$14="YES",IF(A127&lt;Calculator!$G$14,0,MIN(MIN(MOD(A127/Calculator!$F$14,1),1-MOD(A127/Calculator!$F$14,1)),ABS(MOD(A127/Calculator!$F$14,1)-0.5))),1)</f>
        <v>1</v>
      </c>
      <c r="E127" s="217" t="n">
        <f aca="false">IF(Calculator!$E$15="YES",IF(A127&lt;Calculator!$G$15,0,MIN(MIN(MOD(A127/Calculator!$F$15,1),1-MOD(A127/Calculator!$F$15,1)),ABS(MOD(A127/Calculator!$F$15,1)-0.5))),1)</f>
        <v>0.147017543859649</v>
      </c>
      <c r="F127" s="217" t="n">
        <f aca="false">IF(Calculator!$E$16="YES",IF(A127&lt;Calculator!$G$16,0,MIN(MIN(MOD(A127/Calculator!$F$16,1),1-MOD(A127/Calculator!$F$16,1)),ABS(MOD(A127/Calculator!$F$16,1)-0.5))),1)</f>
        <v>1</v>
      </c>
      <c r="G127" s="217" t="n">
        <f aca="false">IF(Calculator!$E$17="YES",IF(A127&lt;Calculator!$G$17,0,MIN(MIN(MOD(A127/Calculator!$F$17,1),1-MOD(A127/Calculator!$F$17,1)),ABS(MOD(A127/Calculator!$F$17,1)-0.5))),1)</f>
        <v>0.191052631578948</v>
      </c>
      <c r="H127" s="217" t="n">
        <f aca="false">IF(Calculator!$E$18="YES",IF(A127&lt;Calculator!$G$18,0,MIN(MIN(MOD(A127/Calculator!$F$18,1),1-MOD(A127/Calculator!$F$18,1)),ABS(MOD(A127/Calculator!$F$18,1)-0.5))),1)</f>
        <v>1</v>
      </c>
      <c r="I127" s="217" t="n">
        <f aca="false">IF(Calculator!$E$19="YES",IF(A127&lt;Calculator!$G$19,0,MIN(MIN(MOD(A127/Calculator!$F$19,1),1-MOD(A127/Calculator!$F$19,1)),ABS(MOD(A127/Calculator!$F$19,1)-0.5))),1)</f>
        <v>1</v>
      </c>
      <c r="J127" s="217" t="n">
        <f aca="false">IF(Calculator!$E$20="YES",IF(A127&lt;Calculator!$G$20,0,MIN(MIN(MOD(A127/Calculator!$F$20,1),1-MOD(A127/Calculator!$F$20,1)),ABS(MOD(A127/Calculator!$F$20,1)-0.5))),1)</f>
        <v>1</v>
      </c>
      <c r="K127" s="217" t="n">
        <f aca="false">IF(Calculator!$E$21="YES",IF(A127&lt;Calculator!$G$21,0,MIN(MIN(MOD(A127/Calculator!$F$21,1),1-MOD(A127/Calculator!$F$21,1)),ABS(MOD(A127/Calculator!$F$21,1)-0.5))),1)</f>
        <v>0.0582456140350875</v>
      </c>
      <c r="L127" s="217" t="n">
        <f aca="false">IF(Calculator!$E$22="YES",IF(A127&lt;Calculator!$G$22,0,MIN(MIN(MOD(A127/Calculator!$F$22,1),1-MOD(A127/Calculator!$F$22,1)),ABS(MOD(A127/Calculator!$F$22,1)-0.5))),1)</f>
        <v>1</v>
      </c>
      <c r="M127" s="217" t="n">
        <f aca="false">MIN(B127:L127)</f>
        <v>0.0582456140350875</v>
      </c>
      <c r="N127" s="217" t="n">
        <f aca="false">SUMPRODUCT(($M$7:$M$557&gt;M127)*1)+SUMPRODUCT(($M$7:$M$557=M127)*(ROW($M$7:$M$557)&lt;ROW(M127)))+1</f>
        <v>251</v>
      </c>
      <c r="O127" s="217" t="str">
        <f aca="false">IF(M127&gt;=0.2,"★★★ EXCELLENT",IF(M127&gt;=0.12,"★★  GOOD",IF(M127&gt;=0.07,"★  FAIR",IF(M127&gt;=0.025,"⚠  MARGINAL","✗  AVOID"))))</f>
        <v>⚠  MARGINAL</v>
      </c>
    </row>
    <row r="128" customFormat="false" ht="15" hidden="false" customHeight="true" outlineLevel="0" collapsed="false">
      <c r="A128" s="218" t="n">
        <v>17.1</v>
      </c>
      <c r="B128" s="219" t="n">
        <f aca="false">IF(Calculator!$E$12="YES",IF(A128&lt;Calculator!$G$12,0,MIN(MIN(MOD(A128/Calculator!$F$12,1),1-MOD(A128/Calculator!$F$12,1)),ABS(MOD(A128/Calculator!$F$12,1)-0.5))),1)</f>
        <v>1</v>
      </c>
      <c r="C128" s="219" t="n">
        <f aca="false">IF(Calculator!$E$13="YES",IF(A128&lt;Calculator!$G$13,0,MIN(MIN(MOD(A128/Calculator!$F$13,1),1-MOD(A128/Calculator!$F$13,1)),ABS(MOD(A128/Calculator!$F$13,1)-0.5))),1)</f>
        <v>1</v>
      </c>
      <c r="D128" s="219" t="n">
        <f aca="false">IF(Calculator!$E$14="YES",IF(A128&lt;Calculator!$G$14,0,MIN(MIN(MOD(A128/Calculator!$F$14,1),1-MOD(A128/Calculator!$F$14,1)),ABS(MOD(A128/Calculator!$F$14,1)-0.5))),1)</f>
        <v>1</v>
      </c>
      <c r="E128" s="219" t="n">
        <f aca="false">IF(Calculator!$E$15="YES",IF(A128&lt;Calculator!$G$15,0,MIN(MIN(MOD(A128/Calculator!$F$15,1),1-MOD(A128/Calculator!$F$15,1)),ABS(MOD(A128/Calculator!$F$15,1)-0.5))),1)</f>
        <v>0.142</v>
      </c>
      <c r="F128" s="219" t="n">
        <f aca="false">IF(Calculator!$E$16="YES",IF(A128&lt;Calculator!$G$16,0,MIN(MIN(MOD(A128/Calculator!$F$16,1),1-MOD(A128/Calculator!$F$16,1)),ABS(MOD(A128/Calculator!$F$16,1)-0.5))),1)</f>
        <v>1</v>
      </c>
      <c r="G128" s="219" t="n">
        <f aca="false">IF(Calculator!$E$17="YES",IF(A128&lt;Calculator!$G$17,0,MIN(MIN(MOD(A128/Calculator!$F$17,1),1-MOD(A128/Calculator!$F$17,1)),ABS(MOD(A128/Calculator!$F$17,1)-0.5))),1)</f>
        <v>0.201</v>
      </c>
      <c r="H128" s="219" t="n">
        <f aca="false">IF(Calculator!$E$18="YES",IF(A128&lt;Calculator!$G$18,0,MIN(MIN(MOD(A128/Calculator!$F$18,1),1-MOD(A128/Calculator!$F$18,1)),ABS(MOD(A128/Calculator!$F$18,1)-0.5))),1)</f>
        <v>1</v>
      </c>
      <c r="I128" s="219" t="n">
        <f aca="false">IF(Calculator!$E$19="YES",IF(A128&lt;Calculator!$G$19,0,MIN(MIN(MOD(A128/Calculator!$F$19,1),1-MOD(A128/Calculator!$F$19,1)),ABS(MOD(A128/Calculator!$F$19,1)-0.5))),1)</f>
        <v>1</v>
      </c>
      <c r="J128" s="219" t="n">
        <f aca="false">IF(Calculator!$E$20="YES",IF(A128&lt;Calculator!$G$20,0,MIN(MIN(MOD(A128/Calculator!$F$20,1),1-MOD(A128/Calculator!$F$20,1)),ABS(MOD(A128/Calculator!$F$20,1)-0.5))),1)</f>
        <v>1</v>
      </c>
      <c r="K128" s="219" t="n">
        <f aca="false">IF(Calculator!$E$21="YES",IF(A128&lt;Calculator!$G$21,0,MIN(MIN(MOD(A128/Calculator!$F$21,1),1-MOD(A128/Calculator!$F$21,1)),ABS(MOD(A128/Calculator!$F$21,1)-0.5))),1)</f>
        <v>0.0379999999999998</v>
      </c>
      <c r="L128" s="219" t="n">
        <f aca="false">IF(Calculator!$E$22="YES",IF(A128&lt;Calculator!$G$22,0,MIN(MIN(MOD(A128/Calculator!$F$22,1),1-MOD(A128/Calculator!$F$22,1)),ABS(MOD(A128/Calculator!$F$22,1)-0.5))),1)</f>
        <v>1</v>
      </c>
      <c r="M128" s="219" t="n">
        <f aca="false">MIN(B128:L128)</f>
        <v>0.0379999999999998</v>
      </c>
      <c r="N128" s="219" t="n">
        <f aca="false">SUMPRODUCT(($M$7:$M$557&gt;M128)*1)+SUMPRODUCT(($M$7:$M$557=M128)*(ROW($M$7:$M$557)&lt;ROW(M128)))+1</f>
        <v>333</v>
      </c>
      <c r="O128" s="219" t="str">
        <f aca="false">IF(M128&gt;=0.2,"★★★ EXCELLENT",IF(M128&gt;=0.12,"★★  GOOD",IF(M128&gt;=0.07,"★  FAIR",IF(M128&gt;=0.025,"⚠  MARGINAL","✗  AVOID"))))</f>
        <v>⚠  MARGINAL</v>
      </c>
    </row>
    <row r="129" customFormat="false" ht="15" hidden="false" customHeight="true" outlineLevel="0" collapsed="false">
      <c r="A129" s="216" t="n">
        <v>17.2</v>
      </c>
      <c r="B129" s="217" t="n">
        <f aca="false">IF(Calculator!$E$12="YES",IF(A129&lt;Calculator!$G$12,0,MIN(MIN(MOD(A129/Calculator!$F$12,1),1-MOD(A129/Calculator!$F$12,1)),ABS(MOD(A129/Calculator!$F$12,1)-0.5))),1)</f>
        <v>1</v>
      </c>
      <c r="C129" s="217" t="n">
        <f aca="false">IF(Calculator!$E$13="YES",IF(A129&lt;Calculator!$G$13,0,MIN(MIN(MOD(A129/Calculator!$F$13,1),1-MOD(A129/Calculator!$F$13,1)),ABS(MOD(A129/Calculator!$F$13,1)-0.5))),1)</f>
        <v>1</v>
      </c>
      <c r="D129" s="217" t="n">
        <f aca="false">IF(Calculator!$E$14="YES",IF(A129&lt;Calculator!$G$14,0,MIN(MIN(MOD(A129/Calculator!$F$14,1),1-MOD(A129/Calculator!$F$14,1)),ABS(MOD(A129/Calculator!$F$14,1)-0.5))),1)</f>
        <v>1</v>
      </c>
      <c r="E129" s="217" t="n">
        <f aca="false">IF(Calculator!$E$15="YES",IF(A129&lt;Calculator!$G$15,0,MIN(MIN(MOD(A129/Calculator!$F$15,1),1-MOD(A129/Calculator!$F$15,1)),ABS(MOD(A129/Calculator!$F$15,1)-0.5))),1)</f>
        <v>0.136982456140351</v>
      </c>
      <c r="F129" s="217" t="n">
        <f aca="false">IF(Calculator!$E$16="YES",IF(A129&lt;Calculator!$G$16,0,MIN(MIN(MOD(A129/Calculator!$F$16,1),1-MOD(A129/Calculator!$F$16,1)),ABS(MOD(A129/Calculator!$F$16,1)-0.5))),1)</f>
        <v>1</v>
      </c>
      <c r="G129" s="217" t="n">
        <f aca="false">IF(Calculator!$E$17="YES",IF(A129&lt;Calculator!$G$17,0,MIN(MIN(MOD(A129/Calculator!$F$17,1),1-MOD(A129/Calculator!$F$17,1)),ABS(MOD(A129/Calculator!$F$17,1)-0.5))),1)</f>
        <v>0.210947368421053</v>
      </c>
      <c r="H129" s="217" t="n">
        <f aca="false">IF(Calculator!$E$18="YES",IF(A129&lt;Calculator!$G$18,0,MIN(MIN(MOD(A129/Calculator!$F$18,1),1-MOD(A129/Calculator!$F$18,1)),ABS(MOD(A129/Calculator!$F$18,1)-0.5))),1)</f>
        <v>1</v>
      </c>
      <c r="I129" s="217" t="n">
        <f aca="false">IF(Calculator!$E$19="YES",IF(A129&lt;Calculator!$G$19,0,MIN(MIN(MOD(A129/Calculator!$F$19,1),1-MOD(A129/Calculator!$F$19,1)),ABS(MOD(A129/Calculator!$F$19,1)-0.5))),1)</f>
        <v>1</v>
      </c>
      <c r="J129" s="217" t="n">
        <f aca="false">IF(Calculator!$E$20="YES",IF(A129&lt;Calculator!$G$20,0,MIN(MIN(MOD(A129/Calculator!$F$20,1),1-MOD(A129/Calculator!$F$20,1)),ABS(MOD(A129/Calculator!$F$20,1)-0.5))),1)</f>
        <v>1</v>
      </c>
      <c r="K129" s="217" t="n">
        <f aca="false">IF(Calculator!$E$21="YES",IF(A129&lt;Calculator!$G$21,0,MIN(MIN(MOD(A129/Calculator!$F$21,1),1-MOD(A129/Calculator!$F$21,1)),ABS(MOD(A129/Calculator!$F$21,1)-0.5))),1)</f>
        <v>0.0177543859649125</v>
      </c>
      <c r="L129" s="217" t="n">
        <f aca="false">IF(Calculator!$E$22="YES",IF(A129&lt;Calculator!$G$22,0,MIN(MIN(MOD(A129/Calculator!$F$22,1),1-MOD(A129/Calculator!$F$22,1)),ABS(MOD(A129/Calculator!$F$22,1)-0.5))),1)</f>
        <v>1</v>
      </c>
      <c r="M129" s="217" t="n">
        <f aca="false">MIN(B129:L129)</f>
        <v>0.0177543859649125</v>
      </c>
      <c r="N129" s="217" t="n">
        <f aca="false">SUMPRODUCT(($M$7:$M$557&gt;M129)*1)+SUMPRODUCT(($M$7:$M$557=M129)*(ROW($M$7:$M$557)&lt;ROW(M129)))+1</f>
        <v>411</v>
      </c>
      <c r="O129" s="217" t="str">
        <f aca="false">IF(M129&gt;=0.2,"★★★ EXCELLENT",IF(M129&gt;=0.12,"★★  GOOD",IF(M129&gt;=0.07,"★  FAIR",IF(M129&gt;=0.025,"⚠  MARGINAL","✗  AVOID"))))</f>
        <v>✗  AVOID</v>
      </c>
    </row>
    <row r="130" customFormat="false" ht="15" hidden="false" customHeight="true" outlineLevel="0" collapsed="false">
      <c r="A130" s="218" t="n">
        <v>17.3</v>
      </c>
      <c r="B130" s="219" t="n">
        <f aca="false">IF(Calculator!$E$12="YES",IF(A130&lt;Calculator!$G$12,0,MIN(MIN(MOD(A130/Calculator!$F$12,1),1-MOD(A130/Calculator!$F$12,1)),ABS(MOD(A130/Calculator!$F$12,1)-0.5))),1)</f>
        <v>1</v>
      </c>
      <c r="C130" s="219" t="n">
        <f aca="false">IF(Calculator!$E$13="YES",IF(A130&lt;Calculator!$G$13,0,MIN(MIN(MOD(A130/Calculator!$F$13,1),1-MOD(A130/Calculator!$F$13,1)),ABS(MOD(A130/Calculator!$F$13,1)-0.5))),1)</f>
        <v>1</v>
      </c>
      <c r="D130" s="219" t="n">
        <f aca="false">IF(Calculator!$E$14="YES",IF(A130&lt;Calculator!$G$14,0,MIN(MIN(MOD(A130/Calculator!$F$14,1),1-MOD(A130/Calculator!$F$14,1)),ABS(MOD(A130/Calculator!$F$14,1)-0.5))),1)</f>
        <v>1</v>
      </c>
      <c r="E130" s="219" t="n">
        <f aca="false">IF(Calculator!$E$15="YES",IF(A130&lt;Calculator!$G$15,0,MIN(MIN(MOD(A130/Calculator!$F$15,1),1-MOD(A130/Calculator!$F$15,1)),ABS(MOD(A130/Calculator!$F$15,1)-0.5))),1)</f>
        <v>0.131964912280702</v>
      </c>
      <c r="F130" s="219" t="n">
        <f aca="false">IF(Calculator!$E$16="YES",IF(A130&lt;Calculator!$G$16,0,MIN(MIN(MOD(A130/Calculator!$F$16,1),1-MOD(A130/Calculator!$F$16,1)),ABS(MOD(A130/Calculator!$F$16,1)-0.5))),1)</f>
        <v>1</v>
      </c>
      <c r="G130" s="219" t="n">
        <f aca="false">IF(Calculator!$E$17="YES",IF(A130&lt;Calculator!$G$17,0,MIN(MIN(MOD(A130/Calculator!$F$17,1),1-MOD(A130/Calculator!$F$17,1)),ABS(MOD(A130/Calculator!$F$17,1)-0.5))),1)</f>
        <v>0.220894736842105</v>
      </c>
      <c r="H130" s="219" t="n">
        <f aca="false">IF(Calculator!$E$18="YES",IF(A130&lt;Calculator!$G$18,0,MIN(MIN(MOD(A130/Calculator!$F$18,1),1-MOD(A130/Calculator!$F$18,1)),ABS(MOD(A130/Calculator!$F$18,1)-0.5))),1)</f>
        <v>1</v>
      </c>
      <c r="I130" s="219" t="n">
        <f aca="false">IF(Calculator!$E$19="YES",IF(A130&lt;Calculator!$G$19,0,MIN(MIN(MOD(A130/Calculator!$F$19,1),1-MOD(A130/Calculator!$F$19,1)),ABS(MOD(A130/Calculator!$F$19,1)-0.5))),1)</f>
        <v>1</v>
      </c>
      <c r="J130" s="219" t="n">
        <f aca="false">IF(Calculator!$E$20="YES",IF(A130&lt;Calculator!$G$20,0,MIN(MIN(MOD(A130/Calculator!$F$20,1),1-MOD(A130/Calculator!$F$20,1)),ABS(MOD(A130/Calculator!$F$20,1)-0.5))),1)</f>
        <v>1</v>
      </c>
      <c r="K130" s="219" t="n">
        <f aca="false">IF(Calculator!$E$21="YES",IF(A130&lt;Calculator!$G$21,0,MIN(MIN(MOD(A130/Calculator!$F$21,1),1-MOD(A130/Calculator!$F$21,1)),ABS(MOD(A130/Calculator!$F$21,1)-0.5))),1)</f>
        <v>0.00249122807017566</v>
      </c>
      <c r="L130" s="219" t="n">
        <f aca="false">IF(Calculator!$E$22="YES",IF(A130&lt;Calculator!$G$22,0,MIN(MIN(MOD(A130/Calculator!$F$22,1),1-MOD(A130/Calculator!$F$22,1)),ABS(MOD(A130/Calculator!$F$22,1)-0.5))),1)</f>
        <v>1</v>
      </c>
      <c r="M130" s="219" t="n">
        <f aca="false">MIN(B130:L130)</f>
        <v>0.00249122807017566</v>
      </c>
      <c r="N130" s="219" t="n">
        <f aca="false">SUMPRODUCT(($M$7:$M$557&gt;M130)*1)+SUMPRODUCT(($M$7:$M$557=M130)*(ROW($M$7:$M$557)&lt;ROW(M130)))+1</f>
        <v>486</v>
      </c>
      <c r="O130" s="219" t="str">
        <f aca="false">IF(M130&gt;=0.2,"★★★ EXCELLENT",IF(M130&gt;=0.12,"★★  GOOD",IF(M130&gt;=0.07,"★  FAIR",IF(M130&gt;=0.025,"⚠  MARGINAL","✗  AVOID"))))</f>
        <v>✗  AVOID</v>
      </c>
    </row>
    <row r="131" customFormat="false" ht="15" hidden="false" customHeight="true" outlineLevel="0" collapsed="false">
      <c r="A131" s="216" t="n">
        <v>17.4</v>
      </c>
      <c r="B131" s="217" t="n">
        <f aca="false">IF(Calculator!$E$12="YES",IF(A131&lt;Calculator!$G$12,0,MIN(MIN(MOD(A131/Calculator!$F$12,1),1-MOD(A131/Calculator!$F$12,1)),ABS(MOD(A131/Calculator!$F$12,1)-0.5))),1)</f>
        <v>1</v>
      </c>
      <c r="C131" s="217" t="n">
        <f aca="false">IF(Calculator!$E$13="YES",IF(A131&lt;Calculator!$G$13,0,MIN(MIN(MOD(A131/Calculator!$F$13,1),1-MOD(A131/Calculator!$F$13,1)),ABS(MOD(A131/Calculator!$F$13,1)-0.5))),1)</f>
        <v>1</v>
      </c>
      <c r="D131" s="217" t="n">
        <f aca="false">IF(Calculator!$E$14="YES",IF(A131&lt;Calculator!$G$14,0,MIN(MIN(MOD(A131/Calculator!$F$14,1),1-MOD(A131/Calculator!$F$14,1)),ABS(MOD(A131/Calculator!$F$14,1)-0.5))),1)</f>
        <v>1</v>
      </c>
      <c r="E131" s="217" t="n">
        <f aca="false">IF(Calculator!$E$15="YES",IF(A131&lt;Calculator!$G$15,0,MIN(MIN(MOD(A131/Calculator!$F$15,1),1-MOD(A131/Calculator!$F$15,1)),ABS(MOD(A131/Calculator!$F$15,1)-0.5))),1)</f>
        <v>0.126947368421053</v>
      </c>
      <c r="F131" s="217" t="n">
        <f aca="false">IF(Calculator!$E$16="YES",IF(A131&lt;Calculator!$G$16,0,MIN(MIN(MOD(A131/Calculator!$F$16,1),1-MOD(A131/Calculator!$F$16,1)),ABS(MOD(A131/Calculator!$F$16,1)-0.5))),1)</f>
        <v>1</v>
      </c>
      <c r="G131" s="217" t="n">
        <f aca="false">IF(Calculator!$E$17="YES",IF(A131&lt;Calculator!$G$17,0,MIN(MIN(MOD(A131/Calculator!$F$17,1),1-MOD(A131/Calculator!$F$17,1)),ABS(MOD(A131/Calculator!$F$17,1)-0.5))),1)</f>
        <v>0.230842105263158</v>
      </c>
      <c r="H131" s="217" t="n">
        <f aca="false">IF(Calculator!$E$18="YES",IF(A131&lt;Calculator!$G$18,0,MIN(MIN(MOD(A131/Calculator!$F$18,1),1-MOD(A131/Calculator!$F$18,1)),ABS(MOD(A131/Calculator!$F$18,1)-0.5))),1)</f>
        <v>1</v>
      </c>
      <c r="I131" s="217" t="n">
        <f aca="false">IF(Calculator!$E$19="YES",IF(A131&lt;Calculator!$G$19,0,MIN(MIN(MOD(A131/Calculator!$F$19,1),1-MOD(A131/Calculator!$F$19,1)),ABS(MOD(A131/Calculator!$F$19,1)-0.5))),1)</f>
        <v>1</v>
      </c>
      <c r="J131" s="217" t="n">
        <f aca="false">IF(Calculator!$E$20="YES",IF(A131&lt;Calculator!$G$20,0,MIN(MIN(MOD(A131/Calculator!$F$20,1),1-MOD(A131/Calculator!$F$20,1)),ABS(MOD(A131/Calculator!$F$20,1)-0.5))),1)</f>
        <v>1</v>
      </c>
      <c r="K131" s="217" t="n">
        <f aca="false">IF(Calculator!$E$21="YES",IF(A131&lt;Calculator!$G$21,0,MIN(MIN(MOD(A131/Calculator!$F$21,1),1-MOD(A131/Calculator!$F$21,1)),ABS(MOD(A131/Calculator!$F$21,1)-0.5))),1)</f>
        <v>0.0227368421052629</v>
      </c>
      <c r="L131" s="217" t="n">
        <f aca="false">IF(Calculator!$E$22="YES",IF(A131&lt;Calculator!$G$22,0,MIN(MIN(MOD(A131/Calculator!$F$22,1),1-MOD(A131/Calculator!$F$22,1)),ABS(MOD(A131/Calculator!$F$22,1)-0.5))),1)</f>
        <v>1</v>
      </c>
      <c r="M131" s="217" t="n">
        <f aca="false">MIN(B131:L131)</f>
        <v>0.0227368421052629</v>
      </c>
      <c r="N131" s="217" t="n">
        <f aca="false">SUMPRODUCT(($M$7:$M$557&gt;M131)*1)+SUMPRODUCT(($M$7:$M$557=M131)*(ROW($M$7:$M$557)&lt;ROW(M131)))+1</f>
        <v>392</v>
      </c>
      <c r="O131" s="217" t="str">
        <f aca="false">IF(M131&gt;=0.2,"★★★ EXCELLENT",IF(M131&gt;=0.12,"★★  GOOD",IF(M131&gt;=0.07,"★  FAIR",IF(M131&gt;=0.025,"⚠  MARGINAL","✗  AVOID"))))</f>
        <v>✗  AVOID</v>
      </c>
    </row>
    <row r="132" customFormat="false" ht="15" hidden="false" customHeight="true" outlineLevel="0" collapsed="false">
      <c r="A132" s="218" t="n">
        <v>17.5</v>
      </c>
      <c r="B132" s="219" t="n">
        <f aca="false">IF(Calculator!$E$12="YES",IF(A132&lt;Calculator!$G$12,0,MIN(MIN(MOD(A132/Calculator!$F$12,1),1-MOD(A132/Calculator!$F$12,1)),ABS(MOD(A132/Calculator!$F$12,1)-0.5))),1)</f>
        <v>1</v>
      </c>
      <c r="C132" s="219" t="n">
        <f aca="false">IF(Calculator!$E$13="YES",IF(A132&lt;Calculator!$G$13,0,MIN(MIN(MOD(A132/Calculator!$F$13,1),1-MOD(A132/Calculator!$F$13,1)),ABS(MOD(A132/Calculator!$F$13,1)-0.5))),1)</f>
        <v>1</v>
      </c>
      <c r="D132" s="219" t="n">
        <f aca="false">IF(Calculator!$E$14="YES",IF(A132&lt;Calculator!$G$14,0,MIN(MIN(MOD(A132/Calculator!$F$14,1),1-MOD(A132/Calculator!$F$14,1)),ABS(MOD(A132/Calculator!$F$14,1)-0.5))),1)</f>
        <v>1</v>
      </c>
      <c r="E132" s="219" t="n">
        <f aca="false">IF(Calculator!$E$15="YES",IF(A132&lt;Calculator!$G$15,0,MIN(MIN(MOD(A132/Calculator!$F$15,1),1-MOD(A132/Calculator!$F$15,1)),ABS(MOD(A132/Calculator!$F$15,1)-0.5))),1)</f>
        <v>0.121929824561404</v>
      </c>
      <c r="F132" s="219" t="n">
        <f aca="false">IF(Calculator!$E$16="YES",IF(A132&lt;Calculator!$G$16,0,MIN(MIN(MOD(A132/Calculator!$F$16,1),1-MOD(A132/Calculator!$F$16,1)),ABS(MOD(A132/Calculator!$F$16,1)-0.5))),1)</f>
        <v>1</v>
      </c>
      <c r="G132" s="219" t="n">
        <f aca="false">IF(Calculator!$E$17="YES",IF(A132&lt;Calculator!$G$17,0,MIN(MIN(MOD(A132/Calculator!$F$17,1),1-MOD(A132/Calculator!$F$17,1)),ABS(MOD(A132/Calculator!$F$17,1)-0.5))),1)</f>
        <v>0.240789473684211</v>
      </c>
      <c r="H132" s="219" t="n">
        <f aca="false">IF(Calculator!$E$18="YES",IF(A132&lt;Calculator!$G$18,0,MIN(MIN(MOD(A132/Calculator!$F$18,1),1-MOD(A132/Calculator!$F$18,1)),ABS(MOD(A132/Calculator!$F$18,1)-0.5))),1)</f>
        <v>1</v>
      </c>
      <c r="I132" s="219" t="n">
        <f aca="false">IF(Calculator!$E$19="YES",IF(A132&lt;Calculator!$G$19,0,MIN(MIN(MOD(A132/Calculator!$F$19,1),1-MOD(A132/Calculator!$F$19,1)),ABS(MOD(A132/Calculator!$F$19,1)-0.5))),1)</f>
        <v>1</v>
      </c>
      <c r="J132" s="219" t="n">
        <f aca="false">IF(Calculator!$E$20="YES",IF(A132&lt;Calculator!$G$20,0,MIN(MIN(MOD(A132/Calculator!$F$20,1),1-MOD(A132/Calculator!$F$20,1)),ABS(MOD(A132/Calculator!$F$20,1)-0.5))),1)</f>
        <v>1</v>
      </c>
      <c r="K132" s="219" t="n">
        <f aca="false">IF(Calculator!$E$21="YES",IF(A132&lt;Calculator!$G$21,0,MIN(MIN(MOD(A132/Calculator!$F$21,1),1-MOD(A132/Calculator!$F$21,1)),ABS(MOD(A132/Calculator!$F$21,1)-0.5))),1)</f>
        <v>0.0429824561403507</v>
      </c>
      <c r="L132" s="219" t="n">
        <f aca="false">IF(Calculator!$E$22="YES",IF(A132&lt;Calculator!$G$22,0,MIN(MIN(MOD(A132/Calculator!$F$22,1),1-MOD(A132/Calculator!$F$22,1)),ABS(MOD(A132/Calculator!$F$22,1)-0.5))),1)</f>
        <v>1</v>
      </c>
      <c r="M132" s="219" t="n">
        <f aca="false">MIN(B132:L132)</f>
        <v>0.0429824561403507</v>
      </c>
      <c r="N132" s="219" t="n">
        <f aca="false">SUMPRODUCT(($M$7:$M$557&gt;M132)*1)+SUMPRODUCT(($M$7:$M$557=M132)*(ROW($M$7:$M$557)&lt;ROW(M132)))+1</f>
        <v>313</v>
      </c>
      <c r="O132" s="219" t="str">
        <f aca="false">IF(M132&gt;=0.2,"★★★ EXCELLENT",IF(M132&gt;=0.12,"★★  GOOD",IF(M132&gt;=0.07,"★  FAIR",IF(M132&gt;=0.025,"⚠  MARGINAL","✗  AVOID"))))</f>
        <v>⚠  MARGINAL</v>
      </c>
    </row>
    <row r="133" customFormat="false" ht="15" hidden="false" customHeight="true" outlineLevel="0" collapsed="false">
      <c r="A133" s="216" t="n">
        <v>17.6</v>
      </c>
      <c r="B133" s="217" t="n">
        <f aca="false">IF(Calculator!$E$12="YES",IF(A133&lt;Calculator!$G$12,0,MIN(MIN(MOD(A133/Calculator!$F$12,1),1-MOD(A133/Calculator!$F$12,1)),ABS(MOD(A133/Calculator!$F$12,1)-0.5))),1)</f>
        <v>1</v>
      </c>
      <c r="C133" s="217" t="n">
        <f aca="false">IF(Calculator!$E$13="YES",IF(A133&lt;Calculator!$G$13,0,MIN(MIN(MOD(A133/Calculator!$F$13,1),1-MOD(A133/Calculator!$F$13,1)),ABS(MOD(A133/Calculator!$F$13,1)-0.5))),1)</f>
        <v>1</v>
      </c>
      <c r="D133" s="217" t="n">
        <f aca="false">IF(Calculator!$E$14="YES",IF(A133&lt;Calculator!$G$14,0,MIN(MIN(MOD(A133/Calculator!$F$14,1),1-MOD(A133/Calculator!$F$14,1)),ABS(MOD(A133/Calculator!$F$14,1)-0.5))),1)</f>
        <v>1</v>
      </c>
      <c r="E133" s="217" t="n">
        <f aca="false">IF(Calculator!$E$15="YES",IF(A133&lt;Calculator!$G$15,0,MIN(MIN(MOD(A133/Calculator!$F$15,1),1-MOD(A133/Calculator!$F$15,1)),ABS(MOD(A133/Calculator!$F$15,1)-0.5))),1)</f>
        <v>0.116912280701754</v>
      </c>
      <c r="F133" s="217" t="n">
        <f aca="false">IF(Calculator!$E$16="YES",IF(A133&lt;Calculator!$G$16,0,MIN(MIN(MOD(A133/Calculator!$F$16,1),1-MOD(A133/Calculator!$F$16,1)),ABS(MOD(A133/Calculator!$F$16,1)-0.5))),1)</f>
        <v>1</v>
      </c>
      <c r="G133" s="217" t="n">
        <f aca="false">IF(Calculator!$E$17="YES",IF(A133&lt;Calculator!$G$17,0,MIN(MIN(MOD(A133/Calculator!$F$17,1),1-MOD(A133/Calculator!$F$17,1)),ABS(MOD(A133/Calculator!$F$17,1)-0.5))),1)</f>
        <v>0.249263157894737</v>
      </c>
      <c r="H133" s="217" t="n">
        <f aca="false">IF(Calculator!$E$18="YES",IF(A133&lt;Calculator!$G$18,0,MIN(MIN(MOD(A133/Calculator!$F$18,1),1-MOD(A133/Calculator!$F$18,1)),ABS(MOD(A133/Calculator!$F$18,1)-0.5))),1)</f>
        <v>1</v>
      </c>
      <c r="I133" s="217" t="n">
        <f aca="false">IF(Calculator!$E$19="YES",IF(A133&lt;Calculator!$G$19,0,MIN(MIN(MOD(A133/Calculator!$F$19,1),1-MOD(A133/Calculator!$F$19,1)),ABS(MOD(A133/Calculator!$F$19,1)-0.5))),1)</f>
        <v>1</v>
      </c>
      <c r="J133" s="217" t="n">
        <f aca="false">IF(Calculator!$E$20="YES",IF(A133&lt;Calculator!$G$20,0,MIN(MIN(MOD(A133/Calculator!$F$20,1),1-MOD(A133/Calculator!$F$20,1)),ABS(MOD(A133/Calculator!$F$20,1)-0.5))),1)</f>
        <v>1</v>
      </c>
      <c r="K133" s="217" t="n">
        <f aca="false">IF(Calculator!$E$21="YES",IF(A133&lt;Calculator!$G$21,0,MIN(MIN(MOD(A133/Calculator!$F$21,1),1-MOD(A133/Calculator!$F$21,1)),ABS(MOD(A133/Calculator!$F$21,1)-0.5))),1)</f>
        <v>0.0632280701754389</v>
      </c>
      <c r="L133" s="217" t="n">
        <f aca="false">IF(Calculator!$E$22="YES",IF(A133&lt;Calculator!$G$22,0,MIN(MIN(MOD(A133/Calculator!$F$22,1),1-MOD(A133/Calculator!$F$22,1)),ABS(MOD(A133/Calculator!$F$22,1)-0.5))),1)</f>
        <v>1</v>
      </c>
      <c r="M133" s="217" t="n">
        <f aca="false">MIN(B133:L133)</f>
        <v>0.0632280701754389</v>
      </c>
      <c r="N133" s="217" t="n">
        <f aca="false">SUMPRODUCT(($M$7:$M$557&gt;M133)*1)+SUMPRODUCT(($M$7:$M$557=M133)*(ROW($M$7:$M$557)&lt;ROW(M133)))+1</f>
        <v>231</v>
      </c>
      <c r="O133" s="217" t="str">
        <f aca="false">IF(M133&gt;=0.2,"★★★ EXCELLENT",IF(M133&gt;=0.12,"★★  GOOD",IF(M133&gt;=0.07,"★  FAIR",IF(M133&gt;=0.025,"⚠  MARGINAL","✗  AVOID"))))</f>
        <v>⚠  MARGINAL</v>
      </c>
    </row>
    <row r="134" customFormat="false" ht="15" hidden="false" customHeight="true" outlineLevel="0" collapsed="false">
      <c r="A134" s="218" t="n">
        <v>17.7</v>
      </c>
      <c r="B134" s="219" t="n">
        <f aca="false">IF(Calculator!$E$12="YES",IF(A134&lt;Calculator!$G$12,0,MIN(MIN(MOD(A134/Calculator!$F$12,1),1-MOD(A134/Calculator!$F$12,1)),ABS(MOD(A134/Calculator!$F$12,1)-0.5))),1)</f>
        <v>1</v>
      </c>
      <c r="C134" s="219" t="n">
        <f aca="false">IF(Calculator!$E$13="YES",IF(A134&lt;Calculator!$G$13,0,MIN(MIN(MOD(A134/Calculator!$F$13,1),1-MOD(A134/Calculator!$F$13,1)),ABS(MOD(A134/Calculator!$F$13,1)-0.5))),1)</f>
        <v>1</v>
      </c>
      <c r="D134" s="219" t="n">
        <f aca="false">IF(Calculator!$E$14="YES",IF(A134&lt;Calculator!$G$14,0,MIN(MIN(MOD(A134/Calculator!$F$14,1),1-MOD(A134/Calculator!$F$14,1)),ABS(MOD(A134/Calculator!$F$14,1)-0.5))),1)</f>
        <v>1</v>
      </c>
      <c r="E134" s="219" t="n">
        <f aca="false">IF(Calculator!$E$15="YES",IF(A134&lt;Calculator!$G$15,0,MIN(MIN(MOD(A134/Calculator!$F$15,1),1-MOD(A134/Calculator!$F$15,1)),ABS(MOD(A134/Calculator!$F$15,1)-0.5))),1)</f>
        <v>0.111894736842105</v>
      </c>
      <c r="F134" s="219" t="n">
        <f aca="false">IF(Calculator!$E$16="YES",IF(A134&lt;Calculator!$G$16,0,MIN(MIN(MOD(A134/Calculator!$F$16,1),1-MOD(A134/Calculator!$F$16,1)),ABS(MOD(A134/Calculator!$F$16,1)-0.5))),1)</f>
        <v>1</v>
      </c>
      <c r="G134" s="219" t="n">
        <f aca="false">IF(Calculator!$E$17="YES",IF(A134&lt;Calculator!$G$17,0,MIN(MIN(MOD(A134/Calculator!$F$17,1),1-MOD(A134/Calculator!$F$17,1)),ABS(MOD(A134/Calculator!$F$17,1)-0.5))),1)</f>
        <v>0.239315789473684</v>
      </c>
      <c r="H134" s="219" t="n">
        <f aca="false">IF(Calculator!$E$18="YES",IF(A134&lt;Calculator!$G$18,0,MIN(MIN(MOD(A134/Calculator!$F$18,1),1-MOD(A134/Calculator!$F$18,1)),ABS(MOD(A134/Calculator!$F$18,1)-0.5))),1)</f>
        <v>1</v>
      </c>
      <c r="I134" s="219" t="n">
        <f aca="false">IF(Calculator!$E$19="YES",IF(A134&lt;Calculator!$G$19,0,MIN(MIN(MOD(A134/Calculator!$F$19,1),1-MOD(A134/Calculator!$F$19,1)),ABS(MOD(A134/Calculator!$F$19,1)-0.5))),1)</f>
        <v>1</v>
      </c>
      <c r="J134" s="219" t="n">
        <f aca="false">IF(Calculator!$E$20="YES",IF(A134&lt;Calculator!$G$20,0,MIN(MIN(MOD(A134/Calculator!$F$20,1),1-MOD(A134/Calculator!$F$20,1)),ABS(MOD(A134/Calculator!$F$20,1)-0.5))),1)</f>
        <v>1</v>
      </c>
      <c r="K134" s="219" t="n">
        <f aca="false">IF(Calculator!$E$21="YES",IF(A134&lt;Calculator!$G$21,0,MIN(MIN(MOD(A134/Calculator!$F$21,1),1-MOD(A134/Calculator!$F$21,1)),ABS(MOD(A134/Calculator!$F$21,1)-0.5))),1)</f>
        <v>0.0834736842105261</v>
      </c>
      <c r="L134" s="219" t="n">
        <f aca="false">IF(Calculator!$E$22="YES",IF(A134&lt;Calculator!$G$22,0,MIN(MIN(MOD(A134/Calculator!$F$22,1),1-MOD(A134/Calculator!$F$22,1)),ABS(MOD(A134/Calculator!$F$22,1)-0.5))),1)</f>
        <v>1</v>
      </c>
      <c r="M134" s="219" t="n">
        <f aca="false">MIN(B134:L134)</f>
        <v>0.0834736842105261</v>
      </c>
      <c r="N134" s="219" t="n">
        <f aca="false">SUMPRODUCT(($M$7:$M$557&gt;M134)*1)+SUMPRODUCT(($M$7:$M$557=M134)*(ROW($M$7:$M$557)&lt;ROW(M134)))+1</f>
        <v>155</v>
      </c>
      <c r="O134" s="219" t="str">
        <f aca="false">IF(M134&gt;=0.2,"★★★ EXCELLENT",IF(M134&gt;=0.12,"★★  GOOD",IF(M134&gt;=0.07,"★  FAIR",IF(M134&gt;=0.025,"⚠  MARGINAL","✗  AVOID"))))</f>
        <v>★  FAIR</v>
      </c>
    </row>
    <row r="135" customFormat="false" ht="15" hidden="false" customHeight="true" outlineLevel="0" collapsed="false">
      <c r="A135" s="216" t="n">
        <v>17.8</v>
      </c>
      <c r="B135" s="217" t="n">
        <f aca="false">IF(Calculator!$E$12="YES",IF(A135&lt;Calculator!$G$12,0,MIN(MIN(MOD(A135/Calculator!$F$12,1),1-MOD(A135/Calculator!$F$12,1)),ABS(MOD(A135/Calculator!$F$12,1)-0.5))),1)</f>
        <v>1</v>
      </c>
      <c r="C135" s="217" t="n">
        <f aca="false">IF(Calculator!$E$13="YES",IF(A135&lt;Calculator!$G$13,0,MIN(MIN(MOD(A135/Calculator!$F$13,1),1-MOD(A135/Calculator!$F$13,1)),ABS(MOD(A135/Calculator!$F$13,1)-0.5))),1)</f>
        <v>1</v>
      </c>
      <c r="D135" s="217" t="n">
        <f aca="false">IF(Calculator!$E$14="YES",IF(A135&lt;Calculator!$G$14,0,MIN(MIN(MOD(A135/Calculator!$F$14,1),1-MOD(A135/Calculator!$F$14,1)),ABS(MOD(A135/Calculator!$F$14,1)-0.5))),1)</f>
        <v>1</v>
      </c>
      <c r="E135" s="217" t="n">
        <f aca="false">IF(Calculator!$E$15="YES",IF(A135&lt;Calculator!$G$15,0,MIN(MIN(MOD(A135/Calculator!$F$15,1),1-MOD(A135/Calculator!$F$15,1)),ABS(MOD(A135/Calculator!$F$15,1)-0.5))),1)</f>
        <v>0.106877192982456</v>
      </c>
      <c r="F135" s="217" t="n">
        <f aca="false">IF(Calculator!$E$16="YES",IF(A135&lt;Calculator!$G$16,0,MIN(MIN(MOD(A135/Calculator!$F$16,1),1-MOD(A135/Calculator!$F$16,1)),ABS(MOD(A135/Calculator!$F$16,1)-0.5))),1)</f>
        <v>1</v>
      </c>
      <c r="G135" s="217" t="n">
        <f aca="false">IF(Calculator!$E$17="YES",IF(A135&lt;Calculator!$G$17,0,MIN(MIN(MOD(A135/Calculator!$F$17,1),1-MOD(A135/Calculator!$F$17,1)),ABS(MOD(A135/Calculator!$F$17,1)-0.5))),1)</f>
        <v>0.229368421052631</v>
      </c>
      <c r="H135" s="217" t="n">
        <f aca="false">IF(Calculator!$E$18="YES",IF(A135&lt;Calculator!$G$18,0,MIN(MIN(MOD(A135/Calculator!$F$18,1),1-MOD(A135/Calculator!$F$18,1)),ABS(MOD(A135/Calculator!$F$18,1)-0.5))),1)</f>
        <v>1</v>
      </c>
      <c r="I135" s="217" t="n">
        <f aca="false">IF(Calculator!$E$19="YES",IF(A135&lt;Calculator!$G$19,0,MIN(MIN(MOD(A135/Calculator!$F$19,1),1-MOD(A135/Calculator!$F$19,1)),ABS(MOD(A135/Calculator!$F$19,1)-0.5))),1)</f>
        <v>1</v>
      </c>
      <c r="J135" s="217" t="n">
        <f aca="false">IF(Calculator!$E$20="YES",IF(A135&lt;Calculator!$G$20,0,MIN(MIN(MOD(A135/Calculator!$F$20,1),1-MOD(A135/Calculator!$F$20,1)),ABS(MOD(A135/Calculator!$F$20,1)-0.5))),1)</f>
        <v>1</v>
      </c>
      <c r="K135" s="217" t="n">
        <f aca="false">IF(Calculator!$E$21="YES",IF(A135&lt;Calculator!$G$21,0,MIN(MIN(MOD(A135/Calculator!$F$21,1),1-MOD(A135/Calculator!$F$21,1)),ABS(MOD(A135/Calculator!$F$21,1)-0.5))),1)</f>
        <v>0.103719298245614</v>
      </c>
      <c r="L135" s="217" t="n">
        <f aca="false">IF(Calculator!$E$22="YES",IF(A135&lt;Calculator!$G$22,0,MIN(MIN(MOD(A135/Calculator!$F$22,1),1-MOD(A135/Calculator!$F$22,1)),ABS(MOD(A135/Calculator!$F$22,1)-0.5))),1)</f>
        <v>1</v>
      </c>
      <c r="M135" s="217" t="n">
        <f aca="false">MIN(B135:L135)</f>
        <v>0.103719298245614</v>
      </c>
      <c r="N135" s="217" t="n">
        <f aca="false">SUMPRODUCT(($M$7:$M$557&gt;M135)*1)+SUMPRODUCT(($M$7:$M$557=M135)*(ROW($M$7:$M$557)&lt;ROW(M135)))+1</f>
        <v>97</v>
      </c>
      <c r="O135" s="217" t="str">
        <f aca="false">IF(M135&gt;=0.2,"★★★ EXCELLENT",IF(M135&gt;=0.12,"★★  GOOD",IF(M135&gt;=0.07,"★  FAIR",IF(M135&gt;=0.025,"⚠  MARGINAL","✗  AVOID"))))</f>
        <v>★  FAIR</v>
      </c>
    </row>
    <row r="136" customFormat="false" ht="15" hidden="false" customHeight="true" outlineLevel="0" collapsed="false">
      <c r="A136" s="218" t="n">
        <v>17.9</v>
      </c>
      <c r="B136" s="219" t="n">
        <f aca="false">IF(Calculator!$E$12="YES",IF(A136&lt;Calculator!$G$12,0,MIN(MIN(MOD(A136/Calculator!$F$12,1),1-MOD(A136/Calculator!$F$12,1)),ABS(MOD(A136/Calculator!$F$12,1)-0.5))),1)</f>
        <v>1</v>
      </c>
      <c r="C136" s="219" t="n">
        <f aca="false">IF(Calculator!$E$13="YES",IF(A136&lt;Calculator!$G$13,0,MIN(MIN(MOD(A136/Calculator!$F$13,1),1-MOD(A136/Calculator!$F$13,1)),ABS(MOD(A136/Calculator!$F$13,1)-0.5))),1)</f>
        <v>1</v>
      </c>
      <c r="D136" s="219" t="n">
        <f aca="false">IF(Calculator!$E$14="YES",IF(A136&lt;Calculator!$G$14,0,MIN(MIN(MOD(A136/Calculator!$F$14,1),1-MOD(A136/Calculator!$F$14,1)),ABS(MOD(A136/Calculator!$F$14,1)-0.5))),1)</f>
        <v>1</v>
      </c>
      <c r="E136" s="219" t="n">
        <f aca="false">IF(Calculator!$E$15="YES",IF(A136&lt;Calculator!$G$15,0,MIN(MIN(MOD(A136/Calculator!$F$15,1),1-MOD(A136/Calculator!$F$15,1)),ABS(MOD(A136/Calculator!$F$15,1)-0.5))),1)</f>
        <v>0.101859649122807</v>
      </c>
      <c r="F136" s="219" t="n">
        <f aca="false">IF(Calculator!$E$16="YES",IF(A136&lt;Calculator!$G$16,0,MIN(MIN(MOD(A136/Calculator!$F$16,1),1-MOD(A136/Calculator!$F$16,1)),ABS(MOD(A136/Calculator!$F$16,1)-0.5))),1)</f>
        <v>1</v>
      </c>
      <c r="G136" s="219" t="n">
        <f aca="false">IF(Calculator!$E$17="YES",IF(A136&lt;Calculator!$G$17,0,MIN(MIN(MOD(A136/Calculator!$F$17,1),1-MOD(A136/Calculator!$F$17,1)),ABS(MOD(A136/Calculator!$F$17,1)-0.5))),1)</f>
        <v>0.219421052631579</v>
      </c>
      <c r="H136" s="219" t="n">
        <f aca="false">IF(Calculator!$E$18="YES",IF(A136&lt;Calculator!$G$18,0,MIN(MIN(MOD(A136/Calculator!$F$18,1),1-MOD(A136/Calculator!$F$18,1)),ABS(MOD(A136/Calculator!$F$18,1)-0.5))),1)</f>
        <v>1</v>
      </c>
      <c r="I136" s="219" t="n">
        <f aca="false">IF(Calculator!$E$19="YES",IF(A136&lt;Calculator!$G$19,0,MIN(MIN(MOD(A136/Calculator!$F$19,1),1-MOD(A136/Calculator!$F$19,1)),ABS(MOD(A136/Calculator!$F$19,1)-0.5))),1)</f>
        <v>1</v>
      </c>
      <c r="J136" s="219" t="n">
        <f aca="false">IF(Calculator!$E$20="YES",IF(A136&lt;Calculator!$G$20,0,MIN(MIN(MOD(A136/Calculator!$F$20,1),1-MOD(A136/Calculator!$F$20,1)),ABS(MOD(A136/Calculator!$F$20,1)-0.5))),1)</f>
        <v>1</v>
      </c>
      <c r="K136" s="219" t="n">
        <f aca="false">IF(Calculator!$E$21="YES",IF(A136&lt;Calculator!$G$21,0,MIN(MIN(MOD(A136/Calculator!$F$21,1),1-MOD(A136/Calculator!$F$21,1)),ABS(MOD(A136/Calculator!$F$21,1)-0.5))),1)</f>
        <v>0.123964912280702</v>
      </c>
      <c r="L136" s="219" t="n">
        <f aca="false">IF(Calculator!$E$22="YES",IF(A136&lt;Calculator!$G$22,0,MIN(MIN(MOD(A136/Calculator!$F$22,1),1-MOD(A136/Calculator!$F$22,1)),ABS(MOD(A136/Calculator!$F$22,1)-0.5))),1)</f>
        <v>1</v>
      </c>
      <c r="M136" s="219" t="n">
        <f aca="false">MIN(B136:L136)</f>
        <v>0.101859649122807</v>
      </c>
      <c r="N136" s="219" t="n">
        <f aca="false">SUMPRODUCT(($M$7:$M$557&gt;M136)*1)+SUMPRODUCT(($M$7:$M$557=M136)*(ROW($M$7:$M$557)&lt;ROW(M136)))+1</f>
        <v>100</v>
      </c>
      <c r="O136" s="219" t="str">
        <f aca="false">IF(M136&gt;=0.2,"★★★ EXCELLENT",IF(M136&gt;=0.12,"★★  GOOD",IF(M136&gt;=0.07,"★  FAIR",IF(M136&gt;=0.025,"⚠  MARGINAL","✗  AVOID"))))</f>
        <v>★  FAIR</v>
      </c>
    </row>
    <row r="137" customFormat="false" ht="15" hidden="false" customHeight="true" outlineLevel="0" collapsed="false">
      <c r="A137" s="216" t="n">
        <v>18</v>
      </c>
      <c r="B137" s="217" t="n">
        <f aca="false">IF(Calculator!$E$12="YES",IF(A137&lt;Calculator!$G$12,0,MIN(MIN(MOD(A137/Calculator!$F$12,1),1-MOD(A137/Calculator!$F$12,1)),ABS(MOD(A137/Calculator!$F$12,1)-0.5))),1)</f>
        <v>1</v>
      </c>
      <c r="C137" s="217" t="n">
        <f aca="false">IF(Calculator!$E$13="YES",IF(A137&lt;Calculator!$G$13,0,MIN(MIN(MOD(A137/Calculator!$F$13,1),1-MOD(A137/Calculator!$F$13,1)),ABS(MOD(A137/Calculator!$F$13,1)-0.5))),1)</f>
        <v>1</v>
      </c>
      <c r="D137" s="217" t="n">
        <f aca="false">IF(Calculator!$E$14="YES",IF(A137&lt;Calculator!$G$14,0,MIN(MIN(MOD(A137/Calculator!$F$14,1),1-MOD(A137/Calculator!$F$14,1)),ABS(MOD(A137/Calculator!$F$14,1)-0.5))),1)</f>
        <v>1</v>
      </c>
      <c r="E137" s="217" t="n">
        <f aca="false">IF(Calculator!$E$15="YES",IF(A137&lt;Calculator!$G$15,0,MIN(MIN(MOD(A137/Calculator!$F$15,1),1-MOD(A137/Calculator!$F$15,1)),ABS(MOD(A137/Calculator!$F$15,1)-0.5))),1)</f>
        <v>0.0968421052631578</v>
      </c>
      <c r="F137" s="217" t="n">
        <f aca="false">IF(Calculator!$E$16="YES",IF(A137&lt;Calculator!$G$16,0,MIN(MIN(MOD(A137/Calculator!$F$16,1),1-MOD(A137/Calculator!$F$16,1)),ABS(MOD(A137/Calculator!$F$16,1)-0.5))),1)</f>
        <v>1</v>
      </c>
      <c r="G137" s="217" t="n">
        <f aca="false">IF(Calculator!$E$17="YES",IF(A137&lt;Calculator!$G$17,0,MIN(MIN(MOD(A137/Calculator!$F$17,1),1-MOD(A137/Calculator!$F$17,1)),ABS(MOD(A137/Calculator!$F$17,1)-0.5))),1)</f>
        <v>0.209473684210526</v>
      </c>
      <c r="H137" s="217" t="n">
        <f aca="false">IF(Calculator!$E$18="YES",IF(A137&lt;Calculator!$G$18,0,MIN(MIN(MOD(A137/Calculator!$F$18,1),1-MOD(A137/Calculator!$F$18,1)),ABS(MOD(A137/Calculator!$F$18,1)-0.5))),1)</f>
        <v>1</v>
      </c>
      <c r="I137" s="217" t="n">
        <f aca="false">IF(Calculator!$E$19="YES",IF(A137&lt;Calculator!$G$19,0,MIN(MIN(MOD(A137/Calculator!$F$19,1),1-MOD(A137/Calculator!$F$19,1)),ABS(MOD(A137/Calculator!$F$19,1)-0.5))),1)</f>
        <v>1</v>
      </c>
      <c r="J137" s="217" t="n">
        <f aca="false">IF(Calculator!$E$20="YES",IF(A137&lt;Calculator!$G$20,0,MIN(MIN(MOD(A137/Calculator!$F$20,1),1-MOD(A137/Calculator!$F$20,1)),ABS(MOD(A137/Calculator!$F$20,1)-0.5))),1)</f>
        <v>1</v>
      </c>
      <c r="K137" s="217" t="n">
        <f aca="false">IF(Calculator!$E$21="YES",IF(A137&lt;Calculator!$G$21,0,MIN(MIN(MOD(A137/Calculator!$F$21,1),1-MOD(A137/Calculator!$F$21,1)),ABS(MOD(A137/Calculator!$F$21,1)-0.5))),1)</f>
        <v>0.144210526315789</v>
      </c>
      <c r="L137" s="217" t="n">
        <f aca="false">IF(Calculator!$E$22="YES",IF(A137&lt;Calculator!$G$22,0,MIN(MIN(MOD(A137/Calculator!$F$22,1),1-MOD(A137/Calculator!$F$22,1)),ABS(MOD(A137/Calculator!$F$22,1)-0.5))),1)</f>
        <v>1</v>
      </c>
      <c r="M137" s="217" t="n">
        <f aca="false">MIN(B137:L137)</f>
        <v>0.0968421052631578</v>
      </c>
      <c r="N137" s="217" t="n">
        <f aca="false">SUMPRODUCT(($M$7:$M$557&gt;M137)*1)+SUMPRODUCT(($M$7:$M$557=M137)*(ROW($M$7:$M$557)&lt;ROW(M137)))+1</f>
        <v>112</v>
      </c>
      <c r="O137" s="217" t="str">
        <f aca="false">IF(M137&gt;=0.2,"★★★ EXCELLENT",IF(M137&gt;=0.12,"★★  GOOD",IF(M137&gt;=0.07,"★  FAIR",IF(M137&gt;=0.025,"⚠  MARGINAL","✗  AVOID"))))</f>
        <v>★  FAIR</v>
      </c>
    </row>
    <row r="138" customFormat="false" ht="15" hidden="false" customHeight="true" outlineLevel="0" collapsed="false">
      <c r="A138" s="218" t="n">
        <v>18.1</v>
      </c>
      <c r="B138" s="219" t="n">
        <f aca="false">IF(Calculator!$E$12="YES",IF(A138&lt;Calculator!$G$12,0,MIN(MIN(MOD(A138/Calculator!$F$12,1),1-MOD(A138/Calculator!$F$12,1)),ABS(MOD(A138/Calculator!$F$12,1)-0.5))),1)</f>
        <v>1</v>
      </c>
      <c r="C138" s="219" t="n">
        <f aca="false">IF(Calculator!$E$13="YES",IF(A138&lt;Calculator!$G$13,0,MIN(MIN(MOD(A138/Calculator!$F$13,1),1-MOD(A138/Calculator!$F$13,1)),ABS(MOD(A138/Calculator!$F$13,1)-0.5))),1)</f>
        <v>1</v>
      </c>
      <c r="D138" s="219" t="n">
        <f aca="false">IF(Calculator!$E$14="YES",IF(A138&lt;Calculator!$G$14,0,MIN(MIN(MOD(A138/Calculator!$F$14,1),1-MOD(A138/Calculator!$F$14,1)),ABS(MOD(A138/Calculator!$F$14,1)-0.5))),1)</f>
        <v>1</v>
      </c>
      <c r="E138" s="219" t="n">
        <f aca="false">IF(Calculator!$E$15="YES",IF(A138&lt;Calculator!$G$15,0,MIN(MIN(MOD(A138/Calculator!$F$15,1),1-MOD(A138/Calculator!$F$15,1)),ABS(MOD(A138/Calculator!$F$15,1)-0.5))),1)</f>
        <v>0.0918245614035087</v>
      </c>
      <c r="F138" s="219" t="n">
        <f aca="false">IF(Calculator!$E$16="YES",IF(A138&lt;Calculator!$G$16,0,MIN(MIN(MOD(A138/Calculator!$F$16,1),1-MOD(A138/Calculator!$F$16,1)),ABS(MOD(A138/Calculator!$F$16,1)-0.5))),1)</f>
        <v>1</v>
      </c>
      <c r="G138" s="219" t="n">
        <f aca="false">IF(Calculator!$E$17="YES",IF(A138&lt;Calculator!$G$17,0,MIN(MIN(MOD(A138/Calculator!$F$17,1),1-MOD(A138/Calculator!$F$17,1)),ABS(MOD(A138/Calculator!$F$17,1)-0.5))),1)</f>
        <v>0.199526315789473</v>
      </c>
      <c r="H138" s="219" t="n">
        <f aca="false">IF(Calculator!$E$18="YES",IF(A138&lt;Calculator!$G$18,0,MIN(MIN(MOD(A138/Calculator!$F$18,1),1-MOD(A138/Calculator!$F$18,1)),ABS(MOD(A138/Calculator!$F$18,1)-0.5))),1)</f>
        <v>1</v>
      </c>
      <c r="I138" s="219" t="n">
        <f aca="false">IF(Calculator!$E$19="YES",IF(A138&lt;Calculator!$G$19,0,MIN(MIN(MOD(A138/Calculator!$F$19,1),1-MOD(A138/Calculator!$F$19,1)),ABS(MOD(A138/Calculator!$F$19,1)-0.5))),1)</f>
        <v>1</v>
      </c>
      <c r="J138" s="219" t="n">
        <f aca="false">IF(Calculator!$E$20="YES",IF(A138&lt;Calculator!$G$20,0,MIN(MIN(MOD(A138/Calculator!$F$20,1),1-MOD(A138/Calculator!$F$20,1)),ABS(MOD(A138/Calculator!$F$20,1)-0.5))),1)</f>
        <v>1</v>
      </c>
      <c r="K138" s="219" t="n">
        <f aca="false">IF(Calculator!$E$21="YES",IF(A138&lt;Calculator!$G$21,0,MIN(MIN(MOD(A138/Calculator!$F$21,1),1-MOD(A138/Calculator!$F$21,1)),ABS(MOD(A138/Calculator!$F$21,1)-0.5))),1)</f>
        <v>0.164456140350878</v>
      </c>
      <c r="L138" s="219" t="n">
        <f aca="false">IF(Calculator!$E$22="YES",IF(A138&lt;Calculator!$G$22,0,MIN(MIN(MOD(A138/Calculator!$F$22,1),1-MOD(A138/Calculator!$F$22,1)),ABS(MOD(A138/Calculator!$F$22,1)-0.5))),1)</f>
        <v>1</v>
      </c>
      <c r="M138" s="219" t="n">
        <f aca="false">MIN(B138:L138)</f>
        <v>0.0918245614035087</v>
      </c>
      <c r="N138" s="219" t="n">
        <f aca="false">SUMPRODUCT(($M$7:$M$557&gt;M138)*1)+SUMPRODUCT(($M$7:$M$557=M138)*(ROW($M$7:$M$557)&lt;ROW(M138)))+1</f>
        <v>127</v>
      </c>
      <c r="O138" s="219" t="str">
        <f aca="false">IF(M138&gt;=0.2,"★★★ EXCELLENT",IF(M138&gt;=0.12,"★★  GOOD",IF(M138&gt;=0.07,"★  FAIR",IF(M138&gt;=0.025,"⚠  MARGINAL","✗  AVOID"))))</f>
        <v>★  FAIR</v>
      </c>
    </row>
    <row r="139" customFormat="false" ht="15" hidden="false" customHeight="true" outlineLevel="0" collapsed="false">
      <c r="A139" s="216" t="n">
        <v>18.2</v>
      </c>
      <c r="B139" s="217" t="n">
        <f aca="false">IF(Calculator!$E$12="YES",IF(A139&lt;Calculator!$G$12,0,MIN(MIN(MOD(A139/Calculator!$F$12,1),1-MOD(A139/Calculator!$F$12,1)),ABS(MOD(A139/Calculator!$F$12,1)-0.5))),1)</f>
        <v>1</v>
      </c>
      <c r="C139" s="217" t="n">
        <f aca="false">IF(Calculator!$E$13="YES",IF(A139&lt;Calculator!$G$13,0,MIN(MIN(MOD(A139/Calculator!$F$13,1),1-MOD(A139/Calculator!$F$13,1)),ABS(MOD(A139/Calculator!$F$13,1)-0.5))),1)</f>
        <v>1</v>
      </c>
      <c r="D139" s="217" t="n">
        <f aca="false">IF(Calculator!$E$14="YES",IF(A139&lt;Calculator!$G$14,0,MIN(MIN(MOD(A139/Calculator!$F$14,1),1-MOD(A139/Calculator!$F$14,1)),ABS(MOD(A139/Calculator!$F$14,1)-0.5))),1)</f>
        <v>1</v>
      </c>
      <c r="E139" s="217" t="n">
        <f aca="false">IF(Calculator!$E$15="YES",IF(A139&lt;Calculator!$G$15,0,MIN(MIN(MOD(A139/Calculator!$F$15,1),1-MOD(A139/Calculator!$F$15,1)),ABS(MOD(A139/Calculator!$F$15,1)-0.5))),1)</f>
        <v>0.0868070175438597</v>
      </c>
      <c r="F139" s="217" t="n">
        <f aca="false">IF(Calculator!$E$16="YES",IF(A139&lt;Calculator!$G$16,0,MIN(MIN(MOD(A139/Calculator!$F$16,1),1-MOD(A139/Calculator!$F$16,1)),ABS(MOD(A139/Calculator!$F$16,1)-0.5))),1)</f>
        <v>1</v>
      </c>
      <c r="G139" s="217" t="n">
        <f aca="false">IF(Calculator!$E$17="YES",IF(A139&lt;Calculator!$G$17,0,MIN(MIN(MOD(A139/Calculator!$F$17,1),1-MOD(A139/Calculator!$F$17,1)),ABS(MOD(A139/Calculator!$F$17,1)-0.5))),1)</f>
        <v>0.189578947368421</v>
      </c>
      <c r="H139" s="217" t="n">
        <f aca="false">IF(Calculator!$E$18="YES",IF(A139&lt;Calculator!$G$18,0,MIN(MIN(MOD(A139/Calculator!$F$18,1),1-MOD(A139/Calculator!$F$18,1)),ABS(MOD(A139/Calculator!$F$18,1)-0.5))),1)</f>
        <v>1</v>
      </c>
      <c r="I139" s="217" t="n">
        <f aca="false">IF(Calculator!$E$19="YES",IF(A139&lt;Calculator!$G$19,0,MIN(MIN(MOD(A139/Calculator!$F$19,1),1-MOD(A139/Calculator!$F$19,1)),ABS(MOD(A139/Calculator!$F$19,1)-0.5))),1)</f>
        <v>1</v>
      </c>
      <c r="J139" s="217" t="n">
        <f aca="false">IF(Calculator!$E$20="YES",IF(A139&lt;Calculator!$G$20,0,MIN(MIN(MOD(A139/Calculator!$F$20,1),1-MOD(A139/Calculator!$F$20,1)),ABS(MOD(A139/Calculator!$F$20,1)-0.5))),1)</f>
        <v>1</v>
      </c>
      <c r="K139" s="217" t="n">
        <f aca="false">IF(Calculator!$E$21="YES",IF(A139&lt;Calculator!$G$21,0,MIN(MIN(MOD(A139/Calculator!$F$21,1),1-MOD(A139/Calculator!$F$21,1)),ABS(MOD(A139/Calculator!$F$21,1)-0.5))),1)</f>
        <v>0.184701754385965</v>
      </c>
      <c r="L139" s="217" t="n">
        <f aca="false">IF(Calculator!$E$22="YES",IF(A139&lt;Calculator!$G$22,0,MIN(MIN(MOD(A139/Calculator!$F$22,1),1-MOD(A139/Calculator!$F$22,1)),ABS(MOD(A139/Calculator!$F$22,1)-0.5))),1)</f>
        <v>1</v>
      </c>
      <c r="M139" s="217" t="n">
        <f aca="false">MIN(B139:L139)</f>
        <v>0.0868070175438597</v>
      </c>
      <c r="N139" s="217" t="n">
        <f aca="false">SUMPRODUCT(($M$7:$M$557&gt;M139)*1)+SUMPRODUCT(($M$7:$M$557=M139)*(ROW($M$7:$M$557)&lt;ROW(M139)))+1</f>
        <v>144</v>
      </c>
      <c r="O139" s="217" t="str">
        <f aca="false">IF(M139&gt;=0.2,"★★★ EXCELLENT",IF(M139&gt;=0.12,"★★  GOOD",IF(M139&gt;=0.07,"★  FAIR",IF(M139&gt;=0.025,"⚠  MARGINAL","✗  AVOID"))))</f>
        <v>★  FAIR</v>
      </c>
    </row>
    <row r="140" customFormat="false" ht="15" hidden="false" customHeight="true" outlineLevel="0" collapsed="false">
      <c r="A140" s="218" t="n">
        <v>18.3</v>
      </c>
      <c r="B140" s="219" t="n">
        <f aca="false">IF(Calculator!$E$12="YES",IF(A140&lt;Calculator!$G$12,0,MIN(MIN(MOD(A140/Calculator!$F$12,1),1-MOD(A140/Calculator!$F$12,1)),ABS(MOD(A140/Calculator!$F$12,1)-0.5))),1)</f>
        <v>1</v>
      </c>
      <c r="C140" s="219" t="n">
        <f aca="false">IF(Calculator!$E$13="YES",IF(A140&lt;Calculator!$G$13,0,MIN(MIN(MOD(A140/Calculator!$F$13,1),1-MOD(A140/Calculator!$F$13,1)),ABS(MOD(A140/Calculator!$F$13,1)-0.5))),1)</f>
        <v>1</v>
      </c>
      <c r="D140" s="219" t="n">
        <f aca="false">IF(Calculator!$E$14="YES",IF(A140&lt;Calculator!$G$14,0,MIN(MIN(MOD(A140/Calculator!$F$14,1),1-MOD(A140/Calculator!$F$14,1)),ABS(MOD(A140/Calculator!$F$14,1)-0.5))),1)</f>
        <v>1</v>
      </c>
      <c r="E140" s="219" t="n">
        <f aca="false">IF(Calculator!$E$15="YES",IF(A140&lt;Calculator!$G$15,0,MIN(MIN(MOD(A140/Calculator!$F$15,1),1-MOD(A140/Calculator!$F$15,1)),ABS(MOD(A140/Calculator!$F$15,1)-0.5))),1)</f>
        <v>0.0817894736842105</v>
      </c>
      <c r="F140" s="219" t="n">
        <f aca="false">IF(Calculator!$E$16="YES",IF(A140&lt;Calculator!$G$16,0,MIN(MIN(MOD(A140/Calculator!$F$16,1),1-MOD(A140/Calculator!$F$16,1)),ABS(MOD(A140/Calculator!$F$16,1)-0.5))),1)</f>
        <v>1</v>
      </c>
      <c r="G140" s="219" t="n">
        <f aca="false">IF(Calculator!$E$17="YES",IF(A140&lt;Calculator!$G$17,0,MIN(MIN(MOD(A140/Calculator!$F$17,1),1-MOD(A140/Calculator!$F$17,1)),ABS(MOD(A140/Calculator!$F$17,1)-0.5))),1)</f>
        <v>0.179631578947368</v>
      </c>
      <c r="H140" s="219" t="n">
        <f aca="false">IF(Calculator!$E$18="YES",IF(A140&lt;Calculator!$G$18,0,MIN(MIN(MOD(A140/Calculator!$F$18,1),1-MOD(A140/Calculator!$F$18,1)),ABS(MOD(A140/Calculator!$F$18,1)-0.5))),1)</f>
        <v>1</v>
      </c>
      <c r="I140" s="219" t="n">
        <f aca="false">IF(Calculator!$E$19="YES",IF(A140&lt;Calculator!$G$19,0,MIN(MIN(MOD(A140/Calculator!$F$19,1),1-MOD(A140/Calculator!$F$19,1)),ABS(MOD(A140/Calculator!$F$19,1)-0.5))),1)</f>
        <v>1</v>
      </c>
      <c r="J140" s="219" t="n">
        <f aca="false">IF(Calculator!$E$20="YES",IF(A140&lt;Calculator!$G$20,0,MIN(MIN(MOD(A140/Calculator!$F$20,1),1-MOD(A140/Calculator!$F$20,1)),ABS(MOD(A140/Calculator!$F$20,1)-0.5))),1)</f>
        <v>1</v>
      </c>
      <c r="K140" s="219" t="n">
        <f aca="false">IF(Calculator!$E$21="YES",IF(A140&lt;Calculator!$G$21,0,MIN(MIN(MOD(A140/Calculator!$F$21,1),1-MOD(A140/Calculator!$F$21,1)),ABS(MOD(A140/Calculator!$F$21,1)-0.5))),1)</f>
        <v>0.204947368421053</v>
      </c>
      <c r="L140" s="219" t="n">
        <f aca="false">IF(Calculator!$E$22="YES",IF(A140&lt;Calculator!$G$22,0,MIN(MIN(MOD(A140/Calculator!$F$22,1),1-MOD(A140/Calculator!$F$22,1)),ABS(MOD(A140/Calculator!$F$22,1)-0.5))),1)</f>
        <v>1</v>
      </c>
      <c r="M140" s="219" t="n">
        <f aca="false">MIN(B140:L140)</f>
        <v>0.0817894736842105</v>
      </c>
      <c r="N140" s="219" t="n">
        <f aca="false">SUMPRODUCT(($M$7:$M$557&gt;M140)*1)+SUMPRODUCT(($M$7:$M$557=M140)*(ROW($M$7:$M$557)&lt;ROW(M140)))+1</f>
        <v>160</v>
      </c>
      <c r="O140" s="219" t="str">
        <f aca="false">IF(M140&gt;=0.2,"★★★ EXCELLENT",IF(M140&gt;=0.12,"★★  GOOD",IF(M140&gt;=0.07,"★  FAIR",IF(M140&gt;=0.025,"⚠  MARGINAL","✗  AVOID"))))</f>
        <v>★  FAIR</v>
      </c>
    </row>
    <row r="141" customFormat="false" ht="15" hidden="false" customHeight="true" outlineLevel="0" collapsed="false">
      <c r="A141" s="216" t="n">
        <v>18.4</v>
      </c>
      <c r="B141" s="217" t="n">
        <f aca="false">IF(Calculator!$E$12="YES",IF(A141&lt;Calculator!$G$12,0,MIN(MIN(MOD(A141/Calculator!$F$12,1),1-MOD(A141/Calculator!$F$12,1)),ABS(MOD(A141/Calculator!$F$12,1)-0.5))),1)</f>
        <v>1</v>
      </c>
      <c r="C141" s="217" t="n">
        <f aca="false">IF(Calculator!$E$13="YES",IF(A141&lt;Calculator!$G$13,0,MIN(MIN(MOD(A141/Calculator!$F$13,1),1-MOD(A141/Calculator!$F$13,1)),ABS(MOD(A141/Calculator!$F$13,1)-0.5))),1)</f>
        <v>1</v>
      </c>
      <c r="D141" s="217" t="n">
        <f aca="false">IF(Calculator!$E$14="YES",IF(A141&lt;Calculator!$G$14,0,MIN(MIN(MOD(A141/Calculator!$F$14,1),1-MOD(A141/Calculator!$F$14,1)),ABS(MOD(A141/Calculator!$F$14,1)-0.5))),1)</f>
        <v>1</v>
      </c>
      <c r="E141" s="217" t="n">
        <f aca="false">IF(Calculator!$E$15="YES",IF(A141&lt;Calculator!$G$15,0,MIN(MIN(MOD(A141/Calculator!$F$15,1),1-MOD(A141/Calculator!$F$15,1)),ABS(MOD(A141/Calculator!$F$15,1)-0.5))),1)</f>
        <v>0.0767719298245615</v>
      </c>
      <c r="F141" s="217" t="n">
        <f aca="false">IF(Calculator!$E$16="YES",IF(A141&lt;Calculator!$G$16,0,MIN(MIN(MOD(A141/Calculator!$F$16,1),1-MOD(A141/Calculator!$F$16,1)),ABS(MOD(A141/Calculator!$F$16,1)-0.5))),1)</f>
        <v>1</v>
      </c>
      <c r="G141" s="217" t="n">
        <f aca="false">IF(Calculator!$E$17="YES",IF(A141&lt;Calculator!$G$17,0,MIN(MIN(MOD(A141/Calculator!$F$17,1),1-MOD(A141/Calculator!$F$17,1)),ABS(MOD(A141/Calculator!$F$17,1)-0.5))),1)</f>
        <v>0.169684210526316</v>
      </c>
      <c r="H141" s="217" t="n">
        <f aca="false">IF(Calculator!$E$18="YES",IF(A141&lt;Calculator!$G$18,0,MIN(MIN(MOD(A141/Calculator!$F$18,1),1-MOD(A141/Calculator!$F$18,1)),ABS(MOD(A141/Calculator!$F$18,1)-0.5))),1)</f>
        <v>1</v>
      </c>
      <c r="I141" s="217" t="n">
        <f aca="false">IF(Calculator!$E$19="YES",IF(A141&lt;Calculator!$G$19,0,MIN(MIN(MOD(A141/Calculator!$F$19,1),1-MOD(A141/Calculator!$F$19,1)),ABS(MOD(A141/Calculator!$F$19,1)-0.5))),1)</f>
        <v>1</v>
      </c>
      <c r="J141" s="217" t="n">
        <f aca="false">IF(Calculator!$E$20="YES",IF(A141&lt;Calculator!$G$20,0,MIN(MIN(MOD(A141/Calculator!$F$20,1),1-MOD(A141/Calculator!$F$20,1)),ABS(MOD(A141/Calculator!$F$20,1)-0.5))),1)</f>
        <v>1</v>
      </c>
      <c r="K141" s="217" t="n">
        <f aca="false">IF(Calculator!$E$21="YES",IF(A141&lt;Calculator!$G$21,0,MIN(MIN(MOD(A141/Calculator!$F$21,1),1-MOD(A141/Calculator!$F$21,1)),ABS(MOD(A141/Calculator!$F$21,1)-0.5))),1)</f>
        <v>0.22519298245614</v>
      </c>
      <c r="L141" s="217" t="n">
        <f aca="false">IF(Calculator!$E$22="YES",IF(A141&lt;Calculator!$G$22,0,MIN(MIN(MOD(A141/Calculator!$F$22,1),1-MOD(A141/Calculator!$F$22,1)),ABS(MOD(A141/Calculator!$F$22,1)-0.5))),1)</f>
        <v>1</v>
      </c>
      <c r="M141" s="217" t="n">
        <f aca="false">MIN(B141:L141)</f>
        <v>0.0767719298245615</v>
      </c>
      <c r="N141" s="217" t="n">
        <f aca="false">SUMPRODUCT(($M$7:$M$557&gt;M141)*1)+SUMPRODUCT(($M$7:$M$557=M141)*(ROW($M$7:$M$557)&lt;ROW(M141)))+1</f>
        <v>180</v>
      </c>
      <c r="O141" s="217" t="str">
        <f aca="false">IF(M141&gt;=0.2,"★★★ EXCELLENT",IF(M141&gt;=0.12,"★★  GOOD",IF(M141&gt;=0.07,"★  FAIR",IF(M141&gt;=0.025,"⚠  MARGINAL","✗  AVOID"))))</f>
        <v>★  FAIR</v>
      </c>
    </row>
    <row r="142" customFormat="false" ht="15" hidden="false" customHeight="true" outlineLevel="0" collapsed="false">
      <c r="A142" s="218" t="n">
        <v>18.5</v>
      </c>
      <c r="B142" s="219" t="n">
        <f aca="false">IF(Calculator!$E$12="YES",IF(A142&lt;Calculator!$G$12,0,MIN(MIN(MOD(A142/Calculator!$F$12,1),1-MOD(A142/Calculator!$F$12,1)),ABS(MOD(A142/Calculator!$F$12,1)-0.5))),1)</f>
        <v>1</v>
      </c>
      <c r="C142" s="219" t="n">
        <f aca="false">IF(Calculator!$E$13="YES",IF(A142&lt;Calculator!$G$13,0,MIN(MIN(MOD(A142/Calculator!$F$13,1),1-MOD(A142/Calculator!$F$13,1)),ABS(MOD(A142/Calculator!$F$13,1)-0.5))),1)</f>
        <v>1</v>
      </c>
      <c r="D142" s="219" t="n">
        <f aca="false">IF(Calculator!$E$14="YES",IF(A142&lt;Calculator!$G$14,0,MIN(MIN(MOD(A142/Calculator!$F$14,1),1-MOD(A142/Calculator!$F$14,1)),ABS(MOD(A142/Calculator!$F$14,1)-0.5))),1)</f>
        <v>1</v>
      </c>
      <c r="E142" s="219" t="n">
        <f aca="false">IF(Calculator!$E$15="YES",IF(A142&lt;Calculator!$G$15,0,MIN(MIN(MOD(A142/Calculator!$F$15,1),1-MOD(A142/Calculator!$F$15,1)),ABS(MOD(A142/Calculator!$F$15,1)-0.5))),1)</f>
        <v>0.0717543859649122</v>
      </c>
      <c r="F142" s="219" t="n">
        <f aca="false">IF(Calculator!$E$16="YES",IF(A142&lt;Calculator!$G$16,0,MIN(MIN(MOD(A142/Calculator!$F$16,1),1-MOD(A142/Calculator!$F$16,1)),ABS(MOD(A142/Calculator!$F$16,1)-0.5))),1)</f>
        <v>1</v>
      </c>
      <c r="G142" s="219" t="n">
        <f aca="false">IF(Calculator!$E$17="YES",IF(A142&lt;Calculator!$G$17,0,MIN(MIN(MOD(A142/Calculator!$F$17,1),1-MOD(A142/Calculator!$F$17,1)),ABS(MOD(A142/Calculator!$F$17,1)-0.5))),1)</f>
        <v>0.159736842105263</v>
      </c>
      <c r="H142" s="219" t="n">
        <f aca="false">IF(Calculator!$E$18="YES",IF(A142&lt;Calculator!$G$18,0,MIN(MIN(MOD(A142/Calculator!$F$18,1),1-MOD(A142/Calculator!$F$18,1)),ABS(MOD(A142/Calculator!$F$18,1)-0.5))),1)</f>
        <v>1</v>
      </c>
      <c r="I142" s="219" t="n">
        <f aca="false">IF(Calculator!$E$19="YES",IF(A142&lt;Calculator!$G$19,0,MIN(MIN(MOD(A142/Calculator!$F$19,1),1-MOD(A142/Calculator!$F$19,1)),ABS(MOD(A142/Calculator!$F$19,1)-0.5))),1)</f>
        <v>1</v>
      </c>
      <c r="J142" s="219" t="n">
        <f aca="false">IF(Calculator!$E$20="YES",IF(A142&lt;Calculator!$G$20,0,MIN(MIN(MOD(A142/Calculator!$F$20,1),1-MOD(A142/Calculator!$F$20,1)),ABS(MOD(A142/Calculator!$F$20,1)-0.5))),1)</f>
        <v>1</v>
      </c>
      <c r="K142" s="219" t="n">
        <f aca="false">IF(Calculator!$E$21="YES",IF(A142&lt;Calculator!$G$21,0,MIN(MIN(MOD(A142/Calculator!$F$21,1),1-MOD(A142/Calculator!$F$21,1)),ABS(MOD(A142/Calculator!$F$21,1)-0.5))),1)</f>
        <v>0.245438596491228</v>
      </c>
      <c r="L142" s="219" t="n">
        <f aca="false">IF(Calculator!$E$22="YES",IF(A142&lt;Calculator!$G$22,0,MIN(MIN(MOD(A142/Calculator!$F$22,1),1-MOD(A142/Calculator!$F$22,1)),ABS(MOD(A142/Calculator!$F$22,1)-0.5))),1)</f>
        <v>1</v>
      </c>
      <c r="M142" s="219" t="n">
        <f aca="false">MIN(B142:L142)</f>
        <v>0.0717543859649122</v>
      </c>
      <c r="N142" s="219" t="n">
        <f aca="false">SUMPRODUCT(($M$7:$M$557&gt;M142)*1)+SUMPRODUCT(($M$7:$M$557=M142)*(ROW($M$7:$M$557)&lt;ROW(M142)))+1</f>
        <v>198</v>
      </c>
      <c r="O142" s="219" t="str">
        <f aca="false">IF(M142&gt;=0.2,"★★★ EXCELLENT",IF(M142&gt;=0.12,"★★  GOOD",IF(M142&gt;=0.07,"★  FAIR",IF(M142&gt;=0.025,"⚠  MARGINAL","✗  AVOID"))))</f>
        <v>★  FAIR</v>
      </c>
    </row>
    <row r="143" customFormat="false" ht="15" hidden="false" customHeight="true" outlineLevel="0" collapsed="false">
      <c r="A143" s="216" t="n">
        <v>18.6</v>
      </c>
      <c r="B143" s="217" t="n">
        <f aca="false">IF(Calculator!$E$12="YES",IF(A143&lt;Calculator!$G$12,0,MIN(MIN(MOD(A143/Calculator!$F$12,1),1-MOD(A143/Calculator!$F$12,1)),ABS(MOD(A143/Calculator!$F$12,1)-0.5))),1)</f>
        <v>1</v>
      </c>
      <c r="C143" s="217" t="n">
        <f aca="false">IF(Calculator!$E$13="YES",IF(A143&lt;Calculator!$G$13,0,MIN(MIN(MOD(A143/Calculator!$F$13,1),1-MOD(A143/Calculator!$F$13,1)),ABS(MOD(A143/Calculator!$F$13,1)-0.5))),1)</f>
        <v>1</v>
      </c>
      <c r="D143" s="217" t="n">
        <f aca="false">IF(Calculator!$E$14="YES",IF(A143&lt;Calculator!$G$14,0,MIN(MIN(MOD(A143/Calculator!$F$14,1),1-MOD(A143/Calculator!$F$14,1)),ABS(MOD(A143/Calculator!$F$14,1)-0.5))),1)</f>
        <v>1</v>
      </c>
      <c r="E143" s="217" t="n">
        <f aca="false">IF(Calculator!$E$15="YES",IF(A143&lt;Calculator!$G$15,0,MIN(MIN(MOD(A143/Calculator!$F$15,1),1-MOD(A143/Calculator!$F$15,1)),ABS(MOD(A143/Calculator!$F$15,1)-0.5))),1)</f>
        <v>0.0667368421052631</v>
      </c>
      <c r="F143" s="217" t="n">
        <f aca="false">IF(Calculator!$E$16="YES",IF(A143&lt;Calculator!$G$16,0,MIN(MIN(MOD(A143/Calculator!$F$16,1),1-MOD(A143/Calculator!$F$16,1)),ABS(MOD(A143/Calculator!$F$16,1)-0.5))),1)</f>
        <v>1</v>
      </c>
      <c r="G143" s="217" t="n">
        <f aca="false">IF(Calculator!$E$17="YES",IF(A143&lt;Calculator!$G$17,0,MIN(MIN(MOD(A143/Calculator!$F$17,1),1-MOD(A143/Calculator!$F$17,1)),ABS(MOD(A143/Calculator!$F$17,1)-0.5))),1)</f>
        <v>0.14978947368421</v>
      </c>
      <c r="H143" s="217" t="n">
        <f aca="false">IF(Calculator!$E$18="YES",IF(A143&lt;Calculator!$G$18,0,MIN(MIN(MOD(A143/Calculator!$F$18,1),1-MOD(A143/Calculator!$F$18,1)),ABS(MOD(A143/Calculator!$F$18,1)-0.5))),1)</f>
        <v>1</v>
      </c>
      <c r="I143" s="217" t="n">
        <f aca="false">IF(Calculator!$E$19="YES",IF(A143&lt;Calculator!$G$19,0,MIN(MIN(MOD(A143/Calculator!$F$19,1),1-MOD(A143/Calculator!$F$19,1)),ABS(MOD(A143/Calculator!$F$19,1)-0.5))),1)</f>
        <v>1</v>
      </c>
      <c r="J143" s="217" t="n">
        <f aca="false">IF(Calculator!$E$20="YES",IF(A143&lt;Calculator!$G$20,0,MIN(MIN(MOD(A143/Calculator!$F$20,1),1-MOD(A143/Calculator!$F$20,1)),ABS(MOD(A143/Calculator!$F$20,1)-0.5))),1)</f>
        <v>1</v>
      </c>
      <c r="K143" s="217" t="n">
        <f aca="false">IF(Calculator!$E$21="YES",IF(A143&lt;Calculator!$G$21,0,MIN(MIN(MOD(A143/Calculator!$F$21,1),1-MOD(A143/Calculator!$F$21,1)),ABS(MOD(A143/Calculator!$F$21,1)-0.5))),1)</f>
        <v>0.234315789473684</v>
      </c>
      <c r="L143" s="217" t="n">
        <f aca="false">IF(Calculator!$E$22="YES",IF(A143&lt;Calculator!$G$22,0,MIN(MIN(MOD(A143/Calculator!$F$22,1),1-MOD(A143/Calculator!$F$22,1)),ABS(MOD(A143/Calculator!$F$22,1)-0.5))),1)</f>
        <v>1</v>
      </c>
      <c r="M143" s="217" t="n">
        <f aca="false">MIN(B143:L143)</f>
        <v>0.0667368421052631</v>
      </c>
      <c r="N143" s="217" t="n">
        <f aca="false">SUMPRODUCT(($M$7:$M$557&gt;M143)*1)+SUMPRODUCT(($M$7:$M$557=M143)*(ROW($M$7:$M$557)&lt;ROW(M143)))+1</f>
        <v>219</v>
      </c>
      <c r="O143" s="217" t="str">
        <f aca="false">IF(M143&gt;=0.2,"★★★ EXCELLENT",IF(M143&gt;=0.12,"★★  GOOD",IF(M143&gt;=0.07,"★  FAIR",IF(M143&gt;=0.025,"⚠  MARGINAL","✗  AVOID"))))</f>
        <v>⚠  MARGINAL</v>
      </c>
    </row>
    <row r="144" customFormat="false" ht="15" hidden="false" customHeight="true" outlineLevel="0" collapsed="false">
      <c r="A144" s="218" t="n">
        <v>18.7</v>
      </c>
      <c r="B144" s="219" t="n">
        <f aca="false">IF(Calculator!$E$12="YES",IF(A144&lt;Calculator!$G$12,0,MIN(MIN(MOD(A144/Calculator!$F$12,1),1-MOD(A144/Calculator!$F$12,1)),ABS(MOD(A144/Calculator!$F$12,1)-0.5))),1)</f>
        <v>1</v>
      </c>
      <c r="C144" s="219" t="n">
        <f aca="false">IF(Calculator!$E$13="YES",IF(A144&lt;Calculator!$G$13,0,MIN(MIN(MOD(A144/Calculator!$F$13,1),1-MOD(A144/Calculator!$F$13,1)),ABS(MOD(A144/Calculator!$F$13,1)-0.5))),1)</f>
        <v>1</v>
      </c>
      <c r="D144" s="219" t="n">
        <f aca="false">IF(Calculator!$E$14="YES",IF(A144&lt;Calculator!$G$14,0,MIN(MIN(MOD(A144/Calculator!$F$14,1),1-MOD(A144/Calculator!$F$14,1)),ABS(MOD(A144/Calculator!$F$14,1)-0.5))),1)</f>
        <v>1</v>
      </c>
      <c r="E144" s="219" t="n">
        <f aca="false">IF(Calculator!$E$15="YES",IF(A144&lt;Calculator!$G$15,0,MIN(MIN(MOD(A144/Calculator!$F$15,1),1-MOD(A144/Calculator!$F$15,1)),ABS(MOD(A144/Calculator!$F$15,1)-0.5))),1)</f>
        <v>0.0617192982456141</v>
      </c>
      <c r="F144" s="219" t="n">
        <f aca="false">IF(Calculator!$E$16="YES",IF(A144&lt;Calculator!$G$16,0,MIN(MIN(MOD(A144/Calculator!$F$16,1),1-MOD(A144/Calculator!$F$16,1)),ABS(MOD(A144/Calculator!$F$16,1)-0.5))),1)</f>
        <v>1</v>
      </c>
      <c r="G144" s="219" t="n">
        <f aca="false">IF(Calculator!$E$17="YES",IF(A144&lt;Calculator!$G$17,0,MIN(MIN(MOD(A144/Calculator!$F$17,1),1-MOD(A144/Calculator!$F$17,1)),ABS(MOD(A144/Calculator!$F$17,1)-0.5))),1)</f>
        <v>0.139842105263158</v>
      </c>
      <c r="H144" s="219" t="n">
        <f aca="false">IF(Calculator!$E$18="YES",IF(A144&lt;Calculator!$G$18,0,MIN(MIN(MOD(A144/Calculator!$F$18,1),1-MOD(A144/Calculator!$F$18,1)),ABS(MOD(A144/Calculator!$F$18,1)-0.5))),1)</f>
        <v>1</v>
      </c>
      <c r="I144" s="219" t="n">
        <f aca="false">IF(Calculator!$E$19="YES",IF(A144&lt;Calculator!$G$19,0,MIN(MIN(MOD(A144/Calculator!$F$19,1),1-MOD(A144/Calculator!$F$19,1)),ABS(MOD(A144/Calculator!$F$19,1)-0.5))),1)</f>
        <v>1</v>
      </c>
      <c r="J144" s="219" t="n">
        <f aca="false">IF(Calculator!$E$20="YES",IF(A144&lt;Calculator!$G$20,0,MIN(MIN(MOD(A144/Calculator!$F$20,1),1-MOD(A144/Calculator!$F$20,1)),ABS(MOD(A144/Calculator!$F$20,1)-0.5))),1)</f>
        <v>1</v>
      </c>
      <c r="K144" s="219" t="n">
        <f aca="false">IF(Calculator!$E$21="YES",IF(A144&lt;Calculator!$G$21,0,MIN(MIN(MOD(A144/Calculator!$F$21,1),1-MOD(A144/Calculator!$F$21,1)),ABS(MOD(A144/Calculator!$F$21,1)-0.5))),1)</f>
        <v>0.214070175438597</v>
      </c>
      <c r="L144" s="219" t="n">
        <f aca="false">IF(Calculator!$E$22="YES",IF(A144&lt;Calculator!$G$22,0,MIN(MIN(MOD(A144/Calculator!$F$22,1),1-MOD(A144/Calculator!$F$22,1)),ABS(MOD(A144/Calculator!$F$22,1)-0.5))),1)</f>
        <v>1</v>
      </c>
      <c r="M144" s="219" t="n">
        <f aca="false">MIN(B144:L144)</f>
        <v>0.0617192982456141</v>
      </c>
      <c r="N144" s="219" t="n">
        <f aca="false">SUMPRODUCT(($M$7:$M$557&gt;M144)*1)+SUMPRODUCT(($M$7:$M$557=M144)*(ROW($M$7:$M$557)&lt;ROW(M144)))+1</f>
        <v>237</v>
      </c>
      <c r="O144" s="219" t="str">
        <f aca="false">IF(M144&gt;=0.2,"★★★ EXCELLENT",IF(M144&gt;=0.12,"★★  GOOD",IF(M144&gt;=0.07,"★  FAIR",IF(M144&gt;=0.025,"⚠  MARGINAL","✗  AVOID"))))</f>
        <v>⚠  MARGINAL</v>
      </c>
    </row>
    <row r="145" customFormat="false" ht="15" hidden="false" customHeight="true" outlineLevel="0" collapsed="false">
      <c r="A145" s="216" t="n">
        <v>18.8</v>
      </c>
      <c r="B145" s="217" t="n">
        <f aca="false">IF(Calculator!$E$12="YES",IF(A145&lt;Calculator!$G$12,0,MIN(MIN(MOD(A145/Calculator!$F$12,1),1-MOD(A145/Calculator!$F$12,1)),ABS(MOD(A145/Calculator!$F$12,1)-0.5))),1)</f>
        <v>1</v>
      </c>
      <c r="C145" s="217" t="n">
        <f aca="false">IF(Calculator!$E$13="YES",IF(A145&lt;Calculator!$G$13,0,MIN(MIN(MOD(A145/Calculator!$F$13,1),1-MOD(A145/Calculator!$F$13,1)),ABS(MOD(A145/Calculator!$F$13,1)-0.5))),1)</f>
        <v>1</v>
      </c>
      <c r="D145" s="217" t="n">
        <f aca="false">IF(Calculator!$E$14="YES",IF(A145&lt;Calculator!$G$14,0,MIN(MIN(MOD(A145/Calculator!$F$14,1),1-MOD(A145/Calculator!$F$14,1)),ABS(MOD(A145/Calculator!$F$14,1)-0.5))),1)</f>
        <v>1</v>
      </c>
      <c r="E145" s="217" t="n">
        <f aca="false">IF(Calculator!$E$15="YES",IF(A145&lt;Calculator!$G$15,0,MIN(MIN(MOD(A145/Calculator!$F$15,1),1-MOD(A145/Calculator!$F$15,1)),ABS(MOD(A145/Calculator!$F$15,1)-0.5))),1)</f>
        <v>0.0567017543859649</v>
      </c>
      <c r="F145" s="217" t="n">
        <f aca="false">IF(Calculator!$E$16="YES",IF(A145&lt;Calculator!$G$16,0,MIN(MIN(MOD(A145/Calculator!$F$16,1),1-MOD(A145/Calculator!$F$16,1)),ABS(MOD(A145/Calculator!$F$16,1)-0.5))),1)</f>
        <v>1</v>
      </c>
      <c r="G145" s="217" t="n">
        <f aca="false">IF(Calculator!$E$17="YES",IF(A145&lt;Calculator!$G$17,0,MIN(MIN(MOD(A145/Calculator!$F$17,1),1-MOD(A145/Calculator!$F$17,1)),ABS(MOD(A145/Calculator!$F$17,1)-0.5))),1)</f>
        <v>0.129894736842105</v>
      </c>
      <c r="H145" s="217" t="n">
        <f aca="false">IF(Calculator!$E$18="YES",IF(A145&lt;Calculator!$G$18,0,MIN(MIN(MOD(A145/Calculator!$F$18,1),1-MOD(A145/Calculator!$F$18,1)),ABS(MOD(A145/Calculator!$F$18,1)-0.5))),1)</f>
        <v>1</v>
      </c>
      <c r="I145" s="217" t="n">
        <f aca="false">IF(Calculator!$E$19="YES",IF(A145&lt;Calculator!$G$19,0,MIN(MIN(MOD(A145/Calculator!$F$19,1),1-MOD(A145/Calculator!$F$19,1)),ABS(MOD(A145/Calculator!$F$19,1)-0.5))),1)</f>
        <v>1</v>
      </c>
      <c r="J145" s="217" t="n">
        <f aca="false">IF(Calculator!$E$20="YES",IF(A145&lt;Calculator!$G$20,0,MIN(MIN(MOD(A145/Calculator!$F$20,1),1-MOD(A145/Calculator!$F$20,1)),ABS(MOD(A145/Calculator!$F$20,1)-0.5))),1)</f>
        <v>1</v>
      </c>
      <c r="K145" s="217" t="n">
        <f aca="false">IF(Calculator!$E$21="YES",IF(A145&lt;Calculator!$G$21,0,MIN(MIN(MOD(A145/Calculator!$F$21,1),1-MOD(A145/Calculator!$F$21,1)),ABS(MOD(A145/Calculator!$F$21,1)-0.5))),1)</f>
        <v>0.193824561403509</v>
      </c>
      <c r="L145" s="217" t="n">
        <f aca="false">IF(Calculator!$E$22="YES",IF(A145&lt;Calculator!$G$22,0,MIN(MIN(MOD(A145/Calculator!$F$22,1),1-MOD(A145/Calculator!$F$22,1)),ABS(MOD(A145/Calculator!$F$22,1)-0.5))),1)</f>
        <v>1</v>
      </c>
      <c r="M145" s="217" t="n">
        <f aca="false">MIN(B145:L145)</f>
        <v>0.0567017543859649</v>
      </c>
      <c r="N145" s="217" t="n">
        <f aca="false">SUMPRODUCT(($M$7:$M$557&gt;M145)*1)+SUMPRODUCT(($M$7:$M$557=M145)*(ROW($M$7:$M$557)&lt;ROW(M145)))+1</f>
        <v>257</v>
      </c>
      <c r="O145" s="217" t="str">
        <f aca="false">IF(M145&gt;=0.2,"★★★ EXCELLENT",IF(M145&gt;=0.12,"★★  GOOD",IF(M145&gt;=0.07,"★  FAIR",IF(M145&gt;=0.025,"⚠  MARGINAL","✗  AVOID"))))</f>
        <v>⚠  MARGINAL</v>
      </c>
    </row>
    <row r="146" customFormat="false" ht="15" hidden="false" customHeight="true" outlineLevel="0" collapsed="false">
      <c r="A146" s="218" t="n">
        <v>18.9</v>
      </c>
      <c r="B146" s="219" t="n">
        <f aca="false">IF(Calculator!$E$12="YES",IF(A146&lt;Calculator!$G$12,0,MIN(MIN(MOD(A146/Calculator!$F$12,1),1-MOD(A146/Calculator!$F$12,1)),ABS(MOD(A146/Calculator!$F$12,1)-0.5))),1)</f>
        <v>1</v>
      </c>
      <c r="C146" s="219" t="n">
        <f aca="false">IF(Calculator!$E$13="YES",IF(A146&lt;Calculator!$G$13,0,MIN(MIN(MOD(A146/Calculator!$F$13,1),1-MOD(A146/Calculator!$F$13,1)),ABS(MOD(A146/Calculator!$F$13,1)-0.5))),1)</f>
        <v>1</v>
      </c>
      <c r="D146" s="219" t="n">
        <f aca="false">IF(Calculator!$E$14="YES",IF(A146&lt;Calculator!$G$14,0,MIN(MIN(MOD(A146/Calculator!$F$14,1),1-MOD(A146/Calculator!$F$14,1)),ABS(MOD(A146/Calculator!$F$14,1)-0.5))),1)</f>
        <v>1</v>
      </c>
      <c r="E146" s="219" t="n">
        <f aca="false">IF(Calculator!$E$15="YES",IF(A146&lt;Calculator!$G$15,0,MIN(MIN(MOD(A146/Calculator!$F$15,1),1-MOD(A146/Calculator!$F$15,1)),ABS(MOD(A146/Calculator!$F$15,1)-0.5))),1)</f>
        <v>0.0516842105263159</v>
      </c>
      <c r="F146" s="219" t="n">
        <f aca="false">IF(Calculator!$E$16="YES",IF(A146&lt;Calculator!$G$16,0,MIN(MIN(MOD(A146/Calculator!$F$16,1),1-MOD(A146/Calculator!$F$16,1)),ABS(MOD(A146/Calculator!$F$16,1)-0.5))),1)</f>
        <v>1</v>
      </c>
      <c r="G146" s="219" t="n">
        <f aca="false">IF(Calculator!$E$17="YES",IF(A146&lt;Calculator!$G$17,0,MIN(MIN(MOD(A146/Calculator!$F$17,1),1-MOD(A146/Calculator!$F$17,1)),ABS(MOD(A146/Calculator!$F$17,1)-0.5))),1)</f>
        <v>0.119947368421053</v>
      </c>
      <c r="H146" s="219" t="n">
        <f aca="false">IF(Calculator!$E$18="YES",IF(A146&lt;Calculator!$G$18,0,MIN(MIN(MOD(A146/Calculator!$F$18,1),1-MOD(A146/Calculator!$F$18,1)),ABS(MOD(A146/Calculator!$F$18,1)-0.5))),1)</f>
        <v>1</v>
      </c>
      <c r="I146" s="219" t="n">
        <f aca="false">IF(Calculator!$E$19="YES",IF(A146&lt;Calculator!$G$19,0,MIN(MIN(MOD(A146/Calculator!$F$19,1),1-MOD(A146/Calculator!$F$19,1)),ABS(MOD(A146/Calculator!$F$19,1)-0.5))),1)</f>
        <v>1</v>
      </c>
      <c r="J146" s="219" t="n">
        <f aca="false">IF(Calculator!$E$20="YES",IF(A146&lt;Calculator!$G$20,0,MIN(MIN(MOD(A146/Calculator!$F$20,1),1-MOD(A146/Calculator!$F$20,1)),ABS(MOD(A146/Calculator!$F$20,1)-0.5))),1)</f>
        <v>1</v>
      </c>
      <c r="K146" s="219" t="n">
        <f aca="false">IF(Calculator!$E$21="YES",IF(A146&lt;Calculator!$G$21,0,MIN(MIN(MOD(A146/Calculator!$F$21,1),1-MOD(A146/Calculator!$F$21,1)),ABS(MOD(A146/Calculator!$F$21,1)-0.5))),1)</f>
        <v>0.173578947368422</v>
      </c>
      <c r="L146" s="219" t="n">
        <f aca="false">IF(Calculator!$E$22="YES",IF(A146&lt;Calculator!$G$22,0,MIN(MIN(MOD(A146/Calculator!$F$22,1),1-MOD(A146/Calculator!$F$22,1)),ABS(MOD(A146/Calculator!$F$22,1)-0.5))),1)</f>
        <v>1</v>
      </c>
      <c r="M146" s="219" t="n">
        <f aca="false">MIN(B146:L146)</f>
        <v>0.0516842105263159</v>
      </c>
      <c r="N146" s="219" t="n">
        <f aca="false">SUMPRODUCT(($M$7:$M$557&gt;M146)*1)+SUMPRODUCT(($M$7:$M$557=M146)*(ROW($M$7:$M$557)&lt;ROW(M146)))+1</f>
        <v>276</v>
      </c>
      <c r="O146" s="219" t="str">
        <f aca="false">IF(M146&gt;=0.2,"★★★ EXCELLENT",IF(M146&gt;=0.12,"★★  GOOD",IF(M146&gt;=0.07,"★  FAIR",IF(M146&gt;=0.025,"⚠  MARGINAL","✗  AVOID"))))</f>
        <v>⚠  MARGINAL</v>
      </c>
    </row>
    <row r="147" customFormat="false" ht="15" hidden="false" customHeight="true" outlineLevel="0" collapsed="false">
      <c r="A147" s="216" t="n">
        <v>19</v>
      </c>
      <c r="B147" s="217" t="n">
        <f aca="false">IF(Calculator!$E$12="YES",IF(A147&lt;Calculator!$G$12,0,MIN(MIN(MOD(A147/Calculator!$F$12,1),1-MOD(A147/Calculator!$F$12,1)),ABS(MOD(A147/Calculator!$F$12,1)-0.5))),1)</f>
        <v>1</v>
      </c>
      <c r="C147" s="217" t="n">
        <f aca="false">IF(Calculator!$E$13="YES",IF(A147&lt;Calculator!$G$13,0,MIN(MIN(MOD(A147/Calculator!$F$13,1),1-MOD(A147/Calculator!$F$13,1)),ABS(MOD(A147/Calculator!$F$13,1)-0.5))),1)</f>
        <v>1</v>
      </c>
      <c r="D147" s="217" t="n">
        <f aca="false">IF(Calculator!$E$14="YES",IF(A147&lt;Calculator!$G$14,0,MIN(MIN(MOD(A147/Calculator!$F$14,1),1-MOD(A147/Calculator!$F$14,1)),ABS(MOD(A147/Calculator!$F$14,1)-0.5))),1)</f>
        <v>1</v>
      </c>
      <c r="E147" s="217" t="n">
        <f aca="false">IF(Calculator!$E$15="YES",IF(A147&lt;Calculator!$G$15,0,MIN(MIN(MOD(A147/Calculator!$F$15,1),1-MOD(A147/Calculator!$F$15,1)),ABS(MOD(A147/Calculator!$F$15,1)-0.5))),1)</f>
        <v>0.0466666666666666</v>
      </c>
      <c r="F147" s="217" t="n">
        <f aca="false">IF(Calculator!$E$16="YES",IF(A147&lt;Calculator!$G$16,0,MIN(MIN(MOD(A147/Calculator!$F$16,1),1-MOD(A147/Calculator!$F$16,1)),ABS(MOD(A147/Calculator!$F$16,1)-0.5))),1)</f>
        <v>1</v>
      </c>
      <c r="G147" s="217" t="n">
        <f aca="false">IF(Calculator!$E$17="YES",IF(A147&lt;Calculator!$G$17,0,MIN(MIN(MOD(A147/Calculator!$F$17,1),1-MOD(A147/Calculator!$F$17,1)),ABS(MOD(A147/Calculator!$F$17,1)-0.5))),1)</f>
        <v>0.11</v>
      </c>
      <c r="H147" s="217" t="n">
        <f aca="false">IF(Calculator!$E$18="YES",IF(A147&lt;Calculator!$G$18,0,MIN(MIN(MOD(A147/Calculator!$F$18,1),1-MOD(A147/Calculator!$F$18,1)),ABS(MOD(A147/Calculator!$F$18,1)-0.5))),1)</f>
        <v>1</v>
      </c>
      <c r="I147" s="217" t="n">
        <f aca="false">IF(Calculator!$E$19="YES",IF(A147&lt;Calculator!$G$19,0,MIN(MIN(MOD(A147/Calculator!$F$19,1),1-MOD(A147/Calculator!$F$19,1)),ABS(MOD(A147/Calculator!$F$19,1)-0.5))),1)</f>
        <v>1</v>
      </c>
      <c r="J147" s="217" t="n">
        <f aca="false">IF(Calculator!$E$20="YES",IF(A147&lt;Calculator!$G$20,0,MIN(MIN(MOD(A147/Calculator!$F$20,1),1-MOD(A147/Calculator!$F$20,1)),ABS(MOD(A147/Calculator!$F$20,1)-0.5))),1)</f>
        <v>1</v>
      </c>
      <c r="K147" s="217" t="n">
        <f aca="false">IF(Calculator!$E$21="YES",IF(A147&lt;Calculator!$G$21,0,MIN(MIN(MOD(A147/Calculator!$F$21,1),1-MOD(A147/Calculator!$F$21,1)),ABS(MOD(A147/Calculator!$F$21,1)-0.5))),1)</f>
        <v>0.153333333333333</v>
      </c>
      <c r="L147" s="217" t="n">
        <f aca="false">IF(Calculator!$E$22="YES",IF(A147&lt;Calculator!$G$22,0,MIN(MIN(MOD(A147/Calculator!$F$22,1),1-MOD(A147/Calculator!$F$22,1)),ABS(MOD(A147/Calculator!$F$22,1)-0.5))),1)</f>
        <v>1</v>
      </c>
      <c r="M147" s="217" t="n">
        <f aca="false">MIN(B147:L147)</f>
        <v>0.0466666666666666</v>
      </c>
      <c r="N147" s="217" t="n">
        <f aca="false">SUMPRODUCT(($M$7:$M$557&gt;M147)*1)+SUMPRODUCT(($M$7:$M$557=M147)*(ROW($M$7:$M$557)&lt;ROW(M147)))+1</f>
        <v>298</v>
      </c>
      <c r="O147" s="217" t="str">
        <f aca="false">IF(M147&gt;=0.2,"★★★ EXCELLENT",IF(M147&gt;=0.12,"★★  GOOD",IF(M147&gt;=0.07,"★  FAIR",IF(M147&gt;=0.025,"⚠  MARGINAL","✗  AVOID"))))</f>
        <v>⚠  MARGINAL</v>
      </c>
    </row>
    <row r="148" customFormat="false" ht="15" hidden="false" customHeight="true" outlineLevel="0" collapsed="false">
      <c r="A148" s="218" t="n">
        <v>19.1</v>
      </c>
      <c r="B148" s="219" t="n">
        <f aca="false">IF(Calculator!$E$12="YES",IF(A148&lt;Calculator!$G$12,0,MIN(MIN(MOD(A148/Calculator!$F$12,1),1-MOD(A148/Calculator!$F$12,1)),ABS(MOD(A148/Calculator!$F$12,1)-0.5))),1)</f>
        <v>1</v>
      </c>
      <c r="C148" s="219" t="n">
        <f aca="false">IF(Calculator!$E$13="YES",IF(A148&lt;Calculator!$G$13,0,MIN(MIN(MOD(A148/Calculator!$F$13,1),1-MOD(A148/Calculator!$F$13,1)),ABS(MOD(A148/Calculator!$F$13,1)-0.5))),1)</f>
        <v>1</v>
      </c>
      <c r="D148" s="219" t="n">
        <f aca="false">IF(Calculator!$E$14="YES",IF(A148&lt;Calculator!$G$14,0,MIN(MIN(MOD(A148/Calculator!$F$14,1),1-MOD(A148/Calculator!$F$14,1)),ABS(MOD(A148/Calculator!$F$14,1)-0.5))),1)</f>
        <v>1</v>
      </c>
      <c r="E148" s="219" t="n">
        <f aca="false">IF(Calculator!$E$15="YES",IF(A148&lt;Calculator!$G$15,0,MIN(MIN(MOD(A148/Calculator!$F$15,1),1-MOD(A148/Calculator!$F$15,1)),ABS(MOD(A148/Calculator!$F$15,1)-0.5))),1)</f>
        <v>0.0416491228070175</v>
      </c>
      <c r="F148" s="219" t="n">
        <f aca="false">IF(Calculator!$E$16="YES",IF(A148&lt;Calculator!$G$16,0,MIN(MIN(MOD(A148/Calculator!$F$16,1),1-MOD(A148/Calculator!$F$16,1)),ABS(MOD(A148/Calculator!$F$16,1)-0.5))),1)</f>
        <v>1</v>
      </c>
      <c r="G148" s="219" t="n">
        <f aca="false">IF(Calculator!$E$17="YES",IF(A148&lt;Calculator!$G$17,0,MIN(MIN(MOD(A148/Calculator!$F$17,1),1-MOD(A148/Calculator!$F$17,1)),ABS(MOD(A148/Calculator!$F$17,1)-0.5))),1)</f>
        <v>0.100052631578947</v>
      </c>
      <c r="H148" s="219" t="n">
        <f aca="false">IF(Calculator!$E$18="YES",IF(A148&lt;Calculator!$G$18,0,MIN(MIN(MOD(A148/Calculator!$F$18,1),1-MOD(A148/Calculator!$F$18,1)),ABS(MOD(A148/Calculator!$F$18,1)-0.5))),1)</f>
        <v>1</v>
      </c>
      <c r="I148" s="219" t="n">
        <f aca="false">IF(Calculator!$E$19="YES",IF(A148&lt;Calculator!$G$19,0,MIN(MIN(MOD(A148/Calculator!$F$19,1),1-MOD(A148/Calculator!$F$19,1)),ABS(MOD(A148/Calculator!$F$19,1)-0.5))),1)</f>
        <v>1</v>
      </c>
      <c r="J148" s="219" t="n">
        <f aca="false">IF(Calculator!$E$20="YES",IF(A148&lt;Calculator!$G$20,0,MIN(MIN(MOD(A148/Calculator!$F$20,1),1-MOD(A148/Calculator!$F$20,1)),ABS(MOD(A148/Calculator!$F$20,1)-0.5))),1)</f>
        <v>1</v>
      </c>
      <c r="K148" s="219" t="n">
        <f aca="false">IF(Calculator!$E$21="YES",IF(A148&lt;Calculator!$G$21,0,MIN(MIN(MOD(A148/Calculator!$F$21,1),1-MOD(A148/Calculator!$F$21,1)),ABS(MOD(A148/Calculator!$F$21,1)-0.5))),1)</f>
        <v>0.133087719298246</v>
      </c>
      <c r="L148" s="219" t="n">
        <f aca="false">IF(Calculator!$E$22="YES",IF(A148&lt;Calculator!$G$22,0,MIN(MIN(MOD(A148/Calculator!$F$22,1),1-MOD(A148/Calculator!$F$22,1)),ABS(MOD(A148/Calculator!$F$22,1)-0.5))),1)</f>
        <v>1</v>
      </c>
      <c r="M148" s="219" t="n">
        <f aca="false">MIN(B148:L148)</f>
        <v>0.0416491228070175</v>
      </c>
      <c r="N148" s="219" t="n">
        <f aca="false">SUMPRODUCT(($M$7:$M$557&gt;M148)*1)+SUMPRODUCT(($M$7:$M$557=M148)*(ROW($M$7:$M$557)&lt;ROW(M148)))+1</f>
        <v>317</v>
      </c>
      <c r="O148" s="219" t="str">
        <f aca="false">IF(M148&gt;=0.2,"★★★ EXCELLENT",IF(M148&gt;=0.12,"★★  GOOD",IF(M148&gt;=0.07,"★  FAIR",IF(M148&gt;=0.025,"⚠  MARGINAL","✗  AVOID"))))</f>
        <v>⚠  MARGINAL</v>
      </c>
    </row>
    <row r="149" customFormat="false" ht="15" hidden="false" customHeight="true" outlineLevel="0" collapsed="false">
      <c r="A149" s="216" t="n">
        <v>19.2</v>
      </c>
      <c r="B149" s="217" t="n">
        <f aca="false">IF(Calculator!$E$12="YES",IF(A149&lt;Calculator!$G$12,0,MIN(MIN(MOD(A149/Calculator!$F$12,1),1-MOD(A149/Calculator!$F$12,1)),ABS(MOD(A149/Calculator!$F$12,1)-0.5))),1)</f>
        <v>1</v>
      </c>
      <c r="C149" s="217" t="n">
        <f aca="false">IF(Calculator!$E$13="YES",IF(A149&lt;Calculator!$G$13,0,MIN(MIN(MOD(A149/Calculator!$F$13,1),1-MOD(A149/Calculator!$F$13,1)),ABS(MOD(A149/Calculator!$F$13,1)-0.5))),1)</f>
        <v>1</v>
      </c>
      <c r="D149" s="217" t="n">
        <f aca="false">IF(Calculator!$E$14="YES",IF(A149&lt;Calculator!$G$14,0,MIN(MIN(MOD(A149/Calculator!$F$14,1),1-MOD(A149/Calculator!$F$14,1)),ABS(MOD(A149/Calculator!$F$14,1)-0.5))),1)</f>
        <v>1</v>
      </c>
      <c r="E149" s="217" t="n">
        <f aca="false">IF(Calculator!$E$15="YES",IF(A149&lt;Calculator!$G$15,0,MIN(MIN(MOD(A149/Calculator!$F$15,1),1-MOD(A149/Calculator!$F$15,1)),ABS(MOD(A149/Calculator!$F$15,1)-0.5))),1)</f>
        <v>0.0366315789473685</v>
      </c>
      <c r="F149" s="217" t="n">
        <f aca="false">IF(Calculator!$E$16="YES",IF(A149&lt;Calculator!$G$16,0,MIN(MIN(MOD(A149/Calculator!$F$16,1),1-MOD(A149/Calculator!$F$16,1)),ABS(MOD(A149/Calculator!$F$16,1)-0.5))),1)</f>
        <v>1</v>
      </c>
      <c r="G149" s="217" t="n">
        <f aca="false">IF(Calculator!$E$17="YES",IF(A149&lt;Calculator!$G$17,0,MIN(MIN(MOD(A149/Calculator!$F$17,1),1-MOD(A149/Calculator!$F$17,1)),ABS(MOD(A149/Calculator!$F$17,1)-0.5))),1)</f>
        <v>0.0901052631578947</v>
      </c>
      <c r="H149" s="217" t="n">
        <f aca="false">IF(Calculator!$E$18="YES",IF(A149&lt;Calculator!$G$18,0,MIN(MIN(MOD(A149/Calculator!$F$18,1),1-MOD(A149/Calculator!$F$18,1)),ABS(MOD(A149/Calculator!$F$18,1)-0.5))),1)</f>
        <v>1</v>
      </c>
      <c r="I149" s="217" t="n">
        <f aca="false">IF(Calculator!$E$19="YES",IF(A149&lt;Calculator!$G$19,0,MIN(MIN(MOD(A149/Calculator!$F$19,1),1-MOD(A149/Calculator!$F$19,1)),ABS(MOD(A149/Calculator!$F$19,1)-0.5))),1)</f>
        <v>1</v>
      </c>
      <c r="J149" s="217" t="n">
        <f aca="false">IF(Calculator!$E$20="YES",IF(A149&lt;Calculator!$G$20,0,MIN(MIN(MOD(A149/Calculator!$F$20,1),1-MOD(A149/Calculator!$F$20,1)),ABS(MOD(A149/Calculator!$F$20,1)-0.5))),1)</f>
        <v>1</v>
      </c>
      <c r="K149" s="217" t="n">
        <f aca="false">IF(Calculator!$E$21="YES",IF(A149&lt;Calculator!$G$21,0,MIN(MIN(MOD(A149/Calculator!$F$21,1),1-MOD(A149/Calculator!$F$21,1)),ABS(MOD(A149/Calculator!$F$21,1)-0.5))),1)</f>
        <v>0.112842105263158</v>
      </c>
      <c r="L149" s="217" t="n">
        <f aca="false">IF(Calculator!$E$22="YES",IF(A149&lt;Calculator!$G$22,0,MIN(MIN(MOD(A149/Calculator!$F$22,1),1-MOD(A149/Calculator!$F$22,1)),ABS(MOD(A149/Calculator!$F$22,1)-0.5))),1)</f>
        <v>1</v>
      </c>
      <c r="M149" s="217" t="n">
        <f aca="false">MIN(B149:L149)</f>
        <v>0.0366315789473685</v>
      </c>
      <c r="N149" s="217" t="n">
        <f aca="false">SUMPRODUCT(($M$7:$M$557&gt;M149)*1)+SUMPRODUCT(($M$7:$M$557=M149)*(ROW($M$7:$M$557)&lt;ROW(M149)))+1</f>
        <v>337</v>
      </c>
      <c r="O149" s="217" t="str">
        <f aca="false">IF(M149&gt;=0.2,"★★★ EXCELLENT",IF(M149&gt;=0.12,"★★  GOOD",IF(M149&gt;=0.07,"★  FAIR",IF(M149&gt;=0.025,"⚠  MARGINAL","✗  AVOID"))))</f>
        <v>⚠  MARGINAL</v>
      </c>
    </row>
    <row r="150" customFormat="false" ht="15" hidden="false" customHeight="true" outlineLevel="0" collapsed="false">
      <c r="A150" s="218" t="n">
        <v>19.3</v>
      </c>
      <c r="B150" s="219" t="n">
        <f aca="false">IF(Calculator!$E$12="YES",IF(A150&lt;Calculator!$G$12,0,MIN(MIN(MOD(A150/Calculator!$F$12,1),1-MOD(A150/Calculator!$F$12,1)),ABS(MOD(A150/Calculator!$F$12,1)-0.5))),1)</f>
        <v>1</v>
      </c>
      <c r="C150" s="219" t="n">
        <f aca="false">IF(Calculator!$E$13="YES",IF(A150&lt;Calculator!$G$13,0,MIN(MIN(MOD(A150/Calculator!$F$13,1),1-MOD(A150/Calculator!$F$13,1)),ABS(MOD(A150/Calculator!$F$13,1)-0.5))),1)</f>
        <v>1</v>
      </c>
      <c r="D150" s="219" t="n">
        <f aca="false">IF(Calculator!$E$14="YES",IF(A150&lt;Calculator!$G$14,0,MIN(MIN(MOD(A150/Calculator!$F$14,1),1-MOD(A150/Calculator!$F$14,1)),ABS(MOD(A150/Calculator!$F$14,1)-0.5))),1)</f>
        <v>1</v>
      </c>
      <c r="E150" s="219" t="n">
        <f aca="false">IF(Calculator!$E$15="YES",IF(A150&lt;Calculator!$G$15,0,MIN(MIN(MOD(A150/Calculator!$F$15,1),1-MOD(A150/Calculator!$F$15,1)),ABS(MOD(A150/Calculator!$F$15,1)-0.5))),1)</f>
        <v>0.0316140350877192</v>
      </c>
      <c r="F150" s="219" t="n">
        <f aca="false">IF(Calculator!$E$16="YES",IF(A150&lt;Calculator!$G$16,0,MIN(MIN(MOD(A150/Calculator!$F$16,1),1-MOD(A150/Calculator!$F$16,1)),ABS(MOD(A150/Calculator!$F$16,1)-0.5))),1)</f>
        <v>1</v>
      </c>
      <c r="G150" s="219" t="n">
        <f aca="false">IF(Calculator!$E$17="YES",IF(A150&lt;Calculator!$G$17,0,MIN(MIN(MOD(A150/Calculator!$F$17,1),1-MOD(A150/Calculator!$F$17,1)),ABS(MOD(A150/Calculator!$F$17,1)-0.5))),1)</f>
        <v>0.080157894736842</v>
      </c>
      <c r="H150" s="219" t="n">
        <f aca="false">IF(Calculator!$E$18="YES",IF(A150&lt;Calculator!$G$18,0,MIN(MIN(MOD(A150/Calculator!$F$18,1),1-MOD(A150/Calculator!$F$18,1)),ABS(MOD(A150/Calculator!$F$18,1)-0.5))),1)</f>
        <v>1</v>
      </c>
      <c r="I150" s="219" t="n">
        <f aca="false">IF(Calculator!$E$19="YES",IF(A150&lt;Calculator!$G$19,0,MIN(MIN(MOD(A150/Calculator!$F$19,1),1-MOD(A150/Calculator!$F$19,1)),ABS(MOD(A150/Calculator!$F$19,1)-0.5))),1)</f>
        <v>1</v>
      </c>
      <c r="J150" s="219" t="n">
        <f aca="false">IF(Calculator!$E$20="YES",IF(A150&lt;Calculator!$G$20,0,MIN(MIN(MOD(A150/Calculator!$F$20,1),1-MOD(A150/Calculator!$F$20,1)),ABS(MOD(A150/Calculator!$F$20,1)-0.5))),1)</f>
        <v>1</v>
      </c>
      <c r="K150" s="219" t="n">
        <f aca="false">IF(Calculator!$E$21="YES",IF(A150&lt;Calculator!$G$21,0,MIN(MIN(MOD(A150/Calculator!$F$21,1),1-MOD(A150/Calculator!$F$21,1)),ABS(MOD(A150/Calculator!$F$21,1)-0.5))),1)</f>
        <v>0.0925964912280701</v>
      </c>
      <c r="L150" s="219" t="n">
        <f aca="false">IF(Calculator!$E$22="YES",IF(A150&lt;Calculator!$G$22,0,MIN(MIN(MOD(A150/Calculator!$F$22,1),1-MOD(A150/Calculator!$F$22,1)),ABS(MOD(A150/Calculator!$F$22,1)-0.5))),1)</f>
        <v>1</v>
      </c>
      <c r="M150" s="219" t="n">
        <f aca="false">MIN(B150:L150)</f>
        <v>0.0316140350877192</v>
      </c>
      <c r="N150" s="219" t="n">
        <f aca="false">SUMPRODUCT(($M$7:$M$557&gt;M150)*1)+SUMPRODUCT(($M$7:$M$557=M150)*(ROW($M$7:$M$557)&lt;ROW(M150)))+1</f>
        <v>356</v>
      </c>
      <c r="O150" s="219" t="str">
        <f aca="false">IF(M150&gt;=0.2,"★★★ EXCELLENT",IF(M150&gt;=0.12,"★★  GOOD",IF(M150&gt;=0.07,"★  FAIR",IF(M150&gt;=0.025,"⚠  MARGINAL","✗  AVOID"))))</f>
        <v>⚠  MARGINAL</v>
      </c>
    </row>
    <row r="151" customFormat="false" ht="15" hidden="false" customHeight="true" outlineLevel="0" collapsed="false">
      <c r="A151" s="216" t="n">
        <v>19.4</v>
      </c>
      <c r="B151" s="217" t="n">
        <f aca="false">IF(Calculator!$E$12="YES",IF(A151&lt;Calculator!$G$12,0,MIN(MIN(MOD(A151/Calculator!$F$12,1),1-MOD(A151/Calculator!$F$12,1)),ABS(MOD(A151/Calculator!$F$12,1)-0.5))),1)</f>
        <v>1</v>
      </c>
      <c r="C151" s="217" t="n">
        <f aca="false">IF(Calculator!$E$13="YES",IF(A151&lt;Calculator!$G$13,0,MIN(MIN(MOD(A151/Calculator!$F$13,1),1-MOD(A151/Calculator!$F$13,1)),ABS(MOD(A151/Calculator!$F$13,1)-0.5))),1)</f>
        <v>1</v>
      </c>
      <c r="D151" s="217" t="n">
        <f aca="false">IF(Calculator!$E$14="YES",IF(A151&lt;Calculator!$G$14,0,MIN(MIN(MOD(A151/Calculator!$F$14,1),1-MOD(A151/Calculator!$F$14,1)),ABS(MOD(A151/Calculator!$F$14,1)-0.5))),1)</f>
        <v>1</v>
      </c>
      <c r="E151" s="217" t="n">
        <f aca="false">IF(Calculator!$E$15="YES",IF(A151&lt;Calculator!$G$15,0,MIN(MIN(MOD(A151/Calculator!$F$15,1),1-MOD(A151/Calculator!$F$15,1)),ABS(MOD(A151/Calculator!$F$15,1)-0.5))),1)</f>
        <v>0.0265964912280703</v>
      </c>
      <c r="F151" s="217" t="n">
        <f aca="false">IF(Calculator!$E$16="YES",IF(A151&lt;Calculator!$G$16,0,MIN(MIN(MOD(A151/Calculator!$F$16,1),1-MOD(A151/Calculator!$F$16,1)),ABS(MOD(A151/Calculator!$F$16,1)-0.5))),1)</f>
        <v>1</v>
      </c>
      <c r="G151" s="217" t="n">
        <f aca="false">IF(Calculator!$E$17="YES",IF(A151&lt;Calculator!$G$17,0,MIN(MIN(MOD(A151/Calculator!$F$17,1),1-MOD(A151/Calculator!$F$17,1)),ABS(MOD(A151/Calculator!$F$17,1)-0.5))),1)</f>
        <v>0.0702105263157895</v>
      </c>
      <c r="H151" s="217" t="n">
        <f aca="false">IF(Calculator!$E$18="YES",IF(A151&lt;Calculator!$G$18,0,MIN(MIN(MOD(A151/Calculator!$F$18,1),1-MOD(A151/Calculator!$F$18,1)),ABS(MOD(A151/Calculator!$F$18,1)-0.5))),1)</f>
        <v>1</v>
      </c>
      <c r="I151" s="217" t="n">
        <f aca="false">IF(Calculator!$E$19="YES",IF(A151&lt;Calculator!$G$19,0,MIN(MIN(MOD(A151/Calculator!$F$19,1),1-MOD(A151/Calculator!$F$19,1)),ABS(MOD(A151/Calculator!$F$19,1)-0.5))),1)</f>
        <v>1</v>
      </c>
      <c r="J151" s="217" t="n">
        <f aca="false">IF(Calculator!$E$20="YES",IF(A151&lt;Calculator!$G$20,0,MIN(MIN(MOD(A151/Calculator!$F$20,1),1-MOD(A151/Calculator!$F$20,1)),ABS(MOD(A151/Calculator!$F$20,1)-0.5))),1)</f>
        <v>1</v>
      </c>
      <c r="K151" s="217" t="n">
        <f aca="false">IF(Calculator!$E$21="YES",IF(A151&lt;Calculator!$G$21,0,MIN(MIN(MOD(A151/Calculator!$F$21,1),1-MOD(A151/Calculator!$F$21,1)),ABS(MOD(A151/Calculator!$F$21,1)-0.5))),1)</f>
        <v>0.0723508771929828</v>
      </c>
      <c r="L151" s="217" t="n">
        <f aca="false">IF(Calculator!$E$22="YES",IF(A151&lt;Calculator!$G$22,0,MIN(MIN(MOD(A151/Calculator!$F$22,1),1-MOD(A151/Calculator!$F$22,1)),ABS(MOD(A151/Calculator!$F$22,1)-0.5))),1)</f>
        <v>1</v>
      </c>
      <c r="M151" s="217" t="n">
        <f aca="false">MIN(B151:L151)</f>
        <v>0.0265964912280703</v>
      </c>
      <c r="N151" s="217" t="n">
        <f aca="false">SUMPRODUCT(($M$7:$M$557&gt;M151)*1)+SUMPRODUCT(($M$7:$M$557=M151)*(ROW($M$7:$M$557)&lt;ROW(M151)))+1</f>
        <v>378</v>
      </c>
      <c r="O151" s="217" t="str">
        <f aca="false">IF(M151&gt;=0.2,"★★★ EXCELLENT",IF(M151&gt;=0.12,"★★  GOOD",IF(M151&gt;=0.07,"★  FAIR",IF(M151&gt;=0.025,"⚠  MARGINAL","✗  AVOID"))))</f>
        <v>⚠  MARGINAL</v>
      </c>
    </row>
    <row r="152" customFormat="false" ht="15" hidden="false" customHeight="true" outlineLevel="0" collapsed="false">
      <c r="A152" s="218" t="n">
        <v>19.5</v>
      </c>
      <c r="B152" s="219" t="n">
        <f aca="false">IF(Calculator!$E$12="YES",IF(A152&lt;Calculator!$G$12,0,MIN(MIN(MOD(A152/Calculator!$F$12,1),1-MOD(A152/Calculator!$F$12,1)),ABS(MOD(A152/Calculator!$F$12,1)-0.5))),1)</f>
        <v>1</v>
      </c>
      <c r="C152" s="219" t="n">
        <f aca="false">IF(Calculator!$E$13="YES",IF(A152&lt;Calculator!$G$13,0,MIN(MIN(MOD(A152/Calculator!$F$13,1),1-MOD(A152/Calculator!$F$13,1)),ABS(MOD(A152/Calculator!$F$13,1)-0.5))),1)</f>
        <v>1</v>
      </c>
      <c r="D152" s="219" t="n">
        <f aca="false">IF(Calculator!$E$14="YES",IF(A152&lt;Calculator!$G$14,0,MIN(MIN(MOD(A152/Calculator!$F$14,1),1-MOD(A152/Calculator!$F$14,1)),ABS(MOD(A152/Calculator!$F$14,1)-0.5))),1)</f>
        <v>1</v>
      </c>
      <c r="E152" s="219" t="n">
        <f aca="false">IF(Calculator!$E$15="YES",IF(A152&lt;Calculator!$G$15,0,MIN(MIN(MOD(A152/Calculator!$F$15,1),1-MOD(A152/Calculator!$F$15,1)),ABS(MOD(A152/Calculator!$F$15,1)-0.5))),1)</f>
        <v>0.021578947368421</v>
      </c>
      <c r="F152" s="219" t="n">
        <f aca="false">IF(Calculator!$E$16="YES",IF(A152&lt;Calculator!$G$16,0,MIN(MIN(MOD(A152/Calculator!$F$16,1),1-MOD(A152/Calculator!$F$16,1)),ABS(MOD(A152/Calculator!$F$16,1)-0.5))),1)</f>
        <v>1</v>
      </c>
      <c r="G152" s="219" t="n">
        <f aca="false">IF(Calculator!$E$17="YES",IF(A152&lt;Calculator!$G$17,0,MIN(MIN(MOD(A152/Calculator!$F$17,1),1-MOD(A152/Calculator!$F$17,1)),ABS(MOD(A152/Calculator!$F$17,1)-0.5))),1)</f>
        <v>0.0602631578947368</v>
      </c>
      <c r="H152" s="219" t="n">
        <f aca="false">IF(Calculator!$E$18="YES",IF(A152&lt;Calculator!$G$18,0,MIN(MIN(MOD(A152/Calculator!$F$18,1),1-MOD(A152/Calculator!$F$18,1)),ABS(MOD(A152/Calculator!$F$18,1)-0.5))),1)</f>
        <v>1</v>
      </c>
      <c r="I152" s="219" t="n">
        <f aca="false">IF(Calculator!$E$19="YES",IF(A152&lt;Calculator!$G$19,0,MIN(MIN(MOD(A152/Calculator!$F$19,1),1-MOD(A152/Calculator!$F$19,1)),ABS(MOD(A152/Calculator!$F$19,1)-0.5))),1)</f>
        <v>1</v>
      </c>
      <c r="J152" s="219" t="n">
        <f aca="false">IF(Calculator!$E$20="YES",IF(A152&lt;Calculator!$G$20,0,MIN(MIN(MOD(A152/Calculator!$F$20,1),1-MOD(A152/Calculator!$F$20,1)),ABS(MOD(A152/Calculator!$F$20,1)-0.5))),1)</f>
        <v>1</v>
      </c>
      <c r="K152" s="219" t="n">
        <f aca="false">IF(Calculator!$E$21="YES",IF(A152&lt;Calculator!$G$21,0,MIN(MIN(MOD(A152/Calculator!$F$21,1),1-MOD(A152/Calculator!$F$21,1)),ABS(MOD(A152/Calculator!$F$21,1)-0.5))),1)</f>
        <v>0.0521052631578947</v>
      </c>
      <c r="L152" s="219" t="n">
        <f aca="false">IF(Calculator!$E$22="YES",IF(A152&lt;Calculator!$G$22,0,MIN(MIN(MOD(A152/Calculator!$F$22,1),1-MOD(A152/Calculator!$F$22,1)),ABS(MOD(A152/Calculator!$F$22,1)-0.5))),1)</f>
        <v>1</v>
      </c>
      <c r="M152" s="219" t="n">
        <f aca="false">MIN(B152:L152)</f>
        <v>0.021578947368421</v>
      </c>
      <c r="N152" s="219" t="n">
        <f aca="false">SUMPRODUCT(($M$7:$M$557&gt;M152)*1)+SUMPRODUCT(($M$7:$M$557=M152)*(ROW($M$7:$M$557)&lt;ROW(M152)))+1</f>
        <v>395</v>
      </c>
      <c r="O152" s="219" t="str">
        <f aca="false">IF(M152&gt;=0.2,"★★★ EXCELLENT",IF(M152&gt;=0.12,"★★  GOOD",IF(M152&gt;=0.07,"★  FAIR",IF(M152&gt;=0.025,"⚠  MARGINAL","✗  AVOID"))))</f>
        <v>✗  AVOID</v>
      </c>
    </row>
    <row r="153" customFormat="false" ht="15" hidden="false" customHeight="true" outlineLevel="0" collapsed="false">
      <c r="A153" s="216" t="n">
        <v>19.6</v>
      </c>
      <c r="B153" s="217" t="n">
        <f aca="false">IF(Calculator!$E$12="YES",IF(A153&lt;Calculator!$G$12,0,MIN(MIN(MOD(A153/Calculator!$F$12,1),1-MOD(A153/Calculator!$F$12,1)),ABS(MOD(A153/Calculator!$F$12,1)-0.5))),1)</f>
        <v>1</v>
      </c>
      <c r="C153" s="217" t="n">
        <f aca="false">IF(Calculator!$E$13="YES",IF(A153&lt;Calculator!$G$13,0,MIN(MIN(MOD(A153/Calculator!$F$13,1),1-MOD(A153/Calculator!$F$13,1)),ABS(MOD(A153/Calculator!$F$13,1)-0.5))),1)</f>
        <v>1</v>
      </c>
      <c r="D153" s="217" t="n">
        <f aca="false">IF(Calculator!$E$14="YES",IF(A153&lt;Calculator!$G$14,0,MIN(MIN(MOD(A153/Calculator!$F$14,1),1-MOD(A153/Calculator!$F$14,1)),ABS(MOD(A153/Calculator!$F$14,1)-0.5))),1)</f>
        <v>1</v>
      </c>
      <c r="E153" s="217" t="n">
        <f aca="false">IF(Calculator!$E$15="YES",IF(A153&lt;Calculator!$G$15,0,MIN(MIN(MOD(A153/Calculator!$F$15,1),1-MOD(A153/Calculator!$F$15,1)),ABS(MOD(A153/Calculator!$F$15,1)-0.5))),1)</f>
        <v>0.0165614035087719</v>
      </c>
      <c r="F153" s="217" t="n">
        <f aca="false">IF(Calculator!$E$16="YES",IF(A153&lt;Calculator!$G$16,0,MIN(MIN(MOD(A153/Calculator!$F$16,1),1-MOD(A153/Calculator!$F$16,1)),ABS(MOD(A153/Calculator!$F$16,1)-0.5))),1)</f>
        <v>1</v>
      </c>
      <c r="G153" s="217" t="n">
        <f aca="false">IF(Calculator!$E$17="YES",IF(A153&lt;Calculator!$G$17,0,MIN(MIN(MOD(A153/Calculator!$F$17,1),1-MOD(A153/Calculator!$F$17,1)),ABS(MOD(A153/Calculator!$F$17,1)-0.5))),1)</f>
        <v>0.0503157894736839</v>
      </c>
      <c r="H153" s="217" t="n">
        <f aca="false">IF(Calculator!$E$18="YES",IF(A153&lt;Calculator!$G$18,0,MIN(MIN(MOD(A153/Calculator!$F$18,1),1-MOD(A153/Calculator!$F$18,1)),ABS(MOD(A153/Calculator!$F$18,1)-0.5))),1)</f>
        <v>1</v>
      </c>
      <c r="I153" s="217" t="n">
        <f aca="false">IF(Calculator!$E$19="YES",IF(A153&lt;Calculator!$G$19,0,MIN(MIN(MOD(A153/Calculator!$F$19,1),1-MOD(A153/Calculator!$F$19,1)),ABS(MOD(A153/Calculator!$F$19,1)-0.5))),1)</f>
        <v>1</v>
      </c>
      <c r="J153" s="217" t="n">
        <f aca="false">IF(Calculator!$E$20="YES",IF(A153&lt;Calculator!$G$20,0,MIN(MIN(MOD(A153/Calculator!$F$20,1),1-MOD(A153/Calculator!$F$20,1)),ABS(MOD(A153/Calculator!$F$20,1)-0.5))),1)</f>
        <v>1</v>
      </c>
      <c r="K153" s="217" t="n">
        <f aca="false">IF(Calculator!$E$21="YES",IF(A153&lt;Calculator!$G$21,0,MIN(MIN(MOD(A153/Calculator!$F$21,1),1-MOD(A153/Calculator!$F$21,1)),ABS(MOD(A153/Calculator!$F$21,1)-0.5))),1)</f>
        <v>0.0318596491228069</v>
      </c>
      <c r="L153" s="217" t="n">
        <f aca="false">IF(Calculator!$E$22="YES",IF(A153&lt;Calculator!$G$22,0,MIN(MIN(MOD(A153/Calculator!$F$22,1),1-MOD(A153/Calculator!$F$22,1)),ABS(MOD(A153/Calculator!$F$22,1)-0.5))),1)</f>
        <v>1</v>
      </c>
      <c r="M153" s="217" t="n">
        <f aca="false">MIN(B153:L153)</f>
        <v>0.0165614035087719</v>
      </c>
      <c r="N153" s="217" t="n">
        <f aca="false">SUMPRODUCT(($M$7:$M$557&gt;M153)*1)+SUMPRODUCT(($M$7:$M$557=M153)*(ROW($M$7:$M$557)&lt;ROW(M153)))+1</f>
        <v>416</v>
      </c>
      <c r="O153" s="217" t="str">
        <f aca="false">IF(M153&gt;=0.2,"★★★ EXCELLENT",IF(M153&gt;=0.12,"★★  GOOD",IF(M153&gt;=0.07,"★  FAIR",IF(M153&gt;=0.025,"⚠  MARGINAL","✗  AVOID"))))</f>
        <v>✗  AVOID</v>
      </c>
    </row>
    <row r="154" customFormat="false" ht="15" hidden="false" customHeight="true" outlineLevel="0" collapsed="false">
      <c r="A154" s="218" t="n">
        <v>19.7</v>
      </c>
      <c r="B154" s="219" t="n">
        <f aca="false">IF(Calculator!$E$12="YES",IF(A154&lt;Calculator!$G$12,0,MIN(MIN(MOD(A154/Calculator!$F$12,1),1-MOD(A154/Calculator!$F$12,1)),ABS(MOD(A154/Calculator!$F$12,1)-0.5))),1)</f>
        <v>1</v>
      </c>
      <c r="C154" s="219" t="n">
        <f aca="false">IF(Calculator!$E$13="YES",IF(A154&lt;Calculator!$G$13,0,MIN(MIN(MOD(A154/Calculator!$F$13,1),1-MOD(A154/Calculator!$F$13,1)),ABS(MOD(A154/Calculator!$F$13,1)-0.5))),1)</f>
        <v>1</v>
      </c>
      <c r="D154" s="219" t="n">
        <f aca="false">IF(Calculator!$E$14="YES",IF(A154&lt;Calculator!$G$14,0,MIN(MIN(MOD(A154/Calculator!$F$14,1),1-MOD(A154/Calculator!$F$14,1)),ABS(MOD(A154/Calculator!$F$14,1)-0.5))),1)</f>
        <v>1</v>
      </c>
      <c r="E154" s="219" t="n">
        <f aca="false">IF(Calculator!$E$15="YES",IF(A154&lt;Calculator!$G$15,0,MIN(MIN(MOD(A154/Calculator!$F$15,1),1-MOD(A154/Calculator!$F$15,1)),ABS(MOD(A154/Calculator!$F$15,1)-0.5))),1)</f>
        <v>0.0115438596491229</v>
      </c>
      <c r="F154" s="219" t="n">
        <f aca="false">IF(Calculator!$E$16="YES",IF(A154&lt;Calculator!$G$16,0,MIN(MIN(MOD(A154/Calculator!$F$16,1),1-MOD(A154/Calculator!$F$16,1)),ABS(MOD(A154/Calculator!$F$16,1)-0.5))),1)</f>
        <v>1</v>
      </c>
      <c r="G154" s="219" t="n">
        <f aca="false">IF(Calculator!$E$17="YES",IF(A154&lt;Calculator!$G$17,0,MIN(MIN(MOD(A154/Calculator!$F$17,1),1-MOD(A154/Calculator!$F$17,1)),ABS(MOD(A154/Calculator!$F$17,1)-0.5))),1)</f>
        <v>0.0403684210526314</v>
      </c>
      <c r="H154" s="219" t="n">
        <f aca="false">IF(Calculator!$E$18="YES",IF(A154&lt;Calculator!$G$18,0,MIN(MIN(MOD(A154/Calculator!$F$18,1),1-MOD(A154/Calculator!$F$18,1)),ABS(MOD(A154/Calculator!$F$18,1)-0.5))),1)</f>
        <v>1</v>
      </c>
      <c r="I154" s="219" t="n">
        <f aca="false">IF(Calculator!$E$19="YES",IF(A154&lt;Calculator!$G$19,0,MIN(MIN(MOD(A154/Calculator!$F$19,1),1-MOD(A154/Calculator!$F$19,1)),ABS(MOD(A154/Calculator!$F$19,1)-0.5))),1)</f>
        <v>1</v>
      </c>
      <c r="J154" s="219" t="n">
        <f aca="false">IF(Calculator!$E$20="YES",IF(A154&lt;Calculator!$G$20,0,MIN(MIN(MOD(A154/Calculator!$F$20,1),1-MOD(A154/Calculator!$F$20,1)),ABS(MOD(A154/Calculator!$F$20,1)-0.5))),1)</f>
        <v>1</v>
      </c>
      <c r="K154" s="219" t="n">
        <f aca="false">IF(Calculator!$E$21="YES",IF(A154&lt;Calculator!$G$21,0,MIN(MIN(MOD(A154/Calculator!$F$21,1),1-MOD(A154/Calculator!$F$21,1)),ABS(MOD(A154/Calculator!$F$21,1)-0.5))),1)</f>
        <v>0.0116140350877196</v>
      </c>
      <c r="L154" s="219" t="n">
        <f aca="false">IF(Calculator!$E$22="YES",IF(A154&lt;Calculator!$G$22,0,MIN(MIN(MOD(A154/Calculator!$F$22,1),1-MOD(A154/Calculator!$F$22,1)),ABS(MOD(A154/Calculator!$F$22,1)-0.5))),1)</f>
        <v>1</v>
      </c>
      <c r="M154" s="219" t="n">
        <f aca="false">MIN(B154:L154)</f>
        <v>0.0115438596491229</v>
      </c>
      <c r="N154" s="219" t="n">
        <f aca="false">SUMPRODUCT(($M$7:$M$557&gt;M154)*1)+SUMPRODUCT(($M$7:$M$557=M154)*(ROW($M$7:$M$557)&lt;ROW(M154)))+1</f>
        <v>435</v>
      </c>
      <c r="O154" s="219" t="str">
        <f aca="false">IF(M154&gt;=0.2,"★★★ EXCELLENT",IF(M154&gt;=0.12,"★★  GOOD",IF(M154&gt;=0.07,"★  FAIR",IF(M154&gt;=0.025,"⚠  MARGINAL","✗  AVOID"))))</f>
        <v>✗  AVOID</v>
      </c>
    </row>
    <row r="155" customFormat="false" ht="15" hidden="false" customHeight="true" outlineLevel="0" collapsed="false">
      <c r="A155" s="216" t="n">
        <v>19.8</v>
      </c>
      <c r="B155" s="217" t="n">
        <f aca="false">IF(Calculator!$E$12="YES",IF(A155&lt;Calculator!$G$12,0,MIN(MIN(MOD(A155/Calculator!$F$12,1),1-MOD(A155/Calculator!$F$12,1)),ABS(MOD(A155/Calculator!$F$12,1)-0.5))),1)</f>
        <v>1</v>
      </c>
      <c r="C155" s="217" t="n">
        <f aca="false">IF(Calculator!$E$13="YES",IF(A155&lt;Calculator!$G$13,0,MIN(MIN(MOD(A155/Calculator!$F$13,1),1-MOD(A155/Calculator!$F$13,1)),ABS(MOD(A155/Calculator!$F$13,1)-0.5))),1)</f>
        <v>1</v>
      </c>
      <c r="D155" s="217" t="n">
        <f aca="false">IF(Calculator!$E$14="YES",IF(A155&lt;Calculator!$G$14,0,MIN(MIN(MOD(A155/Calculator!$F$14,1),1-MOD(A155/Calculator!$F$14,1)),ABS(MOD(A155/Calculator!$F$14,1)-0.5))),1)</f>
        <v>1</v>
      </c>
      <c r="E155" s="217" t="n">
        <f aca="false">IF(Calculator!$E$15="YES",IF(A155&lt;Calculator!$G$15,0,MIN(MIN(MOD(A155/Calculator!$F$15,1),1-MOD(A155/Calculator!$F$15,1)),ABS(MOD(A155/Calculator!$F$15,1)-0.5))),1)</f>
        <v>0.0065263157894736</v>
      </c>
      <c r="F155" s="217" t="n">
        <f aca="false">IF(Calculator!$E$16="YES",IF(A155&lt;Calculator!$G$16,0,MIN(MIN(MOD(A155/Calculator!$F$16,1),1-MOD(A155/Calculator!$F$16,1)),ABS(MOD(A155/Calculator!$F$16,1)-0.5))),1)</f>
        <v>1</v>
      </c>
      <c r="G155" s="217" t="n">
        <f aca="false">IF(Calculator!$E$17="YES",IF(A155&lt;Calculator!$G$17,0,MIN(MIN(MOD(A155/Calculator!$F$17,1),1-MOD(A155/Calculator!$F$17,1)),ABS(MOD(A155/Calculator!$F$17,1)-0.5))),1)</f>
        <v>0.0304210526315787</v>
      </c>
      <c r="H155" s="217" t="n">
        <f aca="false">IF(Calculator!$E$18="YES",IF(A155&lt;Calculator!$G$18,0,MIN(MIN(MOD(A155/Calculator!$F$18,1),1-MOD(A155/Calculator!$F$18,1)),ABS(MOD(A155/Calculator!$F$18,1)-0.5))),1)</f>
        <v>1</v>
      </c>
      <c r="I155" s="217" t="n">
        <f aca="false">IF(Calculator!$E$19="YES",IF(A155&lt;Calculator!$G$19,0,MIN(MIN(MOD(A155/Calculator!$F$19,1),1-MOD(A155/Calculator!$F$19,1)),ABS(MOD(A155/Calculator!$F$19,1)-0.5))),1)</f>
        <v>1</v>
      </c>
      <c r="J155" s="217" t="n">
        <f aca="false">IF(Calculator!$E$20="YES",IF(A155&lt;Calculator!$G$20,0,MIN(MIN(MOD(A155/Calculator!$F$20,1),1-MOD(A155/Calculator!$F$20,1)),ABS(MOD(A155/Calculator!$F$20,1)-0.5))),1)</f>
        <v>1</v>
      </c>
      <c r="K155" s="217" t="n">
        <f aca="false">IF(Calculator!$E$21="YES",IF(A155&lt;Calculator!$G$21,0,MIN(MIN(MOD(A155/Calculator!$F$21,1),1-MOD(A155/Calculator!$F$21,1)),ABS(MOD(A155/Calculator!$F$21,1)-0.5))),1)</f>
        <v>0.00863157894736855</v>
      </c>
      <c r="L155" s="217" t="n">
        <f aca="false">IF(Calculator!$E$22="YES",IF(A155&lt;Calculator!$G$22,0,MIN(MIN(MOD(A155/Calculator!$F$22,1),1-MOD(A155/Calculator!$F$22,1)),ABS(MOD(A155/Calculator!$F$22,1)-0.5))),1)</f>
        <v>1</v>
      </c>
      <c r="M155" s="217" t="n">
        <f aca="false">MIN(B155:L155)</f>
        <v>0.0065263157894736</v>
      </c>
      <c r="N155" s="217" t="n">
        <f aca="false">SUMPRODUCT(($M$7:$M$557&gt;M155)*1)+SUMPRODUCT(($M$7:$M$557=M155)*(ROW($M$7:$M$557)&lt;ROW(M155)))+1</f>
        <v>462</v>
      </c>
      <c r="O155" s="217" t="str">
        <f aca="false">IF(M155&gt;=0.2,"★★★ EXCELLENT",IF(M155&gt;=0.12,"★★  GOOD",IF(M155&gt;=0.07,"★  FAIR",IF(M155&gt;=0.025,"⚠  MARGINAL","✗  AVOID"))))</f>
        <v>✗  AVOID</v>
      </c>
    </row>
    <row r="156" customFormat="false" ht="15" hidden="false" customHeight="true" outlineLevel="0" collapsed="false">
      <c r="A156" s="218" t="n">
        <v>19.9</v>
      </c>
      <c r="B156" s="219" t="n">
        <f aca="false">IF(Calculator!$E$12="YES",IF(A156&lt;Calculator!$G$12,0,MIN(MIN(MOD(A156/Calculator!$F$12,1),1-MOD(A156/Calculator!$F$12,1)),ABS(MOD(A156/Calculator!$F$12,1)-0.5))),1)</f>
        <v>1</v>
      </c>
      <c r="C156" s="219" t="n">
        <f aca="false">IF(Calculator!$E$13="YES",IF(A156&lt;Calculator!$G$13,0,MIN(MIN(MOD(A156/Calculator!$F$13,1),1-MOD(A156/Calculator!$F$13,1)),ABS(MOD(A156/Calculator!$F$13,1)-0.5))),1)</f>
        <v>1</v>
      </c>
      <c r="D156" s="219" t="n">
        <f aca="false">IF(Calculator!$E$14="YES",IF(A156&lt;Calculator!$G$14,0,MIN(MIN(MOD(A156/Calculator!$F$14,1),1-MOD(A156/Calculator!$F$14,1)),ABS(MOD(A156/Calculator!$F$14,1)-0.5))),1)</f>
        <v>1</v>
      </c>
      <c r="E156" s="219" t="n">
        <f aca="false">IF(Calculator!$E$15="YES",IF(A156&lt;Calculator!$G$15,0,MIN(MIN(MOD(A156/Calculator!$F$15,1),1-MOD(A156/Calculator!$F$15,1)),ABS(MOD(A156/Calculator!$F$15,1)-0.5))),1)</f>
        <v>0.00150877192982468</v>
      </c>
      <c r="F156" s="219" t="n">
        <f aca="false">IF(Calculator!$E$16="YES",IF(A156&lt;Calculator!$G$16,0,MIN(MIN(MOD(A156/Calculator!$F$16,1),1-MOD(A156/Calculator!$F$16,1)),ABS(MOD(A156/Calculator!$F$16,1)-0.5))),1)</f>
        <v>1</v>
      </c>
      <c r="G156" s="219" t="n">
        <f aca="false">IF(Calculator!$E$17="YES",IF(A156&lt;Calculator!$G$17,0,MIN(MIN(MOD(A156/Calculator!$F$17,1),1-MOD(A156/Calculator!$F$17,1)),ABS(MOD(A156/Calculator!$F$17,1)-0.5))),1)</f>
        <v>0.0204736842105262</v>
      </c>
      <c r="H156" s="219" t="n">
        <f aca="false">IF(Calculator!$E$18="YES",IF(A156&lt;Calculator!$G$18,0,MIN(MIN(MOD(A156/Calculator!$F$18,1),1-MOD(A156/Calculator!$F$18,1)),ABS(MOD(A156/Calculator!$F$18,1)-0.5))),1)</f>
        <v>1</v>
      </c>
      <c r="I156" s="219" t="n">
        <f aca="false">IF(Calculator!$E$19="YES",IF(A156&lt;Calculator!$G$19,0,MIN(MIN(MOD(A156/Calculator!$F$19,1),1-MOD(A156/Calculator!$F$19,1)),ABS(MOD(A156/Calculator!$F$19,1)-0.5))),1)</f>
        <v>1</v>
      </c>
      <c r="J156" s="219" t="n">
        <f aca="false">IF(Calculator!$E$20="YES",IF(A156&lt;Calculator!$G$20,0,MIN(MIN(MOD(A156/Calculator!$F$20,1),1-MOD(A156/Calculator!$F$20,1)),ABS(MOD(A156/Calculator!$F$20,1)-0.5))),1)</f>
        <v>1</v>
      </c>
      <c r="K156" s="219" t="n">
        <f aca="false">IF(Calculator!$E$21="YES",IF(A156&lt;Calculator!$G$21,0,MIN(MIN(MOD(A156/Calculator!$F$21,1),1-MOD(A156/Calculator!$F$21,1)),ABS(MOD(A156/Calculator!$F$21,1)-0.5))),1)</f>
        <v>0.0288771929824554</v>
      </c>
      <c r="L156" s="219" t="n">
        <f aca="false">IF(Calculator!$E$22="YES",IF(A156&lt;Calculator!$G$22,0,MIN(MIN(MOD(A156/Calculator!$F$22,1),1-MOD(A156/Calculator!$F$22,1)),ABS(MOD(A156/Calculator!$F$22,1)-0.5))),1)</f>
        <v>1</v>
      </c>
      <c r="M156" s="219" t="n">
        <f aca="false">MIN(B156:L156)</f>
        <v>0.00150877192982468</v>
      </c>
      <c r="N156" s="219" t="n">
        <f aca="false">SUMPRODUCT(($M$7:$M$557&gt;M156)*1)+SUMPRODUCT(($M$7:$M$557=M156)*(ROW($M$7:$M$557)&lt;ROW(M156)))+1</f>
        <v>490</v>
      </c>
      <c r="O156" s="219" t="str">
        <f aca="false">IF(M156&gt;=0.2,"★★★ EXCELLENT",IF(M156&gt;=0.12,"★★  GOOD",IF(M156&gt;=0.07,"★  FAIR",IF(M156&gt;=0.025,"⚠  MARGINAL","✗  AVOID"))))</f>
        <v>✗  AVOID</v>
      </c>
    </row>
    <row r="157" customFormat="false" ht="15" hidden="false" customHeight="true" outlineLevel="0" collapsed="false">
      <c r="A157" s="216" t="n">
        <v>20</v>
      </c>
      <c r="B157" s="217" t="n">
        <f aca="false">IF(Calculator!$E$12="YES",IF(A157&lt;Calculator!$G$12,0,MIN(MIN(MOD(A157/Calculator!$F$12,1),1-MOD(A157/Calculator!$F$12,1)),ABS(MOD(A157/Calculator!$F$12,1)-0.5))),1)</f>
        <v>1</v>
      </c>
      <c r="C157" s="217" t="n">
        <f aca="false">IF(Calculator!$E$13="YES",IF(A157&lt;Calculator!$G$13,0,MIN(MIN(MOD(A157/Calculator!$F$13,1),1-MOD(A157/Calculator!$F$13,1)),ABS(MOD(A157/Calculator!$F$13,1)-0.5))),1)</f>
        <v>1</v>
      </c>
      <c r="D157" s="217" t="n">
        <f aca="false">IF(Calculator!$E$14="YES",IF(A157&lt;Calculator!$G$14,0,MIN(MIN(MOD(A157/Calculator!$F$14,1),1-MOD(A157/Calculator!$F$14,1)),ABS(MOD(A157/Calculator!$F$14,1)-0.5))),1)</f>
        <v>1</v>
      </c>
      <c r="E157" s="217" t="n">
        <f aca="false">IF(Calculator!$E$15="YES",IF(A157&lt;Calculator!$G$15,0,MIN(MIN(MOD(A157/Calculator!$F$15,1),1-MOD(A157/Calculator!$F$15,1)),ABS(MOD(A157/Calculator!$F$15,1)-0.5))),1)</f>
        <v>0.00350877192982457</v>
      </c>
      <c r="F157" s="217" t="n">
        <f aca="false">IF(Calculator!$E$16="YES",IF(A157&lt;Calculator!$G$16,0,MIN(MIN(MOD(A157/Calculator!$F$16,1),1-MOD(A157/Calculator!$F$16,1)),ABS(MOD(A157/Calculator!$F$16,1)-0.5))),1)</f>
        <v>1</v>
      </c>
      <c r="G157" s="217" t="n">
        <f aca="false">IF(Calculator!$E$17="YES",IF(A157&lt;Calculator!$G$17,0,MIN(MIN(MOD(A157/Calculator!$F$17,1),1-MOD(A157/Calculator!$F$17,1)),ABS(MOD(A157/Calculator!$F$17,1)-0.5))),1)</f>
        <v>0.0105263157894735</v>
      </c>
      <c r="H157" s="217" t="n">
        <f aca="false">IF(Calculator!$E$18="YES",IF(A157&lt;Calculator!$G$18,0,MIN(MIN(MOD(A157/Calculator!$F$18,1),1-MOD(A157/Calculator!$F$18,1)),ABS(MOD(A157/Calculator!$F$18,1)-0.5))),1)</f>
        <v>1</v>
      </c>
      <c r="I157" s="217" t="n">
        <f aca="false">IF(Calculator!$E$19="YES",IF(A157&lt;Calculator!$G$19,0,MIN(MIN(MOD(A157/Calculator!$F$19,1),1-MOD(A157/Calculator!$F$19,1)),ABS(MOD(A157/Calculator!$F$19,1)-0.5))),1)</f>
        <v>1</v>
      </c>
      <c r="J157" s="217" t="n">
        <f aca="false">IF(Calculator!$E$20="YES",IF(A157&lt;Calculator!$G$20,0,MIN(MIN(MOD(A157/Calculator!$F$20,1),1-MOD(A157/Calculator!$F$20,1)),ABS(MOD(A157/Calculator!$F$20,1)-0.5))),1)</f>
        <v>1</v>
      </c>
      <c r="K157" s="217" t="n">
        <f aca="false">IF(Calculator!$E$21="YES",IF(A157&lt;Calculator!$G$21,0,MIN(MIN(MOD(A157/Calculator!$F$21,1),1-MOD(A157/Calculator!$F$21,1)),ABS(MOD(A157/Calculator!$F$21,1)-0.5))),1)</f>
        <v>0.049122807017544</v>
      </c>
      <c r="L157" s="217" t="n">
        <f aca="false">IF(Calculator!$E$22="YES",IF(A157&lt;Calculator!$G$22,0,MIN(MIN(MOD(A157/Calculator!$F$22,1),1-MOD(A157/Calculator!$F$22,1)),ABS(MOD(A157/Calculator!$F$22,1)-0.5))),1)</f>
        <v>1</v>
      </c>
      <c r="M157" s="217" t="n">
        <f aca="false">MIN(B157:L157)</f>
        <v>0.00350877192982457</v>
      </c>
      <c r="N157" s="217" t="n">
        <f aca="false">SUMPRODUCT(($M$7:$M$557&gt;M157)*1)+SUMPRODUCT(($M$7:$M$557=M157)*(ROW($M$7:$M$557)&lt;ROW(M157)))+1</f>
        <v>481</v>
      </c>
      <c r="O157" s="217" t="str">
        <f aca="false">IF(M157&gt;=0.2,"★★★ EXCELLENT",IF(M157&gt;=0.12,"★★  GOOD",IF(M157&gt;=0.07,"★  FAIR",IF(M157&gt;=0.025,"⚠  MARGINAL","✗  AVOID"))))</f>
        <v>✗  AVOID</v>
      </c>
    </row>
    <row r="158" customFormat="false" ht="15" hidden="false" customHeight="true" outlineLevel="0" collapsed="false">
      <c r="A158" s="218" t="n">
        <v>20.1</v>
      </c>
      <c r="B158" s="219" t="n">
        <f aca="false">IF(Calculator!$E$12="YES",IF(A158&lt;Calculator!$G$12,0,MIN(MIN(MOD(A158/Calculator!$F$12,1),1-MOD(A158/Calculator!$F$12,1)),ABS(MOD(A158/Calculator!$F$12,1)-0.5))),1)</f>
        <v>1</v>
      </c>
      <c r="C158" s="219" t="n">
        <f aca="false">IF(Calculator!$E$13="YES",IF(A158&lt;Calculator!$G$13,0,MIN(MIN(MOD(A158/Calculator!$F$13,1),1-MOD(A158/Calculator!$F$13,1)),ABS(MOD(A158/Calculator!$F$13,1)-0.5))),1)</f>
        <v>1</v>
      </c>
      <c r="D158" s="219" t="n">
        <f aca="false">IF(Calculator!$E$14="YES",IF(A158&lt;Calculator!$G$14,0,MIN(MIN(MOD(A158/Calculator!$F$14,1),1-MOD(A158/Calculator!$F$14,1)),ABS(MOD(A158/Calculator!$F$14,1)-0.5))),1)</f>
        <v>1</v>
      </c>
      <c r="E158" s="219" t="n">
        <f aca="false">IF(Calculator!$E$15="YES",IF(A158&lt;Calculator!$G$15,0,MIN(MIN(MOD(A158/Calculator!$F$15,1),1-MOD(A158/Calculator!$F$15,1)),ABS(MOD(A158/Calculator!$F$15,1)-0.5))),1)</f>
        <v>0.00852631578947372</v>
      </c>
      <c r="F158" s="219" t="n">
        <f aca="false">IF(Calculator!$E$16="YES",IF(A158&lt;Calculator!$G$16,0,MIN(MIN(MOD(A158/Calculator!$F$16,1),1-MOD(A158/Calculator!$F$16,1)),ABS(MOD(A158/Calculator!$F$16,1)-0.5))),1)</f>
        <v>1</v>
      </c>
      <c r="G158" s="219" t="n">
        <f aca="false">IF(Calculator!$E$17="YES",IF(A158&lt;Calculator!$G$17,0,MIN(MIN(MOD(A158/Calculator!$F$17,1),1-MOD(A158/Calculator!$F$17,1)),ABS(MOD(A158/Calculator!$F$17,1)-0.5))),1)</f>
        <v>0.00057894736842079</v>
      </c>
      <c r="H158" s="219" t="n">
        <f aca="false">IF(Calculator!$E$18="YES",IF(A158&lt;Calculator!$G$18,0,MIN(MIN(MOD(A158/Calculator!$F$18,1),1-MOD(A158/Calculator!$F$18,1)),ABS(MOD(A158/Calculator!$F$18,1)-0.5))),1)</f>
        <v>1</v>
      </c>
      <c r="I158" s="219" t="n">
        <f aca="false">IF(Calculator!$E$19="YES",IF(A158&lt;Calculator!$G$19,0,MIN(MIN(MOD(A158/Calculator!$F$19,1),1-MOD(A158/Calculator!$F$19,1)),ABS(MOD(A158/Calculator!$F$19,1)-0.5))),1)</f>
        <v>1</v>
      </c>
      <c r="J158" s="219" t="n">
        <f aca="false">IF(Calculator!$E$20="YES",IF(A158&lt;Calculator!$G$20,0,MIN(MIN(MOD(A158/Calculator!$F$20,1),1-MOD(A158/Calculator!$F$20,1)),ABS(MOD(A158/Calculator!$F$20,1)-0.5))),1)</f>
        <v>1</v>
      </c>
      <c r="K158" s="219" t="n">
        <f aca="false">IF(Calculator!$E$21="YES",IF(A158&lt;Calculator!$G$21,0,MIN(MIN(MOD(A158/Calculator!$F$21,1),1-MOD(A158/Calculator!$F$21,1)),ABS(MOD(A158/Calculator!$F$21,1)-0.5))),1)</f>
        <v>0.0693684210526318</v>
      </c>
      <c r="L158" s="219" t="n">
        <f aca="false">IF(Calculator!$E$22="YES",IF(A158&lt;Calculator!$G$22,0,MIN(MIN(MOD(A158/Calculator!$F$22,1),1-MOD(A158/Calculator!$F$22,1)),ABS(MOD(A158/Calculator!$F$22,1)-0.5))),1)</f>
        <v>1</v>
      </c>
      <c r="M158" s="219" t="n">
        <f aca="false">MIN(B158:L158)</f>
        <v>0.00057894736842079</v>
      </c>
      <c r="N158" s="219" t="n">
        <f aca="false">SUMPRODUCT(($M$7:$M$557&gt;M158)*1)+SUMPRODUCT(($M$7:$M$557=M158)*(ROW($M$7:$M$557)&lt;ROW(M158)))+1</f>
        <v>498</v>
      </c>
      <c r="O158" s="219" t="str">
        <f aca="false">IF(M158&gt;=0.2,"★★★ EXCELLENT",IF(M158&gt;=0.12,"★★  GOOD",IF(M158&gt;=0.07,"★  FAIR",IF(M158&gt;=0.025,"⚠  MARGINAL","✗  AVOID"))))</f>
        <v>✗  AVOID</v>
      </c>
    </row>
    <row r="159" customFormat="false" ht="15" hidden="false" customHeight="true" outlineLevel="0" collapsed="false">
      <c r="A159" s="216" t="n">
        <v>20.2</v>
      </c>
      <c r="B159" s="217" t="n">
        <f aca="false">IF(Calculator!$E$12="YES",IF(A159&lt;Calculator!$G$12,0,MIN(MIN(MOD(A159/Calculator!$F$12,1),1-MOD(A159/Calculator!$F$12,1)),ABS(MOD(A159/Calculator!$F$12,1)-0.5))),1)</f>
        <v>1</v>
      </c>
      <c r="C159" s="217" t="n">
        <f aca="false">IF(Calculator!$E$13="YES",IF(A159&lt;Calculator!$G$13,0,MIN(MIN(MOD(A159/Calculator!$F$13,1),1-MOD(A159/Calculator!$F$13,1)),ABS(MOD(A159/Calculator!$F$13,1)-0.5))),1)</f>
        <v>1</v>
      </c>
      <c r="D159" s="217" t="n">
        <f aca="false">IF(Calculator!$E$14="YES",IF(A159&lt;Calculator!$G$14,0,MIN(MIN(MOD(A159/Calculator!$F$14,1),1-MOD(A159/Calculator!$F$14,1)),ABS(MOD(A159/Calculator!$F$14,1)-0.5))),1)</f>
        <v>1</v>
      </c>
      <c r="E159" s="217" t="n">
        <f aca="false">IF(Calculator!$E$15="YES",IF(A159&lt;Calculator!$G$15,0,MIN(MIN(MOD(A159/Calculator!$F$15,1),1-MOD(A159/Calculator!$F$15,1)),ABS(MOD(A159/Calculator!$F$15,1)-0.5))),1)</f>
        <v>0.0135438596491229</v>
      </c>
      <c r="F159" s="217" t="n">
        <f aca="false">IF(Calculator!$E$16="YES",IF(A159&lt;Calculator!$G$16,0,MIN(MIN(MOD(A159/Calculator!$F$16,1),1-MOD(A159/Calculator!$F$16,1)),ABS(MOD(A159/Calculator!$F$16,1)-0.5))),1)</f>
        <v>1</v>
      </c>
      <c r="G159" s="217" t="n">
        <f aca="false">IF(Calculator!$E$17="YES",IF(A159&lt;Calculator!$G$17,0,MIN(MIN(MOD(A159/Calculator!$F$17,1),1-MOD(A159/Calculator!$F$17,1)),ABS(MOD(A159/Calculator!$F$17,1)-0.5))),1)</f>
        <v>0.00936842105263169</v>
      </c>
      <c r="H159" s="217" t="n">
        <f aca="false">IF(Calculator!$E$18="YES",IF(A159&lt;Calculator!$G$18,0,MIN(MIN(MOD(A159/Calculator!$F$18,1),1-MOD(A159/Calculator!$F$18,1)),ABS(MOD(A159/Calculator!$F$18,1)-0.5))),1)</f>
        <v>1</v>
      </c>
      <c r="I159" s="217" t="n">
        <f aca="false">IF(Calculator!$E$19="YES",IF(A159&lt;Calculator!$G$19,0,MIN(MIN(MOD(A159/Calculator!$F$19,1),1-MOD(A159/Calculator!$F$19,1)),ABS(MOD(A159/Calculator!$F$19,1)-0.5))),1)</f>
        <v>1</v>
      </c>
      <c r="J159" s="217" t="n">
        <f aca="false">IF(Calculator!$E$20="YES",IF(A159&lt;Calculator!$G$20,0,MIN(MIN(MOD(A159/Calculator!$F$20,1),1-MOD(A159/Calculator!$F$20,1)),ABS(MOD(A159/Calculator!$F$20,1)-0.5))),1)</f>
        <v>1</v>
      </c>
      <c r="K159" s="217" t="n">
        <f aca="false">IF(Calculator!$E$21="YES",IF(A159&lt;Calculator!$G$21,0,MIN(MIN(MOD(A159/Calculator!$F$21,1),1-MOD(A159/Calculator!$F$21,1)),ABS(MOD(A159/Calculator!$F$21,1)-0.5))),1)</f>
        <v>0.0896140350877195</v>
      </c>
      <c r="L159" s="217" t="n">
        <f aca="false">IF(Calculator!$E$22="YES",IF(A159&lt;Calculator!$G$22,0,MIN(MIN(MOD(A159/Calculator!$F$22,1),1-MOD(A159/Calculator!$F$22,1)),ABS(MOD(A159/Calculator!$F$22,1)-0.5))),1)</f>
        <v>1</v>
      </c>
      <c r="M159" s="217" t="n">
        <f aca="false">MIN(B159:L159)</f>
        <v>0.00936842105263169</v>
      </c>
      <c r="N159" s="217" t="n">
        <f aca="false">SUMPRODUCT(($M$7:$M$557&gt;M159)*1)+SUMPRODUCT(($M$7:$M$557=M159)*(ROW($M$7:$M$557)&lt;ROW(M159)))+1</f>
        <v>447</v>
      </c>
      <c r="O159" s="217" t="str">
        <f aca="false">IF(M159&gt;=0.2,"★★★ EXCELLENT",IF(M159&gt;=0.12,"★★  GOOD",IF(M159&gt;=0.07,"★  FAIR",IF(M159&gt;=0.025,"⚠  MARGINAL","✗  AVOID"))))</f>
        <v>✗  AVOID</v>
      </c>
    </row>
    <row r="160" customFormat="false" ht="15" hidden="false" customHeight="true" outlineLevel="0" collapsed="false">
      <c r="A160" s="218" t="n">
        <v>20.3</v>
      </c>
      <c r="B160" s="219" t="n">
        <f aca="false">IF(Calculator!$E$12="YES",IF(A160&lt;Calculator!$G$12,0,MIN(MIN(MOD(A160/Calculator!$F$12,1),1-MOD(A160/Calculator!$F$12,1)),ABS(MOD(A160/Calculator!$F$12,1)-0.5))),1)</f>
        <v>1</v>
      </c>
      <c r="C160" s="219" t="n">
        <f aca="false">IF(Calculator!$E$13="YES",IF(A160&lt;Calculator!$G$13,0,MIN(MIN(MOD(A160/Calculator!$F$13,1),1-MOD(A160/Calculator!$F$13,1)),ABS(MOD(A160/Calculator!$F$13,1)-0.5))),1)</f>
        <v>1</v>
      </c>
      <c r="D160" s="219" t="n">
        <f aca="false">IF(Calculator!$E$14="YES",IF(A160&lt;Calculator!$G$14,0,MIN(MIN(MOD(A160/Calculator!$F$14,1),1-MOD(A160/Calculator!$F$14,1)),ABS(MOD(A160/Calculator!$F$14,1)-0.5))),1)</f>
        <v>1</v>
      </c>
      <c r="E160" s="219" t="n">
        <f aca="false">IF(Calculator!$E$15="YES",IF(A160&lt;Calculator!$G$15,0,MIN(MIN(MOD(A160/Calculator!$F$15,1),1-MOD(A160/Calculator!$F$15,1)),ABS(MOD(A160/Calculator!$F$15,1)-0.5))),1)</f>
        <v>0.018561403508772</v>
      </c>
      <c r="F160" s="219" t="n">
        <f aca="false">IF(Calculator!$E$16="YES",IF(A160&lt;Calculator!$G$16,0,MIN(MIN(MOD(A160/Calculator!$F$16,1),1-MOD(A160/Calculator!$F$16,1)),ABS(MOD(A160/Calculator!$F$16,1)-0.5))),1)</f>
        <v>1</v>
      </c>
      <c r="G160" s="219" t="n">
        <f aca="false">IF(Calculator!$E$17="YES",IF(A160&lt;Calculator!$G$17,0,MIN(MIN(MOD(A160/Calculator!$F$17,1),1-MOD(A160/Calculator!$F$17,1)),ABS(MOD(A160/Calculator!$F$17,1)-0.5))),1)</f>
        <v>0.0193157894736844</v>
      </c>
      <c r="H160" s="219" t="n">
        <f aca="false">IF(Calculator!$E$18="YES",IF(A160&lt;Calculator!$G$18,0,MIN(MIN(MOD(A160/Calculator!$F$18,1),1-MOD(A160/Calculator!$F$18,1)),ABS(MOD(A160/Calculator!$F$18,1)-0.5))),1)</f>
        <v>1</v>
      </c>
      <c r="I160" s="219" t="n">
        <f aca="false">IF(Calculator!$E$19="YES",IF(A160&lt;Calculator!$G$19,0,MIN(MIN(MOD(A160/Calculator!$F$19,1),1-MOD(A160/Calculator!$F$19,1)),ABS(MOD(A160/Calculator!$F$19,1)-0.5))),1)</f>
        <v>1</v>
      </c>
      <c r="J160" s="219" t="n">
        <f aca="false">IF(Calculator!$E$20="YES",IF(A160&lt;Calculator!$G$20,0,MIN(MIN(MOD(A160/Calculator!$F$20,1),1-MOD(A160/Calculator!$F$20,1)),ABS(MOD(A160/Calculator!$F$20,1)-0.5))),1)</f>
        <v>1</v>
      </c>
      <c r="K160" s="219" t="n">
        <f aca="false">IF(Calculator!$E$21="YES",IF(A160&lt;Calculator!$G$21,0,MIN(MIN(MOD(A160/Calculator!$F$21,1),1-MOD(A160/Calculator!$F$21,1)),ABS(MOD(A160/Calculator!$F$21,1)-0.5))),1)</f>
        <v>0.109859649122807</v>
      </c>
      <c r="L160" s="219" t="n">
        <f aca="false">IF(Calculator!$E$22="YES",IF(A160&lt;Calculator!$G$22,0,MIN(MIN(MOD(A160/Calculator!$F$22,1),1-MOD(A160/Calculator!$F$22,1)),ABS(MOD(A160/Calculator!$F$22,1)-0.5))),1)</f>
        <v>1</v>
      </c>
      <c r="M160" s="219" t="n">
        <f aca="false">MIN(B160:L160)</f>
        <v>0.018561403508772</v>
      </c>
      <c r="N160" s="219" t="n">
        <f aca="false">SUMPRODUCT(($M$7:$M$557&gt;M160)*1)+SUMPRODUCT(($M$7:$M$557=M160)*(ROW($M$7:$M$557)&lt;ROW(M160)))+1</f>
        <v>409</v>
      </c>
      <c r="O160" s="219" t="str">
        <f aca="false">IF(M160&gt;=0.2,"★★★ EXCELLENT",IF(M160&gt;=0.12,"★★  GOOD",IF(M160&gt;=0.07,"★  FAIR",IF(M160&gt;=0.025,"⚠  MARGINAL","✗  AVOID"))))</f>
        <v>✗  AVOID</v>
      </c>
    </row>
    <row r="161" customFormat="false" ht="15" hidden="false" customHeight="true" outlineLevel="0" collapsed="false">
      <c r="A161" s="216" t="n">
        <v>20.4</v>
      </c>
      <c r="B161" s="217" t="n">
        <f aca="false">IF(Calculator!$E$12="YES",IF(A161&lt;Calculator!$G$12,0,MIN(MIN(MOD(A161/Calculator!$F$12,1),1-MOD(A161/Calculator!$F$12,1)),ABS(MOD(A161/Calculator!$F$12,1)-0.5))),1)</f>
        <v>1</v>
      </c>
      <c r="C161" s="217" t="n">
        <f aca="false">IF(Calculator!$E$13="YES",IF(A161&lt;Calculator!$G$13,0,MIN(MIN(MOD(A161/Calculator!$F$13,1),1-MOD(A161/Calculator!$F$13,1)),ABS(MOD(A161/Calculator!$F$13,1)-0.5))),1)</f>
        <v>1</v>
      </c>
      <c r="D161" s="217" t="n">
        <f aca="false">IF(Calculator!$E$14="YES",IF(A161&lt;Calculator!$G$14,0,MIN(MIN(MOD(A161/Calculator!$F$14,1),1-MOD(A161/Calculator!$F$14,1)),ABS(MOD(A161/Calculator!$F$14,1)-0.5))),1)</f>
        <v>1</v>
      </c>
      <c r="E161" s="217" t="n">
        <f aca="false">IF(Calculator!$E$15="YES",IF(A161&lt;Calculator!$G$15,0,MIN(MIN(MOD(A161/Calculator!$F$15,1),1-MOD(A161/Calculator!$F$15,1)),ABS(MOD(A161/Calculator!$F$15,1)-0.5))),1)</f>
        <v>0.0235789473684209</v>
      </c>
      <c r="F161" s="217" t="n">
        <f aca="false">IF(Calculator!$E$16="YES",IF(A161&lt;Calculator!$G$16,0,MIN(MIN(MOD(A161/Calculator!$F$16,1),1-MOD(A161/Calculator!$F$16,1)),ABS(MOD(A161/Calculator!$F$16,1)-0.5))),1)</f>
        <v>1</v>
      </c>
      <c r="G161" s="217" t="n">
        <f aca="false">IF(Calculator!$E$17="YES",IF(A161&lt;Calculator!$G$17,0,MIN(MIN(MOD(A161/Calculator!$F$17,1),1-MOD(A161/Calculator!$F$17,1)),ABS(MOD(A161/Calculator!$F$17,1)-0.5))),1)</f>
        <v>0.0292631578947367</v>
      </c>
      <c r="H161" s="217" t="n">
        <f aca="false">IF(Calculator!$E$18="YES",IF(A161&lt;Calculator!$G$18,0,MIN(MIN(MOD(A161/Calculator!$F$18,1),1-MOD(A161/Calculator!$F$18,1)),ABS(MOD(A161/Calculator!$F$18,1)-0.5))),1)</f>
        <v>1</v>
      </c>
      <c r="I161" s="217" t="n">
        <f aca="false">IF(Calculator!$E$19="YES",IF(A161&lt;Calculator!$G$19,0,MIN(MIN(MOD(A161/Calculator!$F$19,1),1-MOD(A161/Calculator!$F$19,1)),ABS(MOD(A161/Calculator!$F$19,1)-0.5))),1)</f>
        <v>1</v>
      </c>
      <c r="J161" s="217" t="n">
        <f aca="false">IF(Calculator!$E$20="YES",IF(A161&lt;Calculator!$G$20,0,MIN(MIN(MOD(A161/Calculator!$F$20,1),1-MOD(A161/Calculator!$F$20,1)),ABS(MOD(A161/Calculator!$F$20,1)-0.5))),1)</f>
        <v>1</v>
      </c>
      <c r="K161" s="217" t="n">
        <f aca="false">IF(Calculator!$E$21="YES",IF(A161&lt;Calculator!$G$21,0,MIN(MIN(MOD(A161/Calculator!$F$21,1),1-MOD(A161/Calculator!$F$21,1)),ABS(MOD(A161/Calculator!$F$21,1)-0.5))),1)</f>
        <v>0.130105263157894</v>
      </c>
      <c r="L161" s="217" t="n">
        <f aca="false">IF(Calculator!$E$22="YES",IF(A161&lt;Calculator!$G$22,0,MIN(MIN(MOD(A161/Calculator!$F$22,1),1-MOD(A161/Calculator!$F$22,1)),ABS(MOD(A161/Calculator!$F$22,1)-0.5))),1)</f>
        <v>1</v>
      </c>
      <c r="M161" s="217" t="n">
        <f aca="false">MIN(B161:L161)</f>
        <v>0.0235789473684209</v>
      </c>
      <c r="N161" s="217" t="n">
        <f aca="false">SUMPRODUCT(($M$7:$M$557&gt;M161)*1)+SUMPRODUCT(($M$7:$M$557=M161)*(ROW($M$7:$M$557)&lt;ROW(M161)))+1</f>
        <v>387</v>
      </c>
      <c r="O161" s="217" t="str">
        <f aca="false">IF(M161&gt;=0.2,"★★★ EXCELLENT",IF(M161&gt;=0.12,"★★  GOOD",IF(M161&gt;=0.07,"★  FAIR",IF(M161&gt;=0.025,"⚠  MARGINAL","✗  AVOID"))))</f>
        <v>✗  AVOID</v>
      </c>
    </row>
    <row r="162" customFormat="false" ht="15" hidden="false" customHeight="true" outlineLevel="0" collapsed="false">
      <c r="A162" s="218" t="n">
        <v>20.5</v>
      </c>
      <c r="B162" s="219" t="n">
        <f aca="false">IF(Calculator!$E$12="YES",IF(A162&lt;Calculator!$G$12,0,MIN(MIN(MOD(A162/Calculator!$F$12,1),1-MOD(A162/Calculator!$F$12,1)),ABS(MOD(A162/Calculator!$F$12,1)-0.5))),1)</f>
        <v>1</v>
      </c>
      <c r="C162" s="219" t="n">
        <f aca="false">IF(Calculator!$E$13="YES",IF(A162&lt;Calculator!$G$13,0,MIN(MIN(MOD(A162/Calculator!$F$13,1),1-MOD(A162/Calculator!$F$13,1)),ABS(MOD(A162/Calculator!$F$13,1)-0.5))),1)</f>
        <v>1</v>
      </c>
      <c r="D162" s="219" t="n">
        <f aca="false">IF(Calculator!$E$14="YES",IF(A162&lt;Calculator!$G$14,0,MIN(MIN(MOD(A162/Calculator!$F$14,1),1-MOD(A162/Calculator!$F$14,1)),ABS(MOD(A162/Calculator!$F$14,1)-0.5))),1)</f>
        <v>1</v>
      </c>
      <c r="E162" s="219" t="n">
        <f aca="false">IF(Calculator!$E$15="YES",IF(A162&lt;Calculator!$G$15,0,MIN(MIN(MOD(A162/Calculator!$F$15,1),1-MOD(A162/Calculator!$F$15,1)),ABS(MOD(A162/Calculator!$F$15,1)-0.5))),1)</f>
        <v>0.0285964912280703</v>
      </c>
      <c r="F162" s="219" t="n">
        <f aca="false">IF(Calculator!$E$16="YES",IF(A162&lt;Calculator!$G$16,0,MIN(MIN(MOD(A162/Calculator!$F$16,1),1-MOD(A162/Calculator!$F$16,1)),ABS(MOD(A162/Calculator!$F$16,1)-0.5))),1)</f>
        <v>1</v>
      </c>
      <c r="G162" s="219" t="n">
        <f aca="false">IF(Calculator!$E$17="YES",IF(A162&lt;Calculator!$G$17,0,MIN(MIN(MOD(A162/Calculator!$F$17,1),1-MOD(A162/Calculator!$F$17,1)),ABS(MOD(A162/Calculator!$F$17,1)-0.5))),1)</f>
        <v>0.0392105263157898</v>
      </c>
      <c r="H162" s="219" t="n">
        <f aca="false">IF(Calculator!$E$18="YES",IF(A162&lt;Calculator!$G$18,0,MIN(MIN(MOD(A162/Calculator!$F$18,1),1-MOD(A162/Calculator!$F$18,1)),ABS(MOD(A162/Calculator!$F$18,1)-0.5))),1)</f>
        <v>1</v>
      </c>
      <c r="I162" s="219" t="n">
        <f aca="false">IF(Calculator!$E$19="YES",IF(A162&lt;Calculator!$G$19,0,MIN(MIN(MOD(A162/Calculator!$F$19,1),1-MOD(A162/Calculator!$F$19,1)),ABS(MOD(A162/Calculator!$F$19,1)-0.5))),1)</f>
        <v>1</v>
      </c>
      <c r="J162" s="219" t="n">
        <f aca="false">IF(Calculator!$E$20="YES",IF(A162&lt;Calculator!$G$20,0,MIN(MIN(MOD(A162/Calculator!$F$20,1),1-MOD(A162/Calculator!$F$20,1)),ABS(MOD(A162/Calculator!$F$20,1)-0.5))),1)</f>
        <v>1</v>
      </c>
      <c r="K162" s="219" t="n">
        <f aca="false">IF(Calculator!$E$21="YES",IF(A162&lt;Calculator!$G$21,0,MIN(MIN(MOD(A162/Calculator!$F$21,1),1-MOD(A162/Calculator!$F$21,1)),ABS(MOD(A162/Calculator!$F$21,1)-0.5))),1)</f>
        <v>0.150350877192983</v>
      </c>
      <c r="L162" s="219" t="n">
        <f aca="false">IF(Calculator!$E$22="YES",IF(A162&lt;Calculator!$G$22,0,MIN(MIN(MOD(A162/Calculator!$F$22,1),1-MOD(A162/Calculator!$F$22,1)),ABS(MOD(A162/Calculator!$F$22,1)-0.5))),1)</f>
        <v>1</v>
      </c>
      <c r="M162" s="219" t="n">
        <f aca="false">MIN(B162:L162)</f>
        <v>0.0285964912280703</v>
      </c>
      <c r="N162" s="219" t="n">
        <f aca="false">SUMPRODUCT(($M$7:$M$557&gt;M162)*1)+SUMPRODUCT(($M$7:$M$557=M162)*(ROW($M$7:$M$557)&lt;ROW(M162)))+1</f>
        <v>370</v>
      </c>
      <c r="O162" s="219" t="str">
        <f aca="false">IF(M162&gt;=0.2,"★★★ EXCELLENT",IF(M162&gt;=0.12,"★★  GOOD",IF(M162&gt;=0.07,"★  FAIR",IF(M162&gt;=0.025,"⚠  MARGINAL","✗  AVOID"))))</f>
        <v>⚠  MARGINAL</v>
      </c>
    </row>
    <row r="163" customFormat="false" ht="15" hidden="false" customHeight="true" outlineLevel="0" collapsed="false">
      <c r="A163" s="216" t="n">
        <v>20.6</v>
      </c>
      <c r="B163" s="217" t="n">
        <f aca="false">IF(Calculator!$E$12="YES",IF(A163&lt;Calculator!$G$12,0,MIN(MIN(MOD(A163/Calculator!$F$12,1),1-MOD(A163/Calculator!$F$12,1)),ABS(MOD(A163/Calculator!$F$12,1)-0.5))),1)</f>
        <v>1</v>
      </c>
      <c r="C163" s="217" t="n">
        <f aca="false">IF(Calculator!$E$13="YES",IF(A163&lt;Calculator!$G$13,0,MIN(MIN(MOD(A163/Calculator!$F$13,1),1-MOD(A163/Calculator!$F$13,1)),ABS(MOD(A163/Calculator!$F$13,1)-0.5))),1)</f>
        <v>1</v>
      </c>
      <c r="D163" s="217" t="n">
        <f aca="false">IF(Calculator!$E$14="YES",IF(A163&lt;Calculator!$G$14,0,MIN(MIN(MOD(A163/Calculator!$F$14,1),1-MOD(A163/Calculator!$F$14,1)),ABS(MOD(A163/Calculator!$F$14,1)-0.5))),1)</f>
        <v>1</v>
      </c>
      <c r="E163" s="217" t="n">
        <f aca="false">IF(Calculator!$E$15="YES",IF(A163&lt;Calculator!$G$15,0,MIN(MIN(MOD(A163/Calculator!$F$15,1),1-MOD(A163/Calculator!$F$15,1)),ABS(MOD(A163/Calculator!$F$15,1)-0.5))),1)</f>
        <v>0.0336140350877194</v>
      </c>
      <c r="F163" s="217" t="n">
        <f aca="false">IF(Calculator!$E$16="YES",IF(A163&lt;Calculator!$G$16,0,MIN(MIN(MOD(A163/Calculator!$F$16,1),1-MOD(A163/Calculator!$F$16,1)),ABS(MOD(A163/Calculator!$F$16,1)-0.5))),1)</f>
        <v>1</v>
      </c>
      <c r="G163" s="217" t="n">
        <f aca="false">IF(Calculator!$E$17="YES",IF(A163&lt;Calculator!$G$17,0,MIN(MIN(MOD(A163/Calculator!$F$17,1),1-MOD(A163/Calculator!$F$17,1)),ABS(MOD(A163/Calculator!$F$17,1)-0.5))),1)</f>
        <v>0.0491578947368425</v>
      </c>
      <c r="H163" s="217" t="n">
        <f aca="false">IF(Calculator!$E$18="YES",IF(A163&lt;Calculator!$G$18,0,MIN(MIN(MOD(A163/Calculator!$F$18,1),1-MOD(A163/Calculator!$F$18,1)),ABS(MOD(A163/Calculator!$F$18,1)-0.5))),1)</f>
        <v>1</v>
      </c>
      <c r="I163" s="217" t="n">
        <f aca="false">IF(Calculator!$E$19="YES",IF(A163&lt;Calculator!$G$19,0,MIN(MIN(MOD(A163/Calculator!$F$19,1),1-MOD(A163/Calculator!$F$19,1)),ABS(MOD(A163/Calculator!$F$19,1)-0.5))),1)</f>
        <v>1</v>
      </c>
      <c r="J163" s="217" t="n">
        <f aca="false">IF(Calculator!$E$20="YES",IF(A163&lt;Calculator!$G$20,0,MIN(MIN(MOD(A163/Calculator!$F$20,1),1-MOD(A163/Calculator!$F$20,1)),ABS(MOD(A163/Calculator!$F$20,1)-0.5))),1)</f>
        <v>1</v>
      </c>
      <c r="K163" s="217" t="n">
        <f aca="false">IF(Calculator!$E$21="YES",IF(A163&lt;Calculator!$G$21,0,MIN(MIN(MOD(A163/Calculator!$F$21,1),1-MOD(A163/Calculator!$F$21,1)),ABS(MOD(A163/Calculator!$F$21,1)-0.5))),1)</f>
        <v>0.17059649122807</v>
      </c>
      <c r="L163" s="217" t="n">
        <f aca="false">IF(Calculator!$E$22="YES",IF(A163&lt;Calculator!$G$22,0,MIN(MIN(MOD(A163/Calculator!$F$22,1),1-MOD(A163/Calculator!$F$22,1)),ABS(MOD(A163/Calculator!$F$22,1)-0.5))),1)</f>
        <v>1</v>
      </c>
      <c r="M163" s="217" t="n">
        <f aca="false">MIN(B163:L163)</f>
        <v>0.0336140350877194</v>
      </c>
      <c r="N163" s="217" t="n">
        <f aca="false">SUMPRODUCT(($M$7:$M$557&gt;M163)*1)+SUMPRODUCT(($M$7:$M$557=M163)*(ROW($M$7:$M$557)&lt;ROW(M163)))+1</f>
        <v>350</v>
      </c>
      <c r="O163" s="217" t="str">
        <f aca="false">IF(M163&gt;=0.2,"★★★ EXCELLENT",IF(M163&gt;=0.12,"★★  GOOD",IF(M163&gt;=0.07,"★  FAIR",IF(M163&gt;=0.025,"⚠  MARGINAL","✗  AVOID"))))</f>
        <v>⚠  MARGINAL</v>
      </c>
    </row>
    <row r="164" customFormat="false" ht="15" hidden="false" customHeight="true" outlineLevel="0" collapsed="false">
      <c r="A164" s="218" t="n">
        <v>20.7</v>
      </c>
      <c r="B164" s="219" t="n">
        <f aca="false">IF(Calculator!$E$12="YES",IF(A164&lt;Calculator!$G$12,0,MIN(MIN(MOD(A164/Calculator!$F$12,1),1-MOD(A164/Calculator!$F$12,1)),ABS(MOD(A164/Calculator!$F$12,1)-0.5))),1)</f>
        <v>1</v>
      </c>
      <c r="C164" s="219" t="n">
        <f aca="false">IF(Calculator!$E$13="YES",IF(A164&lt;Calculator!$G$13,0,MIN(MIN(MOD(A164/Calculator!$F$13,1),1-MOD(A164/Calculator!$F$13,1)),ABS(MOD(A164/Calculator!$F$13,1)-0.5))),1)</f>
        <v>1</v>
      </c>
      <c r="D164" s="219" t="n">
        <f aca="false">IF(Calculator!$E$14="YES",IF(A164&lt;Calculator!$G$14,0,MIN(MIN(MOD(A164/Calculator!$F$14,1),1-MOD(A164/Calculator!$F$14,1)),ABS(MOD(A164/Calculator!$F$14,1)-0.5))),1)</f>
        <v>1</v>
      </c>
      <c r="E164" s="219" t="n">
        <f aca="false">IF(Calculator!$E$15="YES",IF(A164&lt;Calculator!$G$15,0,MIN(MIN(MOD(A164/Calculator!$F$15,1),1-MOD(A164/Calculator!$F$15,1)),ABS(MOD(A164/Calculator!$F$15,1)-0.5))),1)</f>
        <v>0.0386315789473684</v>
      </c>
      <c r="F164" s="219" t="n">
        <f aca="false">IF(Calculator!$E$16="YES",IF(A164&lt;Calculator!$G$16,0,MIN(MIN(MOD(A164/Calculator!$F$16,1),1-MOD(A164/Calculator!$F$16,1)),ABS(MOD(A164/Calculator!$F$16,1)-0.5))),1)</f>
        <v>1</v>
      </c>
      <c r="G164" s="219" t="n">
        <f aca="false">IF(Calculator!$E$17="YES",IF(A164&lt;Calculator!$G$17,0,MIN(MIN(MOD(A164/Calculator!$F$17,1),1-MOD(A164/Calculator!$F$17,1)),ABS(MOD(A164/Calculator!$F$17,1)-0.5))),1)</f>
        <v>0.0591052631578948</v>
      </c>
      <c r="H164" s="219" t="n">
        <f aca="false">IF(Calculator!$E$18="YES",IF(A164&lt;Calculator!$G$18,0,MIN(MIN(MOD(A164/Calculator!$F$18,1),1-MOD(A164/Calculator!$F$18,1)),ABS(MOD(A164/Calculator!$F$18,1)-0.5))),1)</f>
        <v>1</v>
      </c>
      <c r="I164" s="219" t="n">
        <f aca="false">IF(Calculator!$E$19="YES",IF(A164&lt;Calculator!$G$19,0,MIN(MIN(MOD(A164/Calculator!$F$19,1),1-MOD(A164/Calculator!$F$19,1)),ABS(MOD(A164/Calculator!$F$19,1)-0.5))),1)</f>
        <v>1</v>
      </c>
      <c r="J164" s="219" t="n">
        <f aca="false">IF(Calculator!$E$20="YES",IF(A164&lt;Calculator!$G$20,0,MIN(MIN(MOD(A164/Calculator!$F$20,1),1-MOD(A164/Calculator!$F$20,1)),ABS(MOD(A164/Calculator!$F$20,1)-0.5))),1)</f>
        <v>1</v>
      </c>
      <c r="K164" s="219" t="n">
        <f aca="false">IF(Calculator!$E$21="YES",IF(A164&lt;Calculator!$G$21,0,MIN(MIN(MOD(A164/Calculator!$F$21,1),1-MOD(A164/Calculator!$F$21,1)),ABS(MOD(A164/Calculator!$F$21,1)-0.5))),1)</f>
        <v>0.190842105263157</v>
      </c>
      <c r="L164" s="219" t="n">
        <f aca="false">IF(Calculator!$E$22="YES",IF(A164&lt;Calculator!$G$22,0,MIN(MIN(MOD(A164/Calculator!$F$22,1),1-MOD(A164/Calculator!$F$22,1)),ABS(MOD(A164/Calculator!$F$22,1)-0.5))),1)</f>
        <v>1</v>
      </c>
      <c r="M164" s="219" t="n">
        <f aca="false">MIN(B164:L164)</f>
        <v>0.0386315789473684</v>
      </c>
      <c r="N164" s="219" t="n">
        <f aca="false">SUMPRODUCT(($M$7:$M$557&gt;M164)*1)+SUMPRODUCT(($M$7:$M$557=M164)*(ROW($M$7:$M$557)&lt;ROW(M164)))+1</f>
        <v>330</v>
      </c>
      <c r="O164" s="219" t="str">
        <f aca="false">IF(M164&gt;=0.2,"★★★ EXCELLENT",IF(M164&gt;=0.12,"★★  GOOD",IF(M164&gt;=0.07,"★  FAIR",IF(M164&gt;=0.025,"⚠  MARGINAL","✗  AVOID"))))</f>
        <v>⚠  MARGINAL</v>
      </c>
    </row>
    <row r="165" customFormat="false" ht="15" hidden="false" customHeight="true" outlineLevel="0" collapsed="false">
      <c r="A165" s="216" t="n">
        <v>20.8</v>
      </c>
      <c r="B165" s="217" t="n">
        <f aca="false">IF(Calculator!$E$12="YES",IF(A165&lt;Calculator!$G$12,0,MIN(MIN(MOD(A165/Calculator!$F$12,1),1-MOD(A165/Calculator!$F$12,1)),ABS(MOD(A165/Calculator!$F$12,1)-0.5))),1)</f>
        <v>1</v>
      </c>
      <c r="C165" s="217" t="n">
        <f aca="false">IF(Calculator!$E$13="YES",IF(A165&lt;Calculator!$G$13,0,MIN(MIN(MOD(A165/Calculator!$F$13,1),1-MOD(A165/Calculator!$F$13,1)),ABS(MOD(A165/Calculator!$F$13,1)-0.5))),1)</f>
        <v>1</v>
      </c>
      <c r="D165" s="217" t="n">
        <f aca="false">IF(Calculator!$E$14="YES",IF(A165&lt;Calculator!$G$14,0,MIN(MIN(MOD(A165/Calculator!$F$14,1),1-MOD(A165/Calculator!$F$14,1)),ABS(MOD(A165/Calculator!$F$14,1)-0.5))),1)</f>
        <v>1</v>
      </c>
      <c r="E165" s="217" t="n">
        <f aca="false">IF(Calculator!$E$15="YES",IF(A165&lt;Calculator!$G$15,0,MIN(MIN(MOD(A165/Calculator!$F$15,1),1-MOD(A165/Calculator!$F$15,1)),ABS(MOD(A165/Calculator!$F$15,1)-0.5))),1)</f>
        <v>0.0436491228070175</v>
      </c>
      <c r="F165" s="217" t="n">
        <f aca="false">IF(Calculator!$E$16="YES",IF(A165&lt;Calculator!$G$16,0,MIN(MIN(MOD(A165/Calculator!$F$16,1),1-MOD(A165/Calculator!$F$16,1)),ABS(MOD(A165/Calculator!$F$16,1)-0.5))),1)</f>
        <v>1</v>
      </c>
      <c r="G165" s="217" t="n">
        <f aca="false">IF(Calculator!$E$17="YES",IF(A165&lt;Calculator!$G$17,0,MIN(MIN(MOD(A165/Calculator!$F$17,1),1-MOD(A165/Calculator!$F$17,1)),ABS(MOD(A165/Calculator!$F$17,1)-0.5))),1)</f>
        <v>0.0690526315789475</v>
      </c>
      <c r="H165" s="217" t="n">
        <f aca="false">IF(Calculator!$E$18="YES",IF(A165&lt;Calculator!$G$18,0,MIN(MIN(MOD(A165/Calculator!$F$18,1),1-MOD(A165/Calculator!$F$18,1)),ABS(MOD(A165/Calculator!$F$18,1)-0.5))),1)</f>
        <v>1</v>
      </c>
      <c r="I165" s="217" t="n">
        <f aca="false">IF(Calculator!$E$19="YES",IF(A165&lt;Calculator!$G$19,0,MIN(MIN(MOD(A165/Calculator!$F$19,1),1-MOD(A165/Calculator!$F$19,1)),ABS(MOD(A165/Calculator!$F$19,1)-0.5))),1)</f>
        <v>1</v>
      </c>
      <c r="J165" s="217" t="n">
        <f aca="false">IF(Calculator!$E$20="YES",IF(A165&lt;Calculator!$G$20,0,MIN(MIN(MOD(A165/Calculator!$F$20,1),1-MOD(A165/Calculator!$F$20,1)),ABS(MOD(A165/Calculator!$F$20,1)-0.5))),1)</f>
        <v>1</v>
      </c>
      <c r="K165" s="217" t="n">
        <f aca="false">IF(Calculator!$E$21="YES",IF(A165&lt;Calculator!$G$21,0,MIN(MIN(MOD(A165/Calculator!$F$21,1),1-MOD(A165/Calculator!$F$21,1)),ABS(MOD(A165/Calculator!$F$21,1)-0.5))),1)</f>
        <v>0.211087719298246</v>
      </c>
      <c r="L165" s="217" t="n">
        <f aca="false">IF(Calculator!$E$22="YES",IF(A165&lt;Calculator!$G$22,0,MIN(MIN(MOD(A165/Calculator!$F$22,1),1-MOD(A165/Calculator!$F$22,1)),ABS(MOD(A165/Calculator!$F$22,1)-0.5))),1)</f>
        <v>1</v>
      </c>
      <c r="M165" s="217" t="n">
        <f aca="false">MIN(B165:L165)</f>
        <v>0.0436491228070175</v>
      </c>
      <c r="N165" s="217" t="n">
        <f aca="false">SUMPRODUCT(($M$7:$M$557&gt;M165)*1)+SUMPRODUCT(($M$7:$M$557=M165)*(ROW($M$7:$M$557)&lt;ROW(M165)))+1</f>
        <v>309</v>
      </c>
      <c r="O165" s="217" t="str">
        <f aca="false">IF(M165&gt;=0.2,"★★★ EXCELLENT",IF(M165&gt;=0.12,"★★  GOOD",IF(M165&gt;=0.07,"★  FAIR",IF(M165&gt;=0.025,"⚠  MARGINAL","✗  AVOID"))))</f>
        <v>⚠  MARGINAL</v>
      </c>
    </row>
    <row r="166" customFormat="false" ht="15" hidden="false" customHeight="true" outlineLevel="0" collapsed="false">
      <c r="A166" s="218" t="n">
        <v>20.9</v>
      </c>
      <c r="B166" s="219" t="n">
        <f aca="false">IF(Calculator!$E$12="YES",IF(A166&lt;Calculator!$G$12,0,MIN(MIN(MOD(A166/Calculator!$F$12,1),1-MOD(A166/Calculator!$F$12,1)),ABS(MOD(A166/Calculator!$F$12,1)-0.5))),1)</f>
        <v>1</v>
      </c>
      <c r="C166" s="219" t="n">
        <f aca="false">IF(Calculator!$E$13="YES",IF(A166&lt;Calculator!$G$13,0,MIN(MIN(MOD(A166/Calculator!$F$13,1),1-MOD(A166/Calculator!$F$13,1)),ABS(MOD(A166/Calculator!$F$13,1)-0.5))),1)</f>
        <v>1</v>
      </c>
      <c r="D166" s="219" t="n">
        <f aca="false">IF(Calculator!$E$14="YES",IF(A166&lt;Calculator!$G$14,0,MIN(MIN(MOD(A166/Calculator!$F$14,1),1-MOD(A166/Calculator!$F$14,1)),ABS(MOD(A166/Calculator!$F$14,1)-0.5))),1)</f>
        <v>1</v>
      </c>
      <c r="E166" s="219" t="n">
        <f aca="false">IF(Calculator!$E$15="YES",IF(A166&lt;Calculator!$G$15,0,MIN(MIN(MOD(A166/Calculator!$F$15,1),1-MOD(A166/Calculator!$F$15,1)),ABS(MOD(A166/Calculator!$F$15,1)-0.5))),1)</f>
        <v>0.0486666666666666</v>
      </c>
      <c r="F166" s="219" t="n">
        <f aca="false">IF(Calculator!$E$16="YES",IF(A166&lt;Calculator!$G$16,0,MIN(MIN(MOD(A166/Calculator!$F$16,1),1-MOD(A166/Calculator!$F$16,1)),ABS(MOD(A166/Calculator!$F$16,1)-0.5))),1)</f>
        <v>1</v>
      </c>
      <c r="G166" s="219" t="n">
        <f aca="false">IF(Calculator!$E$17="YES",IF(A166&lt;Calculator!$G$17,0,MIN(MIN(MOD(A166/Calculator!$F$17,1),1-MOD(A166/Calculator!$F$17,1)),ABS(MOD(A166/Calculator!$F$17,1)-0.5))),1)</f>
        <v>0.0790000000000002</v>
      </c>
      <c r="H166" s="219" t="n">
        <f aca="false">IF(Calculator!$E$18="YES",IF(A166&lt;Calculator!$G$18,0,MIN(MIN(MOD(A166/Calculator!$F$18,1),1-MOD(A166/Calculator!$F$18,1)),ABS(MOD(A166/Calculator!$F$18,1)-0.5))),1)</f>
        <v>1</v>
      </c>
      <c r="I166" s="219" t="n">
        <f aca="false">IF(Calculator!$E$19="YES",IF(A166&lt;Calculator!$G$19,0,MIN(MIN(MOD(A166/Calculator!$F$19,1),1-MOD(A166/Calculator!$F$19,1)),ABS(MOD(A166/Calculator!$F$19,1)-0.5))),1)</f>
        <v>1</v>
      </c>
      <c r="J166" s="219" t="n">
        <f aca="false">IF(Calculator!$E$20="YES",IF(A166&lt;Calculator!$G$20,0,MIN(MIN(MOD(A166/Calculator!$F$20,1),1-MOD(A166/Calculator!$F$20,1)),ABS(MOD(A166/Calculator!$F$20,1)-0.5))),1)</f>
        <v>1</v>
      </c>
      <c r="K166" s="219" t="n">
        <f aca="false">IF(Calculator!$E$21="YES",IF(A166&lt;Calculator!$G$21,0,MIN(MIN(MOD(A166/Calculator!$F$21,1),1-MOD(A166/Calculator!$F$21,1)),ABS(MOD(A166/Calculator!$F$21,1)-0.5))),1)</f>
        <v>0.231333333333333</v>
      </c>
      <c r="L166" s="219" t="n">
        <f aca="false">IF(Calculator!$E$22="YES",IF(A166&lt;Calculator!$G$22,0,MIN(MIN(MOD(A166/Calculator!$F$22,1),1-MOD(A166/Calculator!$F$22,1)),ABS(MOD(A166/Calculator!$F$22,1)-0.5))),1)</f>
        <v>1</v>
      </c>
      <c r="M166" s="219" t="n">
        <f aca="false">MIN(B166:L166)</f>
        <v>0.0486666666666666</v>
      </c>
      <c r="N166" s="219" t="n">
        <f aca="false">SUMPRODUCT(($M$7:$M$557&gt;M166)*1)+SUMPRODUCT(($M$7:$M$557=M166)*(ROW($M$7:$M$557)&lt;ROW(M166)))+1</f>
        <v>291</v>
      </c>
      <c r="O166" s="219" t="str">
        <f aca="false">IF(M166&gt;=0.2,"★★★ EXCELLENT",IF(M166&gt;=0.12,"★★  GOOD",IF(M166&gt;=0.07,"★  FAIR",IF(M166&gt;=0.025,"⚠  MARGINAL","✗  AVOID"))))</f>
        <v>⚠  MARGINAL</v>
      </c>
    </row>
    <row r="167" customFormat="false" ht="15" hidden="false" customHeight="true" outlineLevel="0" collapsed="false">
      <c r="A167" s="216" t="n">
        <v>21</v>
      </c>
      <c r="B167" s="217" t="n">
        <f aca="false">IF(Calculator!$E$12="YES",IF(A167&lt;Calculator!$G$12,0,MIN(MIN(MOD(A167/Calculator!$F$12,1),1-MOD(A167/Calculator!$F$12,1)),ABS(MOD(A167/Calculator!$F$12,1)-0.5))),1)</f>
        <v>1</v>
      </c>
      <c r="C167" s="217" t="n">
        <f aca="false">IF(Calculator!$E$13="YES",IF(A167&lt;Calculator!$G$13,0,MIN(MIN(MOD(A167/Calculator!$F$13,1),1-MOD(A167/Calculator!$F$13,1)),ABS(MOD(A167/Calculator!$F$13,1)-0.5))),1)</f>
        <v>1</v>
      </c>
      <c r="D167" s="217" t="n">
        <f aca="false">IF(Calculator!$E$14="YES",IF(A167&lt;Calculator!$G$14,0,MIN(MIN(MOD(A167/Calculator!$F$14,1),1-MOD(A167/Calculator!$F$14,1)),ABS(MOD(A167/Calculator!$F$14,1)-0.5))),1)</f>
        <v>1</v>
      </c>
      <c r="E167" s="217" t="n">
        <f aca="false">IF(Calculator!$E$15="YES",IF(A167&lt;Calculator!$G$15,0,MIN(MIN(MOD(A167/Calculator!$F$15,1),1-MOD(A167/Calculator!$F$15,1)),ABS(MOD(A167/Calculator!$F$15,1)-0.5))),1)</f>
        <v>0.0536842105263158</v>
      </c>
      <c r="F167" s="217" t="n">
        <f aca="false">IF(Calculator!$E$16="YES",IF(A167&lt;Calculator!$G$16,0,MIN(MIN(MOD(A167/Calculator!$F$16,1),1-MOD(A167/Calculator!$F$16,1)),ABS(MOD(A167/Calculator!$F$16,1)-0.5))),1)</f>
        <v>1</v>
      </c>
      <c r="G167" s="217" t="n">
        <f aca="false">IF(Calculator!$E$17="YES",IF(A167&lt;Calculator!$G$17,0,MIN(MIN(MOD(A167/Calculator!$F$17,1),1-MOD(A167/Calculator!$F$17,1)),ABS(MOD(A167/Calculator!$F$17,1)-0.5))),1)</f>
        <v>0.0889473684210529</v>
      </c>
      <c r="H167" s="217" t="n">
        <f aca="false">IF(Calculator!$E$18="YES",IF(A167&lt;Calculator!$G$18,0,MIN(MIN(MOD(A167/Calculator!$F$18,1),1-MOD(A167/Calculator!$F$18,1)),ABS(MOD(A167/Calculator!$F$18,1)-0.5))),1)</f>
        <v>1</v>
      </c>
      <c r="I167" s="217" t="n">
        <f aca="false">IF(Calculator!$E$19="YES",IF(A167&lt;Calculator!$G$19,0,MIN(MIN(MOD(A167/Calculator!$F$19,1),1-MOD(A167/Calculator!$F$19,1)),ABS(MOD(A167/Calculator!$F$19,1)-0.5))),1)</f>
        <v>1</v>
      </c>
      <c r="J167" s="217" t="n">
        <f aca="false">IF(Calculator!$E$20="YES",IF(A167&lt;Calculator!$G$20,0,MIN(MIN(MOD(A167/Calculator!$F$20,1),1-MOD(A167/Calculator!$F$20,1)),ABS(MOD(A167/Calculator!$F$20,1)-0.5))),1)</f>
        <v>1</v>
      </c>
      <c r="K167" s="217" t="n">
        <f aca="false">IF(Calculator!$E$21="YES",IF(A167&lt;Calculator!$G$21,0,MIN(MIN(MOD(A167/Calculator!$F$21,1),1-MOD(A167/Calculator!$F$21,1)),ABS(MOD(A167/Calculator!$F$21,1)-0.5))),1)</f>
        <v>0.248421052631579</v>
      </c>
      <c r="L167" s="217" t="n">
        <f aca="false">IF(Calculator!$E$22="YES",IF(A167&lt;Calculator!$G$22,0,MIN(MIN(MOD(A167/Calculator!$F$22,1),1-MOD(A167/Calculator!$F$22,1)),ABS(MOD(A167/Calculator!$F$22,1)-0.5))),1)</f>
        <v>1</v>
      </c>
      <c r="M167" s="217" t="n">
        <f aca="false">MIN(B167:L167)</f>
        <v>0.0536842105263158</v>
      </c>
      <c r="N167" s="217" t="n">
        <f aca="false">SUMPRODUCT(($M$7:$M$557&gt;M167)*1)+SUMPRODUCT(($M$7:$M$557=M167)*(ROW($M$7:$M$557)&lt;ROW(M167)))+1</f>
        <v>270</v>
      </c>
      <c r="O167" s="217" t="str">
        <f aca="false">IF(M167&gt;=0.2,"★★★ EXCELLENT",IF(M167&gt;=0.12,"★★  GOOD",IF(M167&gt;=0.07,"★  FAIR",IF(M167&gt;=0.025,"⚠  MARGINAL","✗  AVOID"))))</f>
        <v>⚠  MARGINAL</v>
      </c>
    </row>
    <row r="168" customFormat="false" ht="15" hidden="false" customHeight="true" outlineLevel="0" collapsed="false">
      <c r="A168" s="218" t="n">
        <v>21.1</v>
      </c>
      <c r="B168" s="219" t="n">
        <f aca="false">IF(Calculator!$E$12="YES",IF(A168&lt;Calculator!$G$12,0,MIN(MIN(MOD(A168/Calculator!$F$12,1),1-MOD(A168/Calculator!$F$12,1)),ABS(MOD(A168/Calculator!$F$12,1)-0.5))),1)</f>
        <v>1</v>
      </c>
      <c r="C168" s="219" t="n">
        <f aca="false">IF(Calculator!$E$13="YES",IF(A168&lt;Calculator!$G$13,0,MIN(MIN(MOD(A168/Calculator!$F$13,1),1-MOD(A168/Calculator!$F$13,1)),ABS(MOD(A168/Calculator!$F$13,1)-0.5))),1)</f>
        <v>1</v>
      </c>
      <c r="D168" s="219" t="n">
        <f aca="false">IF(Calculator!$E$14="YES",IF(A168&lt;Calculator!$G$14,0,MIN(MIN(MOD(A168/Calculator!$F$14,1),1-MOD(A168/Calculator!$F$14,1)),ABS(MOD(A168/Calculator!$F$14,1)-0.5))),1)</f>
        <v>1</v>
      </c>
      <c r="E168" s="219" t="n">
        <f aca="false">IF(Calculator!$E$15="YES",IF(A168&lt;Calculator!$G$15,0,MIN(MIN(MOD(A168/Calculator!$F$15,1),1-MOD(A168/Calculator!$F$15,1)),ABS(MOD(A168/Calculator!$F$15,1)-0.5))),1)</f>
        <v>0.0587017543859649</v>
      </c>
      <c r="F168" s="219" t="n">
        <f aca="false">IF(Calculator!$E$16="YES",IF(A168&lt;Calculator!$G$16,0,MIN(MIN(MOD(A168/Calculator!$F$16,1),1-MOD(A168/Calculator!$F$16,1)),ABS(MOD(A168/Calculator!$F$16,1)-0.5))),1)</f>
        <v>1</v>
      </c>
      <c r="G168" s="219" t="n">
        <f aca="false">IF(Calculator!$E$17="YES",IF(A168&lt;Calculator!$G$17,0,MIN(MIN(MOD(A168/Calculator!$F$17,1),1-MOD(A168/Calculator!$F$17,1)),ABS(MOD(A168/Calculator!$F$17,1)-0.5))),1)</f>
        <v>0.0988947368421056</v>
      </c>
      <c r="H168" s="219" t="n">
        <f aca="false">IF(Calculator!$E$18="YES",IF(A168&lt;Calculator!$G$18,0,MIN(MIN(MOD(A168/Calculator!$F$18,1),1-MOD(A168/Calculator!$F$18,1)),ABS(MOD(A168/Calculator!$F$18,1)-0.5))),1)</f>
        <v>1</v>
      </c>
      <c r="I168" s="219" t="n">
        <f aca="false">IF(Calculator!$E$19="YES",IF(A168&lt;Calculator!$G$19,0,MIN(MIN(MOD(A168/Calculator!$F$19,1),1-MOD(A168/Calculator!$F$19,1)),ABS(MOD(A168/Calculator!$F$19,1)-0.5))),1)</f>
        <v>1</v>
      </c>
      <c r="J168" s="219" t="n">
        <f aca="false">IF(Calculator!$E$20="YES",IF(A168&lt;Calculator!$G$20,0,MIN(MIN(MOD(A168/Calculator!$F$20,1),1-MOD(A168/Calculator!$F$20,1)),ABS(MOD(A168/Calculator!$F$20,1)-0.5))),1)</f>
        <v>1</v>
      </c>
      <c r="K168" s="219" t="n">
        <f aca="false">IF(Calculator!$E$21="YES",IF(A168&lt;Calculator!$G$21,0,MIN(MIN(MOD(A168/Calculator!$F$21,1),1-MOD(A168/Calculator!$F$21,1)),ABS(MOD(A168/Calculator!$F$21,1)-0.5))),1)</f>
        <v>0.228175438596491</v>
      </c>
      <c r="L168" s="219" t="n">
        <f aca="false">IF(Calculator!$E$22="YES",IF(A168&lt;Calculator!$G$22,0,MIN(MIN(MOD(A168/Calculator!$F$22,1),1-MOD(A168/Calculator!$F$22,1)),ABS(MOD(A168/Calculator!$F$22,1)-0.5))),1)</f>
        <v>1</v>
      </c>
      <c r="M168" s="219" t="n">
        <f aca="false">MIN(B168:L168)</f>
        <v>0.0587017543859649</v>
      </c>
      <c r="N168" s="219" t="n">
        <f aca="false">SUMPRODUCT(($M$7:$M$557&gt;M168)*1)+SUMPRODUCT(($M$7:$M$557=M168)*(ROW($M$7:$M$557)&lt;ROW(M168)))+1</f>
        <v>250</v>
      </c>
      <c r="O168" s="219" t="str">
        <f aca="false">IF(M168&gt;=0.2,"★★★ EXCELLENT",IF(M168&gt;=0.12,"★★  GOOD",IF(M168&gt;=0.07,"★  FAIR",IF(M168&gt;=0.025,"⚠  MARGINAL","✗  AVOID"))))</f>
        <v>⚠  MARGINAL</v>
      </c>
    </row>
    <row r="169" customFormat="false" ht="15" hidden="false" customHeight="true" outlineLevel="0" collapsed="false">
      <c r="A169" s="216" t="n">
        <v>21.2</v>
      </c>
      <c r="B169" s="217" t="n">
        <f aca="false">IF(Calculator!$E$12="YES",IF(A169&lt;Calculator!$G$12,0,MIN(MIN(MOD(A169/Calculator!$F$12,1),1-MOD(A169/Calculator!$F$12,1)),ABS(MOD(A169/Calculator!$F$12,1)-0.5))),1)</f>
        <v>1</v>
      </c>
      <c r="C169" s="217" t="n">
        <f aca="false">IF(Calculator!$E$13="YES",IF(A169&lt;Calculator!$G$13,0,MIN(MIN(MOD(A169/Calculator!$F$13,1),1-MOD(A169/Calculator!$F$13,1)),ABS(MOD(A169/Calculator!$F$13,1)-0.5))),1)</f>
        <v>1</v>
      </c>
      <c r="D169" s="217" t="n">
        <f aca="false">IF(Calculator!$E$14="YES",IF(A169&lt;Calculator!$G$14,0,MIN(MIN(MOD(A169/Calculator!$F$14,1),1-MOD(A169/Calculator!$F$14,1)),ABS(MOD(A169/Calculator!$F$14,1)-0.5))),1)</f>
        <v>1</v>
      </c>
      <c r="E169" s="217" t="n">
        <f aca="false">IF(Calculator!$E$15="YES",IF(A169&lt;Calculator!$G$15,0,MIN(MIN(MOD(A169/Calculator!$F$15,1),1-MOD(A169/Calculator!$F$15,1)),ABS(MOD(A169/Calculator!$F$15,1)-0.5))),1)</f>
        <v>0.0637192982456141</v>
      </c>
      <c r="F169" s="217" t="n">
        <f aca="false">IF(Calculator!$E$16="YES",IF(A169&lt;Calculator!$G$16,0,MIN(MIN(MOD(A169/Calculator!$F$16,1),1-MOD(A169/Calculator!$F$16,1)),ABS(MOD(A169/Calculator!$F$16,1)-0.5))),1)</f>
        <v>1</v>
      </c>
      <c r="G169" s="217" t="n">
        <f aca="false">IF(Calculator!$E$17="YES",IF(A169&lt;Calculator!$G$17,0,MIN(MIN(MOD(A169/Calculator!$F$17,1),1-MOD(A169/Calculator!$F$17,1)),ABS(MOD(A169/Calculator!$F$17,1)-0.5))),1)</f>
        <v>0.108842105263158</v>
      </c>
      <c r="H169" s="217" t="n">
        <f aca="false">IF(Calculator!$E$18="YES",IF(A169&lt;Calculator!$G$18,0,MIN(MIN(MOD(A169/Calculator!$F$18,1),1-MOD(A169/Calculator!$F$18,1)),ABS(MOD(A169/Calculator!$F$18,1)-0.5))),1)</f>
        <v>1</v>
      </c>
      <c r="I169" s="217" t="n">
        <f aca="false">IF(Calculator!$E$19="YES",IF(A169&lt;Calculator!$G$19,0,MIN(MIN(MOD(A169/Calculator!$F$19,1),1-MOD(A169/Calculator!$F$19,1)),ABS(MOD(A169/Calculator!$F$19,1)-0.5))),1)</f>
        <v>1</v>
      </c>
      <c r="J169" s="217" t="n">
        <f aca="false">IF(Calculator!$E$20="YES",IF(A169&lt;Calculator!$G$20,0,MIN(MIN(MOD(A169/Calculator!$F$20,1),1-MOD(A169/Calculator!$F$20,1)),ABS(MOD(A169/Calculator!$F$20,1)-0.5))),1)</f>
        <v>1</v>
      </c>
      <c r="K169" s="217" t="n">
        <f aca="false">IF(Calculator!$E$21="YES",IF(A169&lt;Calculator!$G$21,0,MIN(MIN(MOD(A169/Calculator!$F$21,1),1-MOD(A169/Calculator!$F$21,1)),ABS(MOD(A169/Calculator!$F$21,1)-0.5))),1)</f>
        <v>0.207929824561404</v>
      </c>
      <c r="L169" s="217" t="n">
        <f aca="false">IF(Calculator!$E$22="YES",IF(A169&lt;Calculator!$G$22,0,MIN(MIN(MOD(A169/Calculator!$F$22,1),1-MOD(A169/Calculator!$F$22,1)),ABS(MOD(A169/Calculator!$F$22,1)-0.5))),1)</f>
        <v>1</v>
      </c>
      <c r="M169" s="217" t="n">
        <f aca="false">MIN(B169:L169)</f>
        <v>0.0637192982456141</v>
      </c>
      <c r="N169" s="217" t="n">
        <f aca="false">SUMPRODUCT(($M$7:$M$557&gt;M169)*1)+SUMPRODUCT(($M$7:$M$557=M169)*(ROW($M$7:$M$557)&lt;ROW(M169)))+1</f>
        <v>230</v>
      </c>
      <c r="O169" s="217" t="str">
        <f aca="false">IF(M169&gt;=0.2,"★★★ EXCELLENT",IF(M169&gt;=0.12,"★★  GOOD",IF(M169&gt;=0.07,"★  FAIR",IF(M169&gt;=0.025,"⚠  MARGINAL","✗  AVOID"))))</f>
        <v>⚠  MARGINAL</v>
      </c>
    </row>
    <row r="170" customFormat="false" ht="15" hidden="false" customHeight="true" outlineLevel="0" collapsed="false">
      <c r="A170" s="218" t="n">
        <v>21.3</v>
      </c>
      <c r="B170" s="219" t="n">
        <f aca="false">IF(Calculator!$E$12="YES",IF(A170&lt;Calculator!$G$12,0,MIN(MIN(MOD(A170/Calculator!$F$12,1),1-MOD(A170/Calculator!$F$12,1)),ABS(MOD(A170/Calculator!$F$12,1)-0.5))),1)</f>
        <v>1</v>
      </c>
      <c r="C170" s="219" t="n">
        <f aca="false">IF(Calculator!$E$13="YES",IF(A170&lt;Calculator!$G$13,0,MIN(MIN(MOD(A170/Calculator!$F$13,1),1-MOD(A170/Calculator!$F$13,1)),ABS(MOD(A170/Calculator!$F$13,1)-0.5))),1)</f>
        <v>1</v>
      </c>
      <c r="D170" s="219" t="n">
        <f aca="false">IF(Calculator!$E$14="YES",IF(A170&lt;Calculator!$G$14,0,MIN(MIN(MOD(A170/Calculator!$F$14,1),1-MOD(A170/Calculator!$F$14,1)),ABS(MOD(A170/Calculator!$F$14,1)-0.5))),1)</f>
        <v>1</v>
      </c>
      <c r="E170" s="219" t="n">
        <f aca="false">IF(Calculator!$E$15="YES",IF(A170&lt;Calculator!$G$15,0,MIN(MIN(MOD(A170/Calculator!$F$15,1),1-MOD(A170/Calculator!$F$15,1)),ABS(MOD(A170/Calculator!$F$15,1)-0.5))),1)</f>
        <v>0.0687368421052632</v>
      </c>
      <c r="F170" s="219" t="n">
        <f aca="false">IF(Calculator!$E$16="YES",IF(A170&lt;Calculator!$G$16,0,MIN(MIN(MOD(A170/Calculator!$F$16,1),1-MOD(A170/Calculator!$F$16,1)),ABS(MOD(A170/Calculator!$F$16,1)-0.5))),1)</f>
        <v>1</v>
      </c>
      <c r="G170" s="219" t="n">
        <f aca="false">IF(Calculator!$E$17="YES",IF(A170&lt;Calculator!$G$17,0,MIN(MIN(MOD(A170/Calculator!$F$17,1),1-MOD(A170/Calculator!$F$17,1)),ABS(MOD(A170/Calculator!$F$17,1)-0.5))),1)</f>
        <v>0.118789473684211</v>
      </c>
      <c r="H170" s="219" t="n">
        <f aca="false">IF(Calculator!$E$18="YES",IF(A170&lt;Calculator!$G$18,0,MIN(MIN(MOD(A170/Calculator!$F$18,1),1-MOD(A170/Calculator!$F$18,1)),ABS(MOD(A170/Calculator!$F$18,1)-0.5))),1)</f>
        <v>1</v>
      </c>
      <c r="I170" s="219" t="n">
        <f aca="false">IF(Calculator!$E$19="YES",IF(A170&lt;Calculator!$G$19,0,MIN(MIN(MOD(A170/Calculator!$F$19,1),1-MOD(A170/Calculator!$F$19,1)),ABS(MOD(A170/Calculator!$F$19,1)-0.5))),1)</f>
        <v>1</v>
      </c>
      <c r="J170" s="219" t="n">
        <f aca="false">IF(Calculator!$E$20="YES",IF(A170&lt;Calculator!$G$20,0,MIN(MIN(MOD(A170/Calculator!$F$20,1),1-MOD(A170/Calculator!$F$20,1)),ABS(MOD(A170/Calculator!$F$20,1)-0.5))),1)</f>
        <v>1</v>
      </c>
      <c r="K170" s="219" t="n">
        <f aca="false">IF(Calculator!$E$21="YES",IF(A170&lt;Calculator!$G$21,0,MIN(MIN(MOD(A170/Calculator!$F$21,1),1-MOD(A170/Calculator!$F$21,1)),ABS(MOD(A170/Calculator!$F$21,1)-0.5))),1)</f>
        <v>0.187684210526315</v>
      </c>
      <c r="L170" s="219" t="n">
        <f aca="false">IF(Calculator!$E$22="YES",IF(A170&lt;Calculator!$G$22,0,MIN(MIN(MOD(A170/Calculator!$F$22,1),1-MOD(A170/Calculator!$F$22,1)),ABS(MOD(A170/Calculator!$F$22,1)-0.5))),1)</f>
        <v>1</v>
      </c>
      <c r="M170" s="219" t="n">
        <f aca="false">MIN(B170:L170)</f>
        <v>0.0687368421052632</v>
      </c>
      <c r="N170" s="219" t="n">
        <f aca="false">SUMPRODUCT(($M$7:$M$557&gt;M170)*1)+SUMPRODUCT(($M$7:$M$557=M170)*(ROW($M$7:$M$557)&lt;ROW(M170)))+1</f>
        <v>211</v>
      </c>
      <c r="O170" s="219" t="str">
        <f aca="false">IF(M170&gt;=0.2,"★★★ EXCELLENT",IF(M170&gt;=0.12,"★★  GOOD",IF(M170&gt;=0.07,"★  FAIR",IF(M170&gt;=0.025,"⚠  MARGINAL","✗  AVOID"))))</f>
        <v>⚠  MARGINAL</v>
      </c>
    </row>
    <row r="171" customFormat="false" ht="15" hidden="false" customHeight="true" outlineLevel="0" collapsed="false">
      <c r="A171" s="216" t="n">
        <v>21.4</v>
      </c>
      <c r="B171" s="217" t="n">
        <f aca="false">IF(Calculator!$E$12="YES",IF(A171&lt;Calculator!$G$12,0,MIN(MIN(MOD(A171/Calculator!$F$12,1),1-MOD(A171/Calculator!$F$12,1)),ABS(MOD(A171/Calculator!$F$12,1)-0.5))),1)</f>
        <v>1</v>
      </c>
      <c r="C171" s="217" t="n">
        <f aca="false">IF(Calculator!$E$13="YES",IF(A171&lt;Calculator!$G$13,0,MIN(MIN(MOD(A171/Calculator!$F$13,1),1-MOD(A171/Calculator!$F$13,1)),ABS(MOD(A171/Calculator!$F$13,1)-0.5))),1)</f>
        <v>1</v>
      </c>
      <c r="D171" s="217" t="n">
        <f aca="false">IF(Calculator!$E$14="YES",IF(A171&lt;Calculator!$G$14,0,MIN(MIN(MOD(A171/Calculator!$F$14,1),1-MOD(A171/Calculator!$F$14,1)),ABS(MOD(A171/Calculator!$F$14,1)-0.5))),1)</f>
        <v>1</v>
      </c>
      <c r="E171" s="217" t="n">
        <f aca="false">IF(Calculator!$E$15="YES",IF(A171&lt;Calculator!$G$15,0,MIN(MIN(MOD(A171/Calculator!$F$15,1),1-MOD(A171/Calculator!$F$15,1)),ABS(MOD(A171/Calculator!$F$15,1)-0.5))),1)</f>
        <v>0.0737543859649121</v>
      </c>
      <c r="F171" s="217" t="n">
        <f aca="false">IF(Calculator!$E$16="YES",IF(A171&lt;Calculator!$G$16,0,MIN(MIN(MOD(A171/Calculator!$F$16,1),1-MOD(A171/Calculator!$F$16,1)),ABS(MOD(A171/Calculator!$F$16,1)-0.5))),1)</f>
        <v>1</v>
      </c>
      <c r="G171" s="217" t="n">
        <f aca="false">IF(Calculator!$E$17="YES",IF(A171&lt;Calculator!$G$17,0,MIN(MIN(MOD(A171/Calculator!$F$17,1),1-MOD(A171/Calculator!$F$17,1)),ABS(MOD(A171/Calculator!$F$17,1)-0.5))),1)</f>
        <v>0.128736842105263</v>
      </c>
      <c r="H171" s="217" t="n">
        <f aca="false">IF(Calculator!$E$18="YES",IF(A171&lt;Calculator!$G$18,0,MIN(MIN(MOD(A171/Calculator!$F$18,1),1-MOD(A171/Calculator!$F$18,1)),ABS(MOD(A171/Calculator!$F$18,1)-0.5))),1)</f>
        <v>1</v>
      </c>
      <c r="I171" s="217" t="n">
        <f aca="false">IF(Calculator!$E$19="YES",IF(A171&lt;Calculator!$G$19,0,MIN(MIN(MOD(A171/Calculator!$F$19,1),1-MOD(A171/Calculator!$F$19,1)),ABS(MOD(A171/Calculator!$F$19,1)-0.5))),1)</f>
        <v>1</v>
      </c>
      <c r="J171" s="217" t="n">
        <f aca="false">IF(Calculator!$E$20="YES",IF(A171&lt;Calculator!$G$20,0,MIN(MIN(MOD(A171/Calculator!$F$20,1),1-MOD(A171/Calculator!$F$20,1)),ABS(MOD(A171/Calculator!$F$20,1)-0.5))),1)</f>
        <v>1</v>
      </c>
      <c r="K171" s="217" t="n">
        <f aca="false">IF(Calculator!$E$21="YES",IF(A171&lt;Calculator!$G$21,0,MIN(MIN(MOD(A171/Calculator!$F$21,1),1-MOD(A171/Calculator!$F$21,1)),ABS(MOD(A171/Calculator!$F$21,1)-0.5))),1)</f>
        <v>0.167438596491229</v>
      </c>
      <c r="L171" s="217" t="n">
        <f aca="false">IF(Calculator!$E$22="YES",IF(A171&lt;Calculator!$G$22,0,MIN(MIN(MOD(A171/Calculator!$F$22,1),1-MOD(A171/Calculator!$F$22,1)),ABS(MOD(A171/Calculator!$F$22,1)-0.5))),1)</f>
        <v>1</v>
      </c>
      <c r="M171" s="217" t="n">
        <f aca="false">MIN(B171:L171)</f>
        <v>0.0737543859649121</v>
      </c>
      <c r="N171" s="217" t="n">
        <f aca="false">SUMPRODUCT(($M$7:$M$557&gt;M171)*1)+SUMPRODUCT(($M$7:$M$557=M171)*(ROW($M$7:$M$557)&lt;ROW(M171)))+1</f>
        <v>192</v>
      </c>
      <c r="O171" s="217" t="str">
        <f aca="false">IF(M171&gt;=0.2,"★★★ EXCELLENT",IF(M171&gt;=0.12,"★★  GOOD",IF(M171&gt;=0.07,"★  FAIR",IF(M171&gt;=0.025,"⚠  MARGINAL","✗  AVOID"))))</f>
        <v>★  FAIR</v>
      </c>
    </row>
    <row r="172" customFormat="false" ht="15" hidden="false" customHeight="true" outlineLevel="0" collapsed="false">
      <c r="A172" s="218" t="n">
        <v>21.5</v>
      </c>
      <c r="B172" s="219" t="n">
        <f aca="false">IF(Calculator!$E$12="YES",IF(A172&lt;Calculator!$G$12,0,MIN(MIN(MOD(A172/Calculator!$F$12,1),1-MOD(A172/Calculator!$F$12,1)),ABS(MOD(A172/Calculator!$F$12,1)-0.5))),1)</f>
        <v>1</v>
      </c>
      <c r="C172" s="219" t="n">
        <f aca="false">IF(Calculator!$E$13="YES",IF(A172&lt;Calculator!$G$13,0,MIN(MIN(MOD(A172/Calculator!$F$13,1),1-MOD(A172/Calculator!$F$13,1)),ABS(MOD(A172/Calculator!$F$13,1)-0.5))),1)</f>
        <v>1</v>
      </c>
      <c r="D172" s="219" t="n">
        <f aca="false">IF(Calculator!$E$14="YES",IF(A172&lt;Calculator!$G$14,0,MIN(MIN(MOD(A172/Calculator!$F$14,1),1-MOD(A172/Calculator!$F$14,1)),ABS(MOD(A172/Calculator!$F$14,1)-0.5))),1)</f>
        <v>1</v>
      </c>
      <c r="E172" s="219" t="n">
        <f aca="false">IF(Calculator!$E$15="YES",IF(A172&lt;Calculator!$G$15,0,MIN(MIN(MOD(A172/Calculator!$F$15,1),1-MOD(A172/Calculator!$F$15,1)),ABS(MOD(A172/Calculator!$F$15,1)-0.5))),1)</f>
        <v>0.0787719298245615</v>
      </c>
      <c r="F172" s="219" t="n">
        <f aca="false">IF(Calculator!$E$16="YES",IF(A172&lt;Calculator!$G$16,0,MIN(MIN(MOD(A172/Calculator!$F$16,1),1-MOD(A172/Calculator!$F$16,1)),ABS(MOD(A172/Calculator!$F$16,1)-0.5))),1)</f>
        <v>1</v>
      </c>
      <c r="G172" s="219" t="n">
        <f aca="false">IF(Calculator!$E$17="YES",IF(A172&lt;Calculator!$G$17,0,MIN(MIN(MOD(A172/Calculator!$F$17,1),1-MOD(A172/Calculator!$F$17,1)),ABS(MOD(A172/Calculator!$F$17,1)-0.5))),1)</f>
        <v>0.138684210526316</v>
      </c>
      <c r="H172" s="219" t="n">
        <f aca="false">IF(Calculator!$E$18="YES",IF(A172&lt;Calculator!$G$18,0,MIN(MIN(MOD(A172/Calculator!$F$18,1),1-MOD(A172/Calculator!$F$18,1)),ABS(MOD(A172/Calculator!$F$18,1)-0.5))),1)</f>
        <v>1</v>
      </c>
      <c r="I172" s="219" t="n">
        <f aca="false">IF(Calculator!$E$19="YES",IF(A172&lt;Calculator!$G$19,0,MIN(MIN(MOD(A172/Calculator!$F$19,1),1-MOD(A172/Calculator!$F$19,1)),ABS(MOD(A172/Calculator!$F$19,1)-0.5))),1)</f>
        <v>1</v>
      </c>
      <c r="J172" s="219" t="n">
        <f aca="false">IF(Calculator!$E$20="YES",IF(A172&lt;Calculator!$G$20,0,MIN(MIN(MOD(A172/Calculator!$F$20,1),1-MOD(A172/Calculator!$F$20,1)),ABS(MOD(A172/Calculator!$F$20,1)-0.5))),1)</f>
        <v>1</v>
      </c>
      <c r="K172" s="219" t="n">
        <f aca="false">IF(Calculator!$E$21="YES",IF(A172&lt;Calculator!$G$21,0,MIN(MIN(MOD(A172/Calculator!$F$21,1),1-MOD(A172/Calculator!$F$21,1)),ABS(MOD(A172/Calculator!$F$21,1)-0.5))),1)</f>
        <v>0.14719298245614</v>
      </c>
      <c r="L172" s="219" t="n">
        <f aca="false">IF(Calculator!$E$22="YES",IF(A172&lt;Calculator!$G$22,0,MIN(MIN(MOD(A172/Calculator!$F$22,1),1-MOD(A172/Calculator!$F$22,1)),ABS(MOD(A172/Calculator!$F$22,1)-0.5))),1)</f>
        <v>1</v>
      </c>
      <c r="M172" s="219" t="n">
        <f aca="false">MIN(B172:L172)</f>
        <v>0.0787719298245615</v>
      </c>
      <c r="N172" s="219" t="n">
        <f aca="false">SUMPRODUCT(($M$7:$M$557&gt;M172)*1)+SUMPRODUCT(($M$7:$M$557=M172)*(ROW($M$7:$M$557)&lt;ROW(M172)))+1</f>
        <v>173</v>
      </c>
      <c r="O172" s="219" t="str">
        <f aca="false">IF(M172&gt;=0.2,"★★★ EXCELLENT",IF(M172&gt;=0.12,"★★  GOOD",IF(M172&gt;=0.07,"★  FAIR",IF(M172&gt;=0.025,"⚠  MARGINAL","✗  AVOID"))))</f>
        <v>★  FAIR</v>
      </c>
    </row>
    <row r="173" customFormat="false" ht="15" hidden="false" customHeight="true" outlineLevel="0" collapsed="false">
      <c r="A173" s="216" t="n">
        <v>21.6</v>
      </c>
      <c r="B173" s="217" t="n">
        <f aca="false">IF(Calculator!$E$12="YES",IF(A173&lt;Calculator!$G$12,0,MIN(MIN(MOD(A173/Calculator!$F$12,1),1-MOD(A173/Calculator!$F$12,1)),ABS(MOD(A173/Calculator!$F$12,1)-0.5))),1)</f>
        <v>1</v>
      </c>
      <c r="C173" s="217" t="n">
        <f aca="false">IF(Calculator!$E$13="YES",IF(A173&lt;Calculator!$G$13,0,MIN(MIN(MOD(A173/Calculator!$F$13,1),1-MOD(A173/Calculator!$F$13,1)),ABS(MOD(A173/Calculator!$F$13,1)-0.5))),1)</f>
        <v>1</v>
      </c>
      <c r="D173" s="217" t="n">
        <f aca="false">IF(Calculator!$E$14="YES",IF(A173&lt;Calculator!$G$14,0,MIN(MIN(MOD(A173/Calculator!$F$14,1),1-MOD(A173/Calculator!$F$14,1)),ABS(MOD(A173/Calculator!$F$14,1)-0.5))),1)</f>
        <v>1</v>
      </c>
      <c r="E173" s="217" t="n">
        <f aca="false">IF(Calculator!$E$15="YES",IF(A173&lt;Calculator!$G$15,0,MIN(MIN(MOD(A173/Calculator!$F$15,1),1-MOD(A173/Calculator!$F$15,1)),ABS(MOD(A173/Calculator!$F$15,1)-0.5))),1)</f>
        <v>0.0837894736842106</v>
      </c>
      <c r="F173" s="217" t="n">
        <f aca="false">IF(Calculator!$E$16="YES",IF(A173&lt;Calculator!$G$16,0,MIN(MIN(MOD(A173/Calculator!$F$16,1),1-MOD(A173/Calculator!$F$16,1)),ABS(MOD(A173/Calculator!$F$16,1)-0.5))),1)</f>
        <v>1</v>
      </c>
      <c r="G173" s="217" t="n">
        <f aca="false">IF(Calculator!$E$17="YES",IF(A173&lt;Calculator!$G$17,0,MIN(MIN(MOD(A173/Calculator!$F$17,1),1-MOD(A173/Calculator!$F$17,1)),ABS(MOD(A173/Calculator!$F$17,1)-0.5))),1)</f>
        <v>0.148631578947369</v>
      </c>
      <c r="H173" s="217" t="n">
        <f aca="false">IF(Calculator!$E$18="YES",IF(A173&lt;Calculator!$G$18,0,MIN(MIN(MOD(A173/Calculator!$F$18,1),1-MOD(A173/Calculator!$F$18,1)),ABS(MOD(A173/Calculator!$F$18,1)-0.5))),1)</f>
        <v>1</v>
      </c>
      <c r="I173" s="217" t="n">
        <f aca="false">IF(Calculator!$E$19="YES",IF(A173&lt;Calculator!$G$19,0,MIN(MIN(MOD(A173/Calculator!$F$19,1),1-MOD(A173/Calculator!$F$19,1)),ABS(MOD(A173/Calculator!$F$19,1)-0.5))),1)</f>
        <v>1</v>
      </c>
      <c r="J173" s="217" t="n">
        <f aca="false">IF(Calculator!$E$20="YES",IF(A173&lt;Calculator!$G$20,0,MIN(MIN(MOD(A173/Calculator!$F$20,1),1-MOD(A173/Calculator!$F$20,1)),ABS(MOD(A173/Calculator!$F$20,1)-0.5))),1)</f>
        <v>1</v>
      </c>
      <c r="K173" s="217" t="n">
        <f aca="false">IF(Calculator!$E$21="YES",IF(A173&lt;Calculator!$G$21,0,MIN(MIN(MOD(A173/Calculator!$F$21,1),1-MOD(A173/Calculator!$F$21,1)),ABS(MOD(A173/Calculator!$F$21,1)-0.5))),1)</f>
        <v>0.126947368421052</v>
      </c>
      <c r="L173" s="217" t="n">
        <f aca="false">IF(Calculator!$E$22="YES",IF(A173&lt;Calculator!$G$22,0,MIN(MIN(MOD(A173/Calculator!$F$22,1),1-MOD(A173/Calculator!$F$22,1)),ABS(MOD(A173/Calculator!$F$22,1)-0.5))),1)</f>
        <v>1</v>
      </c>
      <c r="M173" s="217" t="n">
        <f aca="false">MIN(B173:L173)</f>
        <v>0.0837894736842106</v>
      </c>
      <c r="N173" s="217" t="n">
        <f aca="false">SUMPRODUCT(($M$7:$M$557&gt;M173)*1)+SUMPRODUCT(($M$7:$M$557=M173)*(ROW($M$7:$M$557)&lt;ROW(M173)))+1</f>
        <v>154</v>
      </c>
      <c r="O173" s="217" t="str">
        <f aca="false">IF(M173&gt;=0.2,"★★★ EXCELLENT",IF(M173&gt;=0.12,"★★  GOOD",IF(M173&gt;=0.07,"★  FAIR",IF(M173&gt;=0.025,"⚠  MARGINAL","✗  AVOID"))))</f>
        <v>★  FAIR</v>
      </c>
    </row>
    <row r="174" customFormat="false" ht="15" hidden="false" customHeight="true" outlineLevel="0" collapsed="false">
      <c r="A174" s="218" t="n">
        <v>21.7</v>
      </c>
      <c r="B174" s="219" t="n">
        <f aca="false">IF(Calculator!$E$12="YES",IF(A174&lt;Calculator!$G$12,0,MIN(MIN(MOD(A174/Calculator!$F$12,1),1-MOD(A174/Calculator!$F$12,1)),ABS(MOD(A174/Calculator!$F$12,1)-0.5))),1)</f>
        <v>1</v>
      </c>
      <c r="C174" s="219" t="n">
        <f aca="false">IF(Calculator!$E$13="YES",IF(A174&lt;Calculator!$G$13,0,MIN(MIN(MOD(A174/Calculator!$F$13,1),1-MOD(A174/Calculator!$F$13,1)),ABS(MOD(A174/Calculator!$F$13,1)-0.5))),1)</f>
        <v>1</v>
      </c>
      <c r="D174" s="219" t="n">
        <f aca="false">IF(Calculator!$E$14="YES",IF(A174&lt;Calculator!$G$14,0,MIN(MIN(MOD(A174/Calculator!$F$14,1),1-MOD(A174/Calculator!$F$14,1)),ABS(MOD(A174/Calculator!$F$14,1)-0.5))),1)</f>
        <v>1</v>
      </c>
      <c r="E174" s="219" t="n">
        <f aca="false">IF(Calculator!$E$15="YES",IF(A174&lt;Calculator!$G$15,0,MIN(MIN(MOD(A174/Calculator!$F$15,1),1-MOD(A174/Calculator!$F$15,1)),ABS(MOD(A174/Calculator!$F$15,1)-0.5))),1)</f>
        <v>0.0888070175438596</v>
      </c>
      <c r="F174" s="219" t="n">
        <f aca="false">IF(Calculator!$E$16="YES",IF(A174&lt;Calculator!$G$16,0,MIN(MIN(MOD(A174/Calculator!$F$16,1),1-MOD(A174/Calculator!$F$16,1)),ABS(MOD(A174/Calculator!$F$16,1)-0.5))),1)</f>
        <v>1</v>
      </c>
      <c r="G174" s="219" t="n">
        <f aca="false">IF(Calculator!$E$17="YES",IF(A174&lt;Calculator!$G$17,0,MIN(MIN(MOD(A174/Calculator!$F$17,1),1-MOD(A174/Calculator!$F$17,1)),ABS(MOD(A174/Calculator!$F$17,1)-0.5))),1)</f>
        <v>0.158578947368421</v>
      </c>
      <c r="H174" s="219" t="n">
        <f aca="false">IF(Calculator!$E$18="YES",IF(A174&lt;Calculator!$G$18,0,MIN(MIN(MOD(A174/Calculator!$F$18,1),1-MOD(A174/Calculator!$F$18,1)),ABS(MOD(A174/Calculator!$F$18,1)-0.5))),1)</f>
        <v>1</v>
      </c>
      <c r="I174" s="219" t="n">
        <f aca="false">IF(Calculator!$E$19="YES",IF(A174&lt;Calculator!$G$19,0,MIN(MIN(MOD(A174/Calculator!$F$19,1),1-MOD(A174/Calculator!$F$19,1)),ABS(MOD(A174/Calculator!$F$19,1)-0.5))),1)</f>
        <v>1</v>
      </c>
      <c r="J174" s="219" t="n">
        <f aca="false">IF(Calculator!$E$20="YES",IF(A174&lt;Calculator!$G$20,0,MIN(MIN(MOD(A174/Calculator!$F$20,1),1-MOD(A174/Calculator!$F$20,1)),ABS(MOD(A174/Calculator!$F$20,1)-0.5))),1)</f>
        <v>1</v>
      </c>
      <c r="K174" s="219" t="n">
        <f aca="false">IF(Calculator!$E$21="YES",IF(A174&lt;Calculator!$G$21,0,MIN(MIN(MOD(A174/Calculator!$F$21,1),1-MOD(A174/Calculator!$F$21,1)),ABS(MOD(A174/Calculator!$F$21,1)-0.5))),1)</f>
        <v>0.106701754385965</v>
      </c>
      <c r="L174" s="219" t="n">
        <f aca="false">IF(Calculator!$E$22="YES",IF(A174&lt;Calculator!$G$22,0,MIN(MIN(MOD(A174/Calculator!$F$22,1),1-MOD(A174/Calculator!$F$22,1)),ABS(MOD(A174/Calculator!$F$22,1)-0.5))),1)</f>
        <v>1</v>
      </c>
      <c r="M174" s="219" t="n">
        <f aca="false">MIN(B174:L174)</f>
        <v>0.0888070175438596</v>
      </c>
      <c r="N174" s="219" t="n">
        <f aca="false">SUMPRODUCT(($M$7:$M$557&gt;M174)*1)+SUMPRODUCT(($M$7:$M$557=M174)*(ROW($M$7:$M$557)&lt;ROW(M174)))+1</f>
        <v>137</v>
      </c>
      <c r="O174" s="219" t="str">
        <f aca="false">IF(M174&gt;=0.2,"★★★ EXCELLENT",IF(M174&gt;=0.12,"★★  GOOD",IF(M174&gt;=0.07,"★  FAIR",IF(M174&gt;=0.025,"⚠  MARGINAL","✗  AVOID"))))</f>
        <v>★  FAIR</v>
      </c>
    </row>
    <row r="175" customFormat="false" ht="15" hidden="false" customHeight="true" outlineLevel="0" collapsed="false">
      <c r="A175" s="216" t="n">
        <v>21.8</v>
      </c>
      <c r="B175" s="217" t="n">
        <f aca="false">IF(Calculator!$E$12="YES",IF(A175&lt;Calculator!$G$12,0,MIN(MIN(MOD(A175/Calculator!$F$12,1),1-MOD(A175/Calculator!$F$12,1)),ABS(MOD(A175/Calculator!$F$12,1)-0.5))),1)</f>
        <v>1</v>
      </c>
      <c r="C175" s="217" t="n">
        <f aca="false">IF(Calculator!$E$13="YES",IF(A175&lt;Calculator!$G$13,0,MIN(MIN(MOD(A175/Calculator!$F$13,1),1-MOD(A175/Calculator!$F$13,1)),ABS(MOD(A175/Calculator!$F$13,1)-0.5))),1)</f>
        <v>1</v>
      </c>
      <c r="D175" s="217" t="n">
        <f aca="false">IF(Calculator!$E$14="YES",IF(A175&lt;Calculator!$G$14,0,MIN(MIN(MOD(A175/Calculator!$F$14,1),1-MOD(A175/Calculator!$F$14,1)),ABS(MOD(A175/Calculator!$F$14,1)-0.5))),1)</f>
        <v>1</v>
      </c>
      <c r="E175" s="217" t="n">
        <f aca="false">IF(Calculator!$E$15="YES",IF(A175&lt;Calculator!$G$15,0,MIN(MIN(MOD(A175/Calculator!$F$15,1),1-MOD(A175/Calculator!$F$15,1)),ABS(MOD(A175/Calculator!$F$15,1)-0.5))),1)</f>
        <v>0.0938245614035089</v>
      </c>
      <c r="F175" s="217" t="n">
        <f aca="false">IF(Calculator!$E$16="YES",IF(A175&lt;Calculator!$G$16,0,MIN(MIN(MOD(A175/Calculator!$F$16,1),1-MOD(A175/Calculator!$F$16,1)),ABS(MOD(A175/Calculator!$F$16,1)-0.5))),1)</f>
        <v>1</v>
      </c>
      <c r="G175" s="217" t="n">
        <f aca="false">IF(Calculator!$E$17="YES",IF(A175&lt;Calculator!$G$17,0,MIN(MIN(MOD(A175/Calculator!$F$17,1),1-MOD(A175/Calculator!$F$17,1)),ABS(MOD(A175/Calculator!$F$17,1)-0.5))),1)</f>
        <v>0.168526315789474</v>
      </c>
      <c r="H175" s="217" t="n">
        <f aca="false">IF(Calculator!$E$18="YES",IF(A175&lt;Calculator!$G$18,0,MIN(MIN(MOD(A175/Calculator!$F$18,1),1-MOD(A175/Calculator!$F$18,1)),ABS(MOD(A175/Calculator!$F$18,1)-0.5))),1)</f>
        <v>1</v>
      </c>
      <c r="I175" s="217" t="n">
        <f aca="false">IF(Calculator!$E$19="YES",IF(A175&lt;Calculator!$G$19,0,MIN(MIN(MOD(A175/Calculator!$F$19,1),1-MOD(A175/Calculator!$F$19,1)),ABS(MOD(A175/Calculator!$F$19,1)-0.5))),1)</f>
        <v>1</v>
      </c>
      <c r="J175" s="217" t="n">
        <f aca="false">IF(Calculator!$E$20="YES",IF(A175&lt;Calculator!$G$20,0,MIN(MIN(MOD(A175/Calculator!$F$20,1),1-MOD(A175/Calculator!$F$20,1)),ABS(MOD(A175/Calculator!$F$20,1)-0.5))),1)</f>
        <v>1</v>
      </c>
      <c r="K175" s="217" t="n">
        <f aca="false">IF(Calculator!$E$21="YES",IF(A175&lt;Calculator!$G$21,0,MIN(MIN(MOD(A175/Calculator!$F$21,1),1-MOD(A175/Calculator!$F$21,1)),ABS(MOD(A175/Calculator!$F$21,1)-0.5))),1)</f>
        <v>0.0864561403508768</v>
      </c>
      <c r="L175" s="217" t="n">
        <f aca="false">IF(Calculator!$E$22="YES",IF(A175&lt;Calculator!$G$22,0,MIN(MIN(MOD(A175/Calculator!$F$22,1),1-MOD(A175/Calculator!$F$22,1)),ABS(MOD(A175/Calculator!$F$22,1)-0.5))),1)</f>
        <v>1</v>
      </c>
      <c r="M175" s="217" t="n">
        <f aca="false">MIN(B175:L175)</f>
        <v>0.0864561403508768</v>
      </c>
      <c r="N175" s="217" t="n">
        <f aca="false">SUMPRODUCT(($M$7:$M$557&gt;M175)*1)+SUMPRODUCT(($M$7:$M$557=M175)*(ROW($M$7:$M$557)&lt;ROW(M175)))+1</f>
        <v>146</v>
      </c>
      <c r="O175" s="217" t="str">
        <f aca="false">IF(M175&gt;=0.2,"★★★ EXCELLENT",IF(M175&gt;=0.12,"★★  GOOD",IF(M175&gt;=0.07,"★  FAIR",IF(M175&gt;=0.025,"⚠  MARGINAL","✗  AVOID"))))</f>
        <v>★  FAIR</v>
      </c>
    </row>
    <row r="176" customFormat="false" ht="15" hidden="false" customHeight="true" outlineLevel="0" collapsed="false">
      <c r="A176" s="218" t="n">
        <v>21.9</v>
      </c>
      <c r="B176" s="219" t="n">
        <f aca="false">IF(Calculator!$E$12="YES",IF(A176&lt;Calculator!$G$12,0,MIN(MIN(MOD(A176/Calculator!$F$12,1),1-MOD(A176/Calculator!$F$12,1)),ABS(MOD(A176/Calculator!$F$12,1)-0.5))),1)</f>
        <v>1</v>
      </c>
      <c r="C176" s="219" t="n">
        <f aca="false">IF(Calculator!$E$13="YES",IF(A176&lt;Calculator!$G$13,0,MIN(MIN(MOD(A176/Calculator!$F$13,1),1-MOD(A176/Calculator!$F$13,1)),ABS(MOD(A176/Calculator!$F$13,1)-0.5))),1)</f>
        <v>1</v>
      </c>
      <c r="D176" s="219" t="n">
        <f aca="false">IF(Calculator!$E$14="YES",IF(A176&lt;Calculator!$G$14,0,MIN(MIN(MOD(A176/Calculator!$F$14,1),1-MOD(A176/Calculator!$F$14,1)),ABS(MOD(A176/Calculator!$F$14,1)-0.5))),1)</f>
        <v>1</v>
      </c>
      <c r="E176" s="219" t="n">
        <f aca="false">IF(Calculator!$E$15="YES",IF(A176&lt;Calculator!$G$15,0,MIN(MIN(MOD(A176/Calculator!$F$15,1),1-MOD(A176/Calculator!$F$15,1)),ABS(MOD(A176/Calculator!$F$15,1)-0.5))),1)</f>
        <v>0.0988421052631578</v>
      </c>
      <c r="F176" s="219" t="n">
        <f aca="false">IF(Calculator!$E$16="YES",IF(A176&lt;Calculator!$G$16,0,MIN(MIN(MOD(A176/Calculator!$F$16,1),1-MOD(A176/Calculator!$F$16,1)),ABS(MOD(A176/Calculator!$F$16,1)-0.5))),1)</f>
        <v>1</v>
      </c>
      <c r="G176" s="219" t="n">
        <f aca="false">IF(Calculator!$E$17="YES",IF(A176&lt;Calculator!$G$17,0,MIN(MIN(MOD(A176/Calculator!$F$17,1),1-MOD(A176/Calculator!$F$17,1)),ABS(MOD(A176/Calculator!$F$17,1)-0.5))),1)</f>
        <v>0.178473684210526</v>
      </c>
      <c r="H176" s="219" t="n">
        <f aca="false">IF(Calculator!$E$18="YES",IF(A176&lt;Calculator!$G$18,0,MIN(MIN(MOD(A176/Calculator!$F$18,1),1-MOD(A176/Calculator!$F$18,1)),ABS(MOD(A176/Calculator!$F$18,1)-0.5))),1)</f>
        <v>1</v>
      </c>
      <c r="I176" s="219" t="n">
        <f aca="false">IF(Calculator!$E$19="YES",IF(A176&lt;Calculator!$G$19,0,MIN(MIN(MOD(A176/Calculator!$F$19,1),1-MOD(A176/Calculator!$F$19,1)),ABS(MOD(A176/Calculator!$F$19,1)-0.5))),1)</f>
        <v>1</v>
      </c>
      <c r="J176" s="219" t="n">
        <f aca="false">IF(Calculator!$E$20="YES",IF(A176&lt;Calculator!$G$20,0,MIN(MIN(MOD(A176/Calculator!$F$20,1),1-MOD(A176/Calculator!$F$20,1)),ABS(MOD(A176/Calculator!$F$20,1)-0.5))),1)</f>
        <v>1</v>
      </c>
      <c r="K176" s="219" t="n">
        <f aca="false">IF(Calculator!$E$21="YES",IF(A176&lt;Calculator!$G$21,0,MIN(MIN(MOD(A176/Calculator!$F$21,1),1-MOD(A176/Calculator!$F$21,1)),ABS(MOD(A176/Calculator!$F$21,1)-0.5))),1)</f>
        <v>0.0662105263157899</v>
      </c>
      <c r="L176" s="219" t="n">
        <f aca="false">IF(Calculator!$E$22="YES",IF(A176&lt;Calculator!$G$22,0,MIN(MIN(MOD(A176/Calculator!$F$22,1),1-MOD(A176/Calculator!$F$22,1)),ABS(MOD(A176/Calculator!$F$22,1)-0.5))),1)</f>
        <v>1</v>
      </c>
      <c r="M176" s="219" t="n">
        <f aca="false">MIN(B176:L176)</f>
        <v>0.0662105263157899</v>
      </c>
      <c r="N176" s="219" t="n">
        <f aca="false">SUMPRODUCT(($M$7:$M$557&gt;M176)*1)+SUMPRODUCT(($M$7:$M$557=M176)*(ROW($M$7:$M$557)&lt;ROW(M176)))+1</f>
        <v>222</v>
      </c>
      <c r="O176" s="219" t="str">
        <f aca="false">IF(M176&gt;=0.2,"★★★ EXCELLENT",IF(M176&gt;=0.12,"★★  GOOD",IF(M176&gt;=0.07,"★  FAIR",IF(M176&gt;=0.025,"⚠  MARGINAL","✗  AVOID"))))</f>
        <v>⚠  MARGINAL</v>
      </c>
    </row>
    <row r="177" customFormat="false" ht="15" hidden="false" customHeight="true" outlineLevel="0" collapsed="false">
      <c r="A177" s="216" t="n">
        <v>22</v>
      </c>
      <c r="B177" s="217" t="n">
        <f aca="false">IF(Calculator!$E$12="YES",IF(A177&lt;Calculator!$G$12,0,MIN(MIN(MOD(A177/Calculator!$F$12,1),1-MOD(A177/Calculator!$F$12,1)),ABS(MOD(A177/Calculator!$F$12,1)-0.5))),1)</f>
        <v>1</v>
      </c>
      <c r="C177" s="217" t="n">
        <f aca="false">IF(Calculator!$E$13="YES",IF(A177&lt;Calculator!$G$13,0,MIN(MIN(MOD(A177/Calculator!$F$13,1),1-MOD(A177/Calculator!$F$13,1)),ABS(MOD(A177/Calculator!$F$13,1)-0.5))),1)</f>
        <v>1</v>
      </c>
      <c r="D177" s="217" t="n">
        <f aca="false">IF(Calculator!$E$14="YES",IF(A177&lt;Calculator!$G$14,0,MIN(MIN(MOD(A177/Calculator!$F$14,1),1-MOD(A177/Calculator!$F$14,1)),ABS(MOD(A177/Calculator!$F$14,1)-0.5))),1)</f>
        <v>1</v>
      </c>
      <c r="E177" s="217" t="n">
        <f aca="false">IF(Calculator!$E$15="YES",IF(A177&lt;Calculator!$G$15,0,MIN(MIN(MOD(A177/Calculator!$F$15,1),1-MOD(A177/Calculator!$F$15,1)),ABS(MOD(A177/Calculator!$F$15,1)-0.5))),1)</f>
        <v>0.103859649122807</v>
      </c>
      <c r="F177" s="217" t="n">
        <f aca="false">IF(Calculator!$E$16="YES",IF(A177&lt;Calculator!$G$16,0,MIN(MIN(MOD(A177/Calculator!$F$16,1),1-MOD(A177/Calculator!$F$16,1)),ABS(MOD(A177/Calculator!$F$16,1)-0.5))),1)</f>
        <v>1</v>
      </c>
      <c r="G177" s="217" t="n">
        <f aca="false">IF(Calculator!$E$17="YES",IF(A177&lt;Calculator!$G$17,0,MIN(MIN(MOD(A177/Calculator!$F$17,1),1-MOD(A177/Calculator!$F$17,1)),ABS(MOD(A177/Calculator!$F$17,1)-0.5))),1)</f>
        <v>0.188421052631579</v>
      </c>
      <c r="H177" s="217" t="n">
        <f aca="false">IF(Calculator!$E$18="YES",IF(A177&lt;Calculator!$G$18,0,MIN(MIN(MOD(A177/Calculator!$F$18,1),1-MOD(A177/Calculator!$F$18,1)),ABS(MOD(A177/Calculator!$F$18,1)-0.5))),1)</f>
        <v>1</v>
      </c>
      <c r="I177" s="217" t="n">
        <f aca="false">IF(Calculator!$E$19="YES",IF(A177&lt;Calculator!$G$19,0,MIN(MIN(MOD(A177/Calculator!$F$19,1),1-MOD(A177/Calculator!$F$19,1)),ABS(MOD(A177/Calculator!$F$19,1)-0.5))),1)</f>
        <v>1</v>
      </c>
      <c r="J177" s="217" t="n">
        <f aca="false">IF(Calculator!$E$20="YES",IF(A177&lt;Calculator!$G$20,0,MIN(MIN(MOD(A177/Calculator!$F$20,1),1-MOD(A177/Calculator!$F$20,1)),ABS(MOD(A177/Calculator!$F$20,1)-0.5))),1)</f>
        <v>1</v>
      </c>
      <c r="K177" s="217" t="n">
        <f aca="false">IF(Calculator!$E$21="YES",IF(A177&lt;Calculator!$G$21,0,MIN(MIN(MOD(A177/Calculator!$F$21,1),1-MOD(A177/Calculator!$F$21,1)),ABS(MOD(A177/Calculator!$F$21,1)-0.5))),1)</f>
        <v>0.0459649122807022</v>
      </c>
      <c r="L177" s="217" t="n">
        <f aca="false">IF(Calculator!$E$22="YES",IF(A177&lt;Calculator!$G$22,0,MIN(MIN(MOD(A177/Calculator!$F$22,1),1-MOD(A177/Calculator!$F$22,1)),ABS(MOD(A177/Calculator!$F$22,1)-0.5))),1)</f>
        <v>1</v>
      </c>
      <c r="M177" s="217" t="n">
        <f aca="false">MIN(B177:L177)</f>
        <v>0.0459649122807022</v>
      </c>
      <c r="N177" s="217" t="n">
        <f aca="false">SUMPRODUCT(($M$7:$M$557&gt;M177)*1)+SUMPRODUCT(($M$7:$M$557=M177)*(ROW($M$7:$M$557)&lt;ROW(M177)))+1</f>
        <v>301</v>
      </c>
      <c r="O177" s="217" t="str">
        <f aca="false">IF(M177&gt;=0.2,"★★★ EXCELLENT",IF(M177&gt;=0.12,"★★  GOOD",IF(M177&gt;=0.07,"★  FAIR",IF(M177&gt;=0.025,"⚠  MARGINAL","✗  AVOID"))))</f>
        <v>⚠  MARGINAL</v>
      </c>
    </row>
    <row r="178" customFormat="false" ht="15" hidden="false" customHeight="true" outlineLevel="0" collapsed="false">
      <c r="A178" s="218" t="n">
        <v>22.1</v>
      </c>
      <c r="B178" s="219" t="n">
        <f aca="false">IF(Calculator!$E$12="YES",IF(A178&lt;Calculator!$G$12,0,MIN(MIN(MOD(A178/Calculator!$F$12,1),1-MOD(A178/Calculator!$F$12,1)),ABS(MOD(A178/Calculator!$F$12,1)-0.5))),1)</f>
        <v>1</v>
      </c>
      <c r="C178" s="219" t="n">
        <f aca="false">IF(Calculator!$E$13="YES",IF(A178&lt;Calculator!$G$13,0,MIN(MIN(MOD(A178/Calculator!$F$13,1),1-MOD(A178/Calculator!$F$13,1)),ABS(MOD(A178/Calculator!$F$13,1)-0.5))),1)</f>
        <v>1</v>
      </c>
      <c r="D178" s="219" t="n">
        <f aca="false">IF(Calculator!$E$14="YES",IF(A178&lt;Calculator!$G$14,0,MIN(MIN(MOD(A178/Calculator!$F$14,1),1-MOD(A178/Calculator!$F$14,1)),ABS(MOD(A178/Calculator!$F$14,1)-0.5))),1)</f>
        <v>1</v>
      </c>
      <c r="E178" s="219" t="n">
        <f aca="false">IF(Calculator!$E$15="YES",IF(A178&lt;Calculator!$G$15,0,MIN(MIN(MOD(A178/Calculator!$F$15,1),1-MOD(A178/Calculator!$F$15,1)),ABS(MOD(A178/Calculator!$F$15,1)-0.5))),1)</f>
        <v>0.108877192982456</v>
      </c>
      <c r="F178" s="219" t="n">
        <f aca="false">IF(Calculator!$E$16="YES",IF(A178&lt;Calculator!$G$16,0,MIN(MIN(MOD(A178/Calculator!$F$16,1),1-MOD(A178/Calculator!$F$16,1)),ABS(MOD(A178/Calculator!$F$16,1)-0.5))),1)</f>
        <v>1</v>
      </c>
      <c r="G178" s="219" t="n">
        <f aca="false">IF(Calculator!$E$17="YES",IF(A178&lt;Calculator!$G$17,0,MIN(MIN(MOD(A178/Calculator!$F$17,1),1-MOD(A178/Calculator!$F$17,1)),ABS(MOD(A178/Calculator!$F$17,1)-0.5))),1)</f>
        <v>0.198368421052632</v>
      </c>
      <c r="H178" s="219" t="n">
        <f aca="false">IF(Calculator!$E$18="YES",IF(A178&lt;Calculator!$G$18,0,MIN(MIN(MOD(A178/Calculator!$F$18,1),1-MOD(A178/Calculator!$F$18,1)),ABS(MOD(A178/Calculator!$F$18,1)-0.5))),1)</f>
        <v>1</v>
      </c>
      <c r="I178" s="219" t="n">
        <f aca="false">IF(Calculator!$E$19="YES",IF(A178&lt;Calculator!$G$19,0,MIN(MIN(MOD(A178/Calculator!$F$19,1),1-MOD(A178/Calculator!$F$19,1)),ABS(MOD(A178/Calculator!$F$19,1)-0.5))),1)</f>
        <v>1</v>
      </c>
      <c r="J178" s="219" t="n">
        <f aca="false">IF(Calculator!$E$20="YES",IF(A178&lt;Calculator!$G$20,0,MIN(MIN(MOD(A178/Calculator!$F$20,1),1-MOD(A178/Calculator!$F$20,1)),ABS(MOD(A178/Calculator!$F$20,1)-0.5))),1)</f>
        <v>1</v>
      </c>
      <c r="K178" s="219" t="n">
        <f aca="false">IF(Calculator!$E$21="YES",IF(A178&lt;Calculator!$G$21,0,MIN(MIN(MOD(A178/Calculator!$F$21,1),1-MOD(A178/Calculator!$F$21,1)),ABS(MOD(A178/Calculator!$F$21,1)-0.5))),1)</f>
        <v>0.0257192982456136</v>
      </c>
      <c r="L178" s="219" t="n">
        <f aca="false">IF(Calculator!$E$22="YES",IF(A178&lt;Calculator!$G$22,0,MIN(MIN(MOD(A178/Calculator!$F$22,1),1-MOD(A178/Calculator!$F$22,1)),ABS(MOD(A178/Calculator!$F$22,1)-0.5))),1)</f>
        <v>1</v>
      </c>
      <c r="M178" s="219" t="n">
        <f aca="false">MIN(B178:L178)</f>
        <v>0.0257192982456136</v>
      </c>
      <c r="N178" s="219" t="n">
        <f aca="false">SUMPRODUCT(($M$7:$M$557&gt;M178)*1)+SUMPRODUCT(($M$7:$M$557=M178)*(ROW($M$7:$M$557)&lt;ROW(M178)))+1</f>
        <v>380</v>
      </c>
      <c r="O178" s="219" t="str">
        <f aca="false">IF(M178&gt;=0.2,"★★★ EXCELLENT",IF(M178&gt;=0.12,"★★  GOOD",IF(M178&gt;=0.07,"★  FAIR",IF(M178&gt;=0.025,"⚠  MARGINAL","✗  AVOID"))))</f>
        <v>⚠  MARGINAL</v>
      </c>
    </row>
    <row r="179" customFormat="false" ht="15" hidden="false" customHeight="true" outlineLevel="0" collapsed="false">
      <c r="A179" s="216" t="n">
        <v>22.2</v>
      </c>
      <c r="B179" s="217" t="n">
        <f aca="false">IF(Calculator!$E$12="YES",IF(A179&lt;Calculator!$G$12,0,MIN(MIN(MOD(A179/Calculator!$F$12,1),1-MOD(A179/Calculator!$F$12,1)),ABS(MOD(A179/Calculator!$F$12,1)-0.5))),1)</f>
        <v>1</v>
      </c>
      <c r="C179" s="217" t="n">
        <f aca="false">IF(Calculator!$E$13="YES",IF(A179&lt;Calculator!$G$13,0,MIN(MIN(MOD(A179/Calculator!$F$13,1),1-MOD(A179/Calculator!$F$13,1)),ABS(MOD(A179/Calculator!$F$13,1)-0.5))),1)</f>
        <v>1</v>
      </c>
      <c r="D179" s="217" t="n">
        <f aca="false">IF(Calculator!$E$14="YES",IF(A179&lt;Calculator!$G$14,0,MIN(MIN(MOD(A179/Calculator!$F$14,1),1-MOD(A179/Calculator!$F$14,1)),ABS(MOD(A179/Calculator!$F$14,1)-0.5))),1)</f>
        <v>1</v>
      </c>
      <c r="E179" s="217" t="n">
        <f aca="false">IF(Calculator!$E$15="YES",IF(A179&lt;Calculator!$G$15,0,MIN(MIN(MOD(A179/Calculator!$F$15,1),1-MOD(A179/Calculator!$F$15,1)),ABS(MOD(A179/Calculator!$F$15,1)-0.5))),1)</f>
        <v>0.113894736842105</v>
      </c>
      <c r="F179" s="217" t="n">
        <f aca="false">IF(Calculator!$E$16="YES",IF(A179&lt;Calculator!$G$16,0,MIN(MIN(MOD(A179/Calculator!$F$16,1),1-MOD(A179/Calculator!$F$16,1)),ABS(MOD(A179/Calculator!$F$16,1)-0.5))),1)</f>
        <v>1</v>
      </c>
      <c r="G179" s="217" t="n">
        <f aca="false">IF(Calculator!$E$17="YES",IF(A179&lt;Calculator!$G$17,0,MIN(MIN(MOD(A179/Calculator!$F$17,1),1-MOD(A179/Calculator!$F$17,1)),ABS(MOD(A179/Calculator!$F$17,1)-0.5))),1)</f>
        <v>0.208315789473684</v>
      </c>
      <c r="H179" s="217" t="n">
        <f aca="false">IF(Calculator!$E$18="YES",IF(A179&lt;Calculator!$G$18,0,MIN(MIN(MOD(A179/Calculator!$F$18,1),1-MOD(A179/Calculator!$F$18,1)),ABS(MOD(A179/Calculator!$F$18,1)-0.5))),1)</f>
        <v>1</v>
      </c>
      <c r="I179" s="217" t="n">
        <f aca="false">IF(Calculator!$E$19="YES",IF(A179&lt;Calculator!$G$19,0,MIN(MIN(MOD(A179/Calculator!$F$19,1),1-MOD(A179/Calculator!$F$19,1)),ABS(MOD(A179/Calculator!$F$19,1)-0.5))),1)</f>
        <v>1</v>
      </c>
      <c r="J179" s="217" t="n">
        <f aca="false">IF(Calculator!$E$20="YES",IF(A179&lt;Calculator!$G$20,0,MIN(MIN(MOD(A179/Calculator!$F$20,1),1-MOD(A179/Calculator!$F$20,1)),ABS(MOD(A179/Calculator!$F$20,1)-0.5))),1)</f>
        <v>1</v>
      </c>
      <c r="K179" s="217" t="n">
        <f aca="false">IF(Calculator!$E$21="YES",IF(A179&lt;Calculator!$G$21,0,MIN(MIN(MOD(A179/Calculator!$F$21,1),1-MOD(A179/Calculator!$F$21,1)),ABS(MOD(A179/Calculator!$F$21,1)-0.5))),1)</f>
        <v>0.00547368421052674</v>
      </c>
      <c r="L179" s="217" t="n">
        <f aca="false">IF(Calculator!$E$22="YES",IF(A179&lt;Calculator!$G$22,0,MIN(MIN(MOD(A179/Calculator!$F$22,1),1-MOD(A179/Calculator!$F$22,1)),ABS(MOD(A179/Calculator!$F$22,1)-0.5))),1)</f>
        <v>1</v>
      </c>
      <c r="M179" s="217" t="n">
        <f aca="false">MIN(B179:L179)</f>
        <v>0.00547368421052674</v>
      </c>
      <c r="N179" s="217" t="n">
        <f aca="false">SUMPRODUCT(($M$7:$M$557&gt;M179)*1)+SUMPRODUCT(($M$7:$M$557=M179)*(ROW($M$7:$M$557)&lt;ROW(M179)))+1</f>
        <v>469</v>
      </c>
      <c r="O179" s="217" t="str">
        <f aca="false">IF(M179&gt;=0.2,"★★★ EXCELLENT",IF(M179&gt;=0.12,"★★  GOOD",IF(M179&gt;=0.07,"★  FAIR",IF(M179&gt;=0.025,"⚠  MARGINAL","✗  AVOID"))))</f>
        <v>✗  AVOID</v>
      </c>
    </row>
    <row r="180" customFormat="false" ht="15" hidden="false" customHeight="true" outlineLevel="0" collapsed="false">
      <c r="A180" s="218" t="n">
        <v>22.3</v>
      </c>
      <c r="B180" s="219" t="n">
        <f aca="false">IF(Calculator!$E$12="YES",IF(A180&lt;Calculator!$G$12,0,MIN(MIN(MOD(A180/Calculator!$F$12,1),1-MOD(A180/Calculator!$F$12,1)),ABS(MOD(A180/Calculator!$F$12,1)-0.5))),1)</f>
        <v>1</v>
      </c>
      <c r="C180" s="219" t="n">
        <f aca="false">IF(Calculator!$E$13="YES",IF(A180&lt;Calculator!$G$13,0,MIN(MIN(MOD(A180/Calculator!$F$13,1),1-MOD(A180/Calculator!$F$13,1)),ABS(MOD(A180/Calculator!$F$13,1)-0.5))),1)</f>
        <v>1</v>
      </c>
      <c r="D180" s="219" t="n">
        <f aca="false">IF(Calculator!$E$14="YES",IF(A180&lt;Calculator!$G$14,0,MIN(MIN(MOD(A180/Calculator!$F$14,1),1-MOD(A180/Calculator!$F$14,1)),ABS(MOD(A180/Calculator!$F$14,1)-0.5))),1)</f>
        <v>1</v>
      </c>
      <c r="E180" s="219" t="n">
        <f aca="false">IF(Calculator!$E$15="YES",IF(A180&lt;Calculator!$G$15,0,MIN(MIN(MOD(A180/Calculator!$F$15,1),1-MOD(A180/Calculator!$F$15,1)),ABS(MOD(A180/Calculator!$F$15,1)-0.5))),1)</f>
        <v>0.118912280701754</v>
      </c>
      <c r="F180" s="219" t="n">
        <f aca="false">IF(Calculator!$E$16="YES",IF(A180&lt;Calculator!$G$16,0,MIN(MIN(MOD(A180/Calculator!$F$16,1),1-MOD(A180/Calculator!$F$16,1)),ABS(MOD(A180/Calculator!$F$16,1)-0.5))),1)</f>
        <v>1</v>
      </c>
      <c r="G180" s="219" t="n">
        <f aca="false">IF(Calculator!$E$17="YES",IF(A180&lt;Calculator!$G$17,0,MIN(MIN(MOD(A180/Calculator!$F$17,1),1-MOD(A180/Calculator!$F$17,1)),ABS(MOD(A180/Calculator!$F$17,1)-0.5))),1)</f>
        <v>0.218263157894737</v>
      </c>
      <c r="H180" s="219" t="n">
        <f aca="false">IF(Calculator!$E$18="YES",IF(A180&lt;Calculator!$G$18,0,MIN(MIN(MOD(A180/Calculator!$F$18,1),1-MOD(A180/Calculator!$F$18,1)),ABS(MOD(A180/Calculator!$F$18,1)-0.5))),1)</f>
        <v>1</v>
      </c>
      <c r="I180" s="219" t="n">
        <f aca="false">IF(Calculator!$E$19="YES",IF(A180&lt;Calculator!$G$19,0,MIN(MIN(MOD(A180/Calculator!$F$19,1),1-MOD(A180/Calculator!$F$19,1)),ABS(MOD(A180/Calculator!$F$19,1)-0.5))),1)</f>
        <v>1</v>
      </c>
      <c r="J180" s="219" t="n">
        <f aca="false">IF(Calculator!$E$20="YES",IF(A180&lt;Calculator!$G$20,0,MIN(MIN(MOD(A180/Calculator!$F$20,1),1-MOD(A180/Calculator!$F$20,1)),ABS(MOD(A180/Calculator!$F$20,1)-0.5))),1)</f>
        <v>1</v>
      </c>
      <c r="K180" s="219" t="n">
        <f aca="false">IF(Calculator!$E$21="YES",IF(A180&lt;Calculator!$G$21,0,MIN(MIN(MOD(A180/Calculator!$F$21,1),1-MOD(A180/Calculator!$F$21,1)),ABS(MOD(A180/Calculator!$F$21,1)-0.5))),1)</f>
        <v>0.0147719298245619</v>
      </c>
      <c r="L180" s="219" t="n">
        <f aca="false">IF(Calculator!$E$22="YES",IF(A180&lt;Calculator!$G$22,0,MIN(MIN(MOD(A180/Calculator!$F$22,1),1-MOD(A180/Calculator!$F$22,1)),ABS(MOD(A180/Calculator!$F$22,1)-0.5))),1)</f>
        <v>1</v>
      </c>
      <c r="M180" s="219" t="n">
        <f aca="false">MIN(B180:L180)</f>
        <v>0.0147719298245619</v>
      </c>
      <c r="N180" s="219" t="n">
        <f aca="false">SUMPRODUCT(($M$7:$M$557&gt;M180)*1)+SUMPRODUCT(($M$7:$M$557=M180)*(ROW($M$7:$M$557)&lt;ROW(M180)))+1</f>
        <v>421</v>
      </c>
      <c r="O180" s="219" t="str">
        <f aca="false">IF(M180&gt;=0.2,"★★★ EXCELLENT",IF(M180&gt;=0.12,"★★  GOOD",IF(M180&gt;=0.07,"★  FAIR",IF(M180&gt;=0.025,"⚠  MARGINAL","✗  AVOID"))))</f>
        <v>✗  AVOID</v>
      </c>
    </row>
    <row r="181" customFormat="false" ht="15" hidden="false" customHeight="true" outlineLevel="0" collapsed="false">
      <c r="A181" s="216" t="n">
        <v>22.4</v>
      </c>
      <c r="B181" s="217" t="n">
        <f aca="false">IF(Calculator!$E$12="YES",IF(A181&lt;Calculator!$G$12,0,MIN(MIN(MOD(A181/Calculator!$F$12,1),1-MOD(A181/Calculator!$F$12,1)),ABS(MOD(A181/Calculator!$F$12,1)-0.5))),1)</f>
        <v>1</v>
      </c>
      <c r="C181" s="217" t="n">
        <f aca="false">IF(Calculator!$E$13="YES",IF(A181&lt;Calculator!$G$13,0,MIN(MIN(MOD(A181/Calculator!$F$13,1),1-MOD(A181/Calculator!$F$13,1)),ABS(MOD(A181/Calculator!$F$13,1)-0.5))),1)</f>
        <v>1</v>
      </c>
      <c r="D181" s="217" t="n">
        <f aca="false">IF(Calculator!$E$14="YES",IF(A181&lt;Calculator!$G$14,0,MIN(MIN(MOD(A181/Calculator!$F$14,1),1-MOD(A181/Calculator!$F$14,1)),ABS(MOD(A181/Calculator!$F$14,1)-0.5))),1)</f>
        <v>1</v>
      </c>
      <c r="E181" s="217" t="n">
        <f aca="false">IF(Calculator!$E$15="YES",IF(A181&lt;Calculator!$G$15,0,MIN(MIN(MOD(A181/Calculator!$F$15,1),1-MOD(A181/Calculator!$F$15,1)),ABS(MOD(A181/Calculator!$F$15,1)-0.5))),1)</f>
        <v>0.123929824561403</v>
      </c>
      <c r="F181" s="217" t="n">
        <f aca="false">IF(Calculator!$E$16="YES",IF(A181&lt;Calculator!$G$16,0,MIN(MIN(MOD(A181/Calculator!$F$16,1),1-MOD(A181/Calculator!$F$16,1)),ABS(MOD(A181/Calculator!$F$16,1)-0.5))),1)</f>
        <v>1</v>
      </c>
      <c r="G181" s="217" t="n">
        <f aca="false">IF(Calculator!$E$17="YES",IF(A181&lt;Calculator!$G$17,0,MIN(MIN(MOD(A181/Calculator!$F$17,1),1-MOD(A181/Calculator!$F$17,1)),ABS(MOD(A181/Calculator!$F$17,1)-0.5))),1)</f>
        <v>0.228210526315789</v>
      </c>
      <c r="H181" s="217" t="n">
        <f aca="false">IF(Calculator!$E$18="YES",IF(A181&lt;Calculator!$G$18,0,MIN(MIN(MOD(A181/Calculator!$F$18,1),1-MOD(A181/Calculator!$F$18,1)),ABS(MOD(A181/Calculator!$F$18,1)-0.5))),1)</f>
        <v>1</v>
      </c>
      <c r="I181" s="217" t="n">
        <f aca="false">IF(Calculator!$E$19="YES",IF(A181&lt;Calculator!$G$19,0,MIN(MIN(MOD(A181/Calculator!$F$19,1),1-MOD(A181/Calculator!$F$19,1)),ABS(MOD(A181/Calculator!$F$19,1)-0.5))),1)</f>
        <v>1</v>
      </c>
      <c r="J181" s="217" t="n">
        <f aca="false">IF(Calculator!$E$20="YES",IF(A181&lt;Calculator!$G$20,0,MIN(MIN(MOD(A181/Calculator!$F$20,1),1-MOD(A181/Calculator!$F$20,1)),ABS(MOD(A181/Calculator!$F$20,1)-0.5))),1)</f>
        <v>1</v>
      </c>
      <c r="K181" s="217" t="n">
        <f aca="false">IF(Calculator!$E$21="YES",IF(A181&lt;Calculator!$G$21,0,MIN(MIN(MOD(A181/Calculator!$F$21,1),1-MOD(A181/Calculator!$F$21,1)),ABS(MOD(A181/Calculator!$F$21,1)-0.5))),1)</f>
        <v>0.0350175438596487</v>
      </c>
      <c r="L181" s="217" t="n">
        <f aca="false">IF(Calculator!$E$22="YES",IF(A181&lt;Calculator!$G$22,0,MIN(MIN(MOD(A181/Calculator!$F$22,1),1-MOD(A181/Calculator!$F$22,1)),ABS(MOD(A181/Calculator!$F$22,1)-0.5))),1)</f>
        <v>1</v>
      </c>
      <c r="M181" s="217" t="n">
        <f aca="false">MIN(B181:L181)</f>
        <v>0.0350175438596487</v>
      </c>
      <c r="N181" s="217" t="n">
        <f aca="false">SUMPRODUCT(($M$7:$M$557&gt;M181)*1)+SUMPRODUCT(($M$7:$M$557=M181)*(ROW($M$7:$M$557)&lt;ROW(M181)))+1</f>
        <v>344</v>
      </c>
      <c r="O181" s="217" t="str">
        <f aca="false">IF(M181&gt;=0.2,"★★★ EXCELLENT",IF(M181&gt;=0.12,"★★  GOOD",IF(M181&gt;=0.07,"★  FAIR",IF(M181&gt;=0.025,"⚠  MARGINAL","✗  AVOID"))))</f>
        <v>⚠  MARGINAL</v>
      </c>
    </row>
    <row r="182" customFormat="false" ht="15" hidden="false" customHeight="true" outlineLevel="0" collapsed="false">
      <c r="A182" s="218" t="n">
        <v>22.5</v>
      </c>
      <c r="B182" s="219" t="n">
        <f aca="false">IF(Calculator!$E$12="YES",IF(A182&lt;Calculator!$G$12,0,MIN(MIN(MOD(A182/Calculator!$F$12,1),1-MOD(A182/Calculator!$F$12,1)),ABS(MOD(A182/Calculator!$F$12,1)-0.5))),1)</f>
        <v>1</v>
      </c>
      <c r="C182" s="219" t="n">
        <f aca="false">IF(Calculator!$E$13="YES",IF(A182&lt;Calculator!$G$13,0,MIN(MIN(MOD(A182/Calculator!$F$13,1),1-MOD(A182/Calculator!$F$13,1)),ABS(MOD(A182/Calculator!$F$13,1)-0.5))),1)</f>
        <v>1</v>
      </c>
      <c r="D182" s="219" t="n">
        <f aca="false">IF(Calculator!$E$14="YES",IF(A182&lt;Calculator!$G$14,0,MIN(MIN(MOD(A182/Calculator!$F$14,1),1-MOD(A182/Calculator!$F$14,1)),ABS(MOD(A182/Calculator!$F$14,1)-0.5))),1)</f>
        <v>1</v>
      </c>
      <c r="E182" s="219" t="n">
        <f aca="false">IF(Calculator!$E$15="YES",IF(A182&lt;Calculator!$G$15,0,MIN(MIN(MOD(A182/Calculator!$F$15,1),1-MOD(A182/Calculator!$F$15,1)),ABS(MOD(A182/Calculator!$F$15,1)-0.5))),1)</f>
        <v>0.128947368421053</v>
      </c>
      <c r="F182" s="219" t="n">
        <f aca="false">IF(Calculator!$E$16="YES",IF(A182&lt;Calculator!$G$16,0,MIN(MIN(MOD(A182/Calculator!$F$16,1),1-MOD(A182/Calculator!$F$16,1)),ABS(MOD(A182/Calculator!$F$16,1)-0.5))),1)</f>
        <v>1</v>
      </c>
      <c r="G182" s="219" t="n">
        <f aca="false">IF(Calculator!$E$17="YES",IF(A182&lt;Calculator!$G$17,0,MIN(MIN(MOD(A182/Calculator!$F$17,1),1-MOD(A182/Calculator!$F$17,1)),ABS(MOD(A182/Calculator!$F$17,1)-0.5))),1)</f>
        <v>0.238157894736842</v>
      </c>
      <c r="H182" s="219" t="n">
        <f aca="false">IF(Calculator!$E$18="YES",IF(A182&lt;Calculator!$G$18,0,MIN(MIN(MOD(A182/Calculator!$F$18,1),1-MOD(A182/Calculator!$F$18,1)),ABS(MOD(A182/Calculator!$F$18,1)-0.5))),1)</f>
        <v>1</v>
      </c>
      <c r="I182" s="219" t="n">
        <f aca="false">IF(Calculator!$E$19="YES",IF(A182&lt;Calculator!$G$19,0,MIN(MIN(MOD(A182/Calculator!$F$19,1),1-MOD(A182/Calculator!$F$19,1)),ABS(MOD(A182/Calculator!$F$19,1)-0.5))),1)</f>
        <v>1</v>
      </c>
      <c r="J182" s="219" t="n">
        <f aca="false">IF(Calculator!$E$20="YES",IF(A182&lt;Calculator!$G$20,0,MIN(MIN(MOD(A182/Calculator!$F$20,1),1-MOD(A182/Calculator!$F$20,1)),ABS(MOD(A182/Calculator!$F$20,1)-0.5))),1)</f>
        <v>1</v>
      </c>
      <c r="K182" s="219" t="n">
        <f aca="false">IF(Calculator!$E$21="YES",IF(A182&lt;Calculator!$G$21,0,MIN(MIN(MOD(A182/Calculator!$F$21,1),1-MOD(A182/Calculator!$F$21,1)),ABS(MOD(A182/Calculator!$F$21,1)-0.5))),1)</f>
        <v>0.0552631578947365</v>
      </c>
      <c r="L182" s="219" t="n">
        <f aca="false">IF(Calculator!$E$22="YES",IF(A182&lt;Calculator!$G$22,0,MIN(MIN(MOD(A182/Calculator!$F$22,1),1-MOD(A182/Calculator!$F$22,1)),ABS(MOD(A182/Calculator!$F$22,1)-0.5))),1)</f>
        <v>1</v>
      </c>
      <c r="M182" s="219" t="n">
        <f aca="false">MIN(B182:L182)</f>
        <v>0.0552631578947365</v>
      </c>
      <c r="N182" s="219" t="n">
        <f aca="false">SUMPRODUCT(($M$7:$M$557&gt;M182)*1)+SUMPRODUCT(($M$7:$M$557=M182)*(ROW($M$7:$M$557)&lt;ROW(M182)))+1</f>
        <v>264</v>
      </c>
      <c r="O182" s="219" t="str">
        <f aca="false">IF(M182&gt;=0.2,"★★★ EXCELLENT",IF(M182&gt;=0.12,"★★  GOOD",IF(M182&gt;=0.07,"★  FAIR",IF(M182&gt;=0.025,"⚠  MARGINAL","✗  AVOID"))))</f>
        <v>⚠  MARGINAL</v>
      </c>
    </row>
    <row r="183" customFormat="false" ht="15" hidden="false" customHeight="true" outlineLevel="0" collapsed="false">
      <c r="A183" s="216" t="n">
        <v>22.6</v>
      </c>
      <c r="B183" s="217" t="n">
        <f aca="false">IF(Calculator!$E$12="YES",IF(A183&lt;Calculator!$G$12,0,MIN(MIN(MOD(A183/Calculator!$F$12,1),1-MOD(A183/Calculator!$F$12,1)),ABS(MOD(A183/Calculator!$F$12,1)-0.5))),1)</f>
        <v>1</v>
      </c>
      <c r="C183" s="217" t="n">
        <f aca="false">IF(Calculator!$E$13="YES",IF(A183&lt;Calculator!$G$13,0,MIN(MIN(MOD(A183/Calculator!$F$13,1),1-MOD(A183/Calculator!$F$13,1)),ABS(MOD(A183/Calculator!$F$13,1)-0.5))),1)</f>
        <v>1</v>
      </c>
      <c r="D183" s="217" t="n">
        <f aca="false">IF(Calculator!$E$14="YES",IF(A183&lt;Calculator!$G$14,0,MIN(MIN(MOD(A183/Calculator!$F$14,1),1-MOD(A183/Calculator!$F$14,1)),ABS(MOD(A183/Calculator!$F$14,1)-0.5))),1)</f>
        <v>1</v>
      </c>
      <c r="E183" s="217" t="n">
        <f aca="false">IF(Calculator!$E$15="YES",IF(A183&lt;Calculator!$G$15,0,MIN(MIN(MOD(A183/Calculator!$F$15,1),1-MOD(A183/Calculator!$F$15,1)),ABS(MOD(A183/Calculator!$F$15,1)-0.5))),1)</f>
        <v>0.133964912280702</v>
      </c>
      <c r="F183" s="217" t="n">
        <f aca="false">IF(Calculator!$E$16="YES",IF(A183&lt;Calculator!$G$16,0,MIN(MIN(MOD(A183/Calculator!$F$16,1),1-MOD(A183/Calculator!$F$16,1)),ABS(MOD(A183/Calculator!$F$16,1)-0.5))),1)</f>
        <v>1</v>
      </c>
      <c r="G183" s="217" t="n">
        <f aca="false">IF(Calculator!$E$17="YES",IF(A183&lt;Calculator!$G$17,0,MIN(MIN(MOD(A183/Calculator!$F$17,1),1-MOD(A183/Calculator!$F$17,1)),ABS(MOD(A183/Calculator!$F$17,1)-0.5))),1)</f>
        <v>0.248105263157895</v>
      </c>
      <c r="H183" s="217" t="n">
        <f aca="false">IF(Calculator!$E$18="YES",IF(A183&lt;Calculator!$G$18,0,MIN(MIN(MOD(A183/Calculator!$F$18,1),1-MOD(A183/Calculator!$F$18,1)),ABS(MOD(A183/Calculator!$F$18,1)-0.5))),1)</f>
        <v>1</v>
      </c>
      <c r="I183" s="217" t="n">
        <f aca="false">IF(Calculator!$E$19="YES",IF(A183&lt;Calculator!$G$19,0,MIN(MIN(MOD(A183/Calculator!$F$19,1),1-MOD(A183/Calculator!$F$19,1)),ABS(MOD(A183/Calculator!$F$19,1)-0.5))),1)</f>
        <v>1</v>
      </c>
      <c r="J183" s="217" t="n">
        <f aca="false">IF(Calculator!$E$20="YES",IF(A183&lt;Calculator!$G$20,0,MIN(MIN(MOD(A183/Calculator!$F$20,1),1-MOD(A183/Calculator!$F$20,1)),ABS(MOD(A183/Calculator!$F$20,1)-0.5))),1)</f>
        <v>1</v>
      </c>
      <c r="K183" s="217" t="n">
        <f aca="false">IF(Calculator!$E$21="YES",IF(A183&lt;Calculator!$G$21,0,MIN(MIN(MOD(A183/Calculator!$F$21,1),1-MOD(A183/Calculator!$F$21,1)),ABS(MOD(A183/Calculator!$F$21,1)-0.5))),1)</f>
        <v>0.0755087719298251</v>
      </c>
      <c r="L183" s="217" t="n">
        <f aca="false">IF(Calculator!$E$22="YES",IF(A183&lt;Calculator!$G$22,0,MIN(MIN(MOD(A183/Calculator!$F$22,1),1-MOD(A183/Calculator!$F$22,1)),ABS(MOD(A183/Calculator!$F$22,1)-0.5))),1)</f>
        <v>1</v>
      </c>
      <c r="M183" s="217" t="n">
        <f aca="false">MIN(B183:L183)</f>
        <v>0.0755087719298251</v>
      </c>
      <c r="N183" s="217" t="n">
        <f aca="false">SUMPRODUCT(($M$7:$M$557&gt;M183)*1)+SUMPRODUCT(($M$7:$M$557=M183)*(ROW($M$7:$M$557)&lt;ROW(M183)))+1</f>
        <v>186</v>
      </c>
      <c r="O183" s="217" t="str">
        <f aca="false">IF(M183&gt;=0.2,"★★★ EXCELLENT",IF(M183&gt;=0.12,"★★  GOOD",IF(M183&gt;=0.07,"★  FAIR",IF(M183&gt;=0.025,"⚠  MARGINAL","✗  AVOID"))))</f>
        <v>★  FAIR</v>
      </c>
    </row>
    <row r="184" customFormat="false" ht="15" hidden="false" customHeight="true" outlineLevel="0" collapsed="false">
      <c r="A184" s="218" t="n">
        <v>22.7</v>
      </c>
      <c r="B184" s="219" t="n">
        <f aca="false">IF(Calculator!$E$12="YES",IF(A184&lt;Calculator!$G$12,0,MIN(MIN(MOD(A184/Calculator!$F$12,1),1-MOD(A184/Calculator!$F$12,1)),ABS(MOD(A184/Calculator!$F$12,1)-0.5))),1)</f>
        <v>1</v>
      </c>
      <c r="C184" s="219" t="n">
        <f aca="false">IF(Calculator!$E$13="YES",IF(A184&lt;Calculator!$G$13,0,MIN(MIN(MOD(A184/Calculator!$F$13,1),1-MOD(A184/Calculator!$F$13,1)),ABS(MOD(A184/Calculator!$F$13,1)-0.5))),1)</f>
        <v>1</v>
      </c>
      <c r="D184" s="219" t="n">
        <f aca="false">IF(Calculator!$E$14="YES",IF(A184&lt;Calculator!$G$14,0,MIN(MIN(MOD(A184/Calculator!$F$14,1),1-MOD(A184/Calculator!$F$14,1)),ABS(MOD(A184/Calculator!$F$14,1)-0.5))),1)</f>
        <v>1</v>
      </c>
      <c r="E184" s="219" t="n">
        <f aca="false">IF(Calculator!$E$15="YES",IF(A184&lt;Calculator!$G$15,0,MIN(MIN(MOD(A184/Calculator!$F$15,1),1-MOD(A184/Calculator!$F$15,1)),ABS(MOD(A184/Calculator!$F$15,1)-0.5))),1)</f>
        <v>0.138982456140351</v>
      </c>
      <c r="F184" s="219" t="n">
        <f aca="false">IF(Calculator!$E$16="YES",IF(A184&lt;Calculator!$G$16,0,MIN(MIN(MOD(A184/Calculator!$F$16,1),1-MOD(A184/Calculator!$F$16,1)),ABS(MOD(A184/Calculator!$F$16,1)-0.5))),1)</f>
        <v>1</v>
      </c>
      <c r="G184" s="219" t="n">
        <f aca="false">IF(Calculator!$E$17="YES",IF(A184&lt;Calculator!$G$17,0,MIN(MIN(MOD(A184/Calculator!$F$17,1),1-MOD(A184/Calculator!$F$17,1)),ABS(MOD(A184/Calculator!$F$17,1)-0.5))),1)</f>
        <v>0.241947368421052</v>
      </c>
      <c r="H184" s="219" t="n">
        <f aca="false">IF(Calculator!$E$18="YES",IF(A184&lt;Calculator!$G$18,0,MIN(MIN(MOD(A184/Calculator!$F$18,1),1-MOD(A184/Calculator!$F$18,1)),ABS(MOD(A184/Calculator!$F$18,1)-0.5))),1)</f>
        <v>1</v>
      </c>
      <c r="I184" s="219" t="n">
        <f aca="false">IF(Calculator!$E$19="YES",IF(A184&lt;Calculator!$G$19,0,MIN(MIN(MOD(A184/Calculator!$F$19,1),1-MOD(A184/Calculator!$F$19,1)),ABS(MOD(A184/Calculator!$F$19,1)-0.5))),1)</f>
        <v>1</v>
      </c>
      <c r="J184" s="219" t="n">
        <f aca="false">IF(Calculator!$E$20="YES",IF(A184&lt;Calculator!$G$20,0,MIN(MIN(MOD(A184/Calculator!$F$20,1),1-MOD(A184/Calculator!$F$20,1)),ABS(MOD(A184/Calculator!$F$20,1)-0.5))),1)</f>
        <v>1</v>
      </c>
      <c r="K184" s="219" t="n">
        <f aca="false">IF(Calculator!$E$21="YES",IF(A184&lt;Calculator!$G$21,0,MIN(MIN(MOD(A184/Calculator!$F$21,1),1-MOD(A184/Calculator!$F$21,1)),ABS(MOD(A184/Calculator!$F$21,1)-0.5))),1)</f>
        <v>0.0957543859649119</v>
      </c>
      <c r="L184" s="219" t="n">
        <f aca="false">IF(Calculator!$E$22="YES",IF(A184&lt;Calculator!$G$22,0,MIN(MIN(MOD(A184/Calculator!$F$22,1),1-MOD(A184/Calculator!$F$22,1)),ABS(MOD(A184/Calculator!$F$22,1)-0.5))),1)</f>
        <v>1</v>
      </c>
      <c r="M184" s="219" t="n">
        <f aca="false">MIN(B184:L184)</f>
        <v>0.0957543859649119</v>
      </c>
      <c r="N184" s="219" t="n">
        <f aca="false">SUMPRODUCT(($M$7:$M$557&gt;M184)*1)+SUMPRODUCT(($M$7:$M$557=M184)*(ROW($M$7:$M$557)&lt;ROW(M184)))+1</f>
        <v>117</v>
      </c>
      <c r="O184" s="219" t="str">
        <f aca="false">IF(M184&gt;=0.2,"★★★ EXCELLENT",IF(M184&gt;=0.12,"★★  GOOD",IF(M184&gt;=0.07,"★  FAIR",IF(M184&gt;=0.025,"⚠  MARGINAL","✗  AVOID"))))</f>
        <v>★  FAIR</v>
      </c>
    </row>
    <row r="185" customFormat="false" ht="15" hidden="false" customHeight="true" outlineLevel="0" collapsed="false">
      <c r="A185" s="216" t="n">
        <v>22.8</v>
      </c>
      <c r="B185" s="217" t="n">
        <f aca="false">IF(Calculator!$E$12="YES",IF(A185&lt;Calculator!$G$12,0,MIN(MIN(MOD(A185/Calculator!$F$12,1),1-MOD(A185/Calculator!$F$12,1)),ABS(MOD(A185/Calculator!$F$12,1)-0.5))),1)</f>
        <v>1</v>
      </c>
      <c r="C185" s="217" t="n">
        <f aca="false">IF(Calculator!$E$13="YES",IF(A185&lt;Calculator!$G$13,0,MIN(MIN(MOD(A185/Calculator!$F$13,1),1-MOD(A185/Calculator!$F$13,1)),ABS(MOD(A185/Calculator!$F$13,1)-0.5))),1)</f>
        <v>1</v>
      </c>
      <c r="D185" s="217" t="n">
        <f aca="false">IF(Calculator!$E$14="YES",IF(A185&lt;Calculator!$G$14,0,MIN(MIN(MOD(A185/Calculator!$F$14,1),1-MOD(A185/Calculator!$F$14,1)),ABS(MOD(A185/Calculator!$F$14,1)-0.5))),1)</f>
        <v>1</v>
      </c>
      <c r="E185" s="217" t="n">
        <f aca="false">IF(Calculator!$E$15="YES",IF(A185&lt;Calculator!$G$15,0,MIN(MIN(MOD(A185/Calculator!$F$15,1),1-MOD(A185/Calculator!$F$15,1)),ABS(MOD(A185/Calculator!$F$15,1)-0.5))),1)</f>
        <v>0.144</v>
      </c>
      <c r="F185" s="217" t="n">
        <f aca="false">IF(Calculator!$E$16="YES",IF(A185&lt;Calculator!$G$16,0,MIN(MIN(MOD(A185/Calculator!$F$16,1),1-MOD(A185/Calculator!$F$16,1)),ABS(MOD(A185/Calculator!$F$16,1)-0.5))),1)</f>
        <v>1</v>
      </c>
      <c r="G185" s="217" t="n">
        <f aca="false">IF(Calculator!$E$17="YES",IF(A185&lt;Calculator!$G$17,0,MIN(MIN(MOD(A185/Calculator!$F$17,1),1-MOD(A185/Calculator!$F$17,1)),ABS(MOD(A185/Calculator!$F$17,1)-0.5))),1)</f>
        <v>0.232</v>
      </c>
      <c r="H185" s="217" t="n">
        <f aca="false">IF(Calculator!$E$18="YES",IF(A185&lt;Calculator!$G$18,0,MIN(MIN(MOD(A185/Calculator!$F$18,1),1-MOD(A185/Calculator!$F$18,1)),ABS(MOD(A185/Calculator!$F$18,1)-0.5))),1)</f>
        <v>1</v>
      </c>
      <c r="I185" s="217" t="n">
        <f aca="false">IF(Calculator!$E$19="YES",IF(A185&lt;Calculator!$G$19,0,MIN(MIN(MOD(A185/Calculator!$F$19,1),1-MOD(A185/Calculator!$F$19,1)),ABS(MOD(A185/Calculator!$F$19,1)-0.5))),1)</f>
        <v>1</v>
      </c>
      <c r="J185" s="217" t="n">
        <f aca="false">IF(Calculator!$E$20="YES",IF(A185&lt;Calculator!$G$20,0,MIN(MIN(MOD(A185/Calculator!$F$20,1),1-MOD(A185/Calculator!$F$20,1)),ABS(MOD(A185/Calculator!$F$20,1)-0.5))),1)</f>
        <v>1</v>
      </c>
      <c r="K185" s="217" t="n">
        <f aca="false">IF(Calculator!$E$21="YES",IF(A185&lt;Calculator!$G$21,0,MIN(MIN(MOD(A185/Calculator!$F$21,1),1-MOD(A185/Calculator!$F$21,1)),ABS(MOD(A185/Calculator!$F$21,1)-0.5))),1)</f>
        <v>0.116</v>
      </c>
      <c r="L185" s="217" t="n">
        <f aca="false">IF(Calculator!$E$22="YES",IF(A185&lt;Calculator!$G$22,0,MIN(MIN(MOD(A185/Calculator!$F$22,1),1-MOD(A185/Calculator!$F$22,1)),ABS(MOD(A185/Calculator!$F$22,1)-0.5))),1)</f>
        <v>1</v>
      </c>
      <c r="M185" s="217" t="n">
        <f aca="false">MIN(B185:L185)</f>
        <v>0.116</v>
      </c>
      <c r="N185" s="217" t="n">
        <f aca="false">SUMPRODUCT(($M$7:$M$557&gt;M185)*1)+SUMPRODUCT(($M$7:$M$557=M185)*(ROW($M$7:$M$557)&lt;ROW(M185)))+1</f>
        <v>73</v>
      </c>
      <c r="O185" s="217" t="str">
        <f aca="false">IF(M185&gt;=0.2,"★★★ EXCELLENT",IF(M185&gt;=0.12,"★★  GOOD",IF(M185&gt;=0.07,"★  FAIR",IF(M185&gt;=0.025,"⚠  MARGINAL","✗  AVOID"))))</f>
        <v>★  FAIR</v>
      </c>
    </row>
    <row r="186" customFormat="false" ht="15" hidden="false" customHeight="true" outlineLevel="0" collapsed="false">
      <c r="A186" s="218" t="n">
        <v>22.9</v>
      </c>
      <c r="B186" s="219" t="n">
        <f aca="false">IF(Calculator!$E$12="YES",IF(A186&lt;Calculator!$G$12,0,MIN(MIN(MOD(A186/Calculator!$F$12,1),1-MOD(A186/Calculator!$F$12,1)),ABS(MOD(A186/Calculator!$F$12,1)-0.5))),1)</f>
        <v>1</v>
      </c>
      <c r="C186" s="219" t="n">
        <f aca="false">IF(Calculator!$E$13="YES",IF(A186&lt;Calculator!$G$13,0,MIN(MIN(MOD(A186/Calculator!$F$13,1),1-MOD(A186/Calculator!$F$13,1)),ABS(MOD(A186/Calculator!$F$13,1)-0.5))),1)</f>
        <v>1</v>
      </c>
      <c r="D186" s="219" t="n">
        <f aca="false">IF(Calculator!$E$14="YES",IF(A186&lt;Calculator!$G$14,0,MIN(MIN(MOD(A186/Calculator!$F$14,1),1-MOD(A186/Calculator!$F$14,1)),ABS(MOD(A186/Calculator!$F$14,1)-0.5))),1)</f>
        <v>1</v>
      </c>
      <c r="E186" s="219" t="n">
        <f aca="false">IF(Calculator!$E$15="YES",IF(A186&lt;Calculator!$G$15,0,MIN(MIN(MOD(A186/Calculator!$F$15,1),1-MOD(A186/Calculator!$F$15,1)),ABS(MOD(A186/Calculator!$F$15,1)-0.5))),1)</f>
        <v>0.149017543859649</v>
      </c>
      <c r="F186" s="219" t="n">
        <f aca="false">IF(Calculator!$E$16="YES",IF(A186&lt;Calculator!$G$16,0,MIN(MIN(MOD(A186/Calculator!$F$16,1),1-MOD(A186/Calculator!$F$16,1)),ABS(MOD(A186/Calculator!$F$16,1)-0.5))),1)</f>
        <v>1</v>
      </c>
      <c r="G186" s="219" t="n">
        <f aca="false">IF(Calculator!$E$17="YES",IF(A186&lt;Calculator!$G$17,0,MIN(MIN(MOD(A186/Calculator!$F$17,1),1-MOD(A186/Calculator!$F$17,1)),ABS(MOD(A186/Calculator!$F$17,1)-0.5))),1)</f>
        <v>0.222052631578948</v>
      </c>
      <c r="H186" s="219" t="n">
        <f aca="false">IF(Calculator!$E$18="YES",IF(A186&lt;Calculator!$G$18,0,MIN(MIN(MOD(A186/Calculator!$F$18,1),1-MOD(A186/Calculator!$F$18,1)),ABS(MOD(A186/Calculator!$F$18,1)-0.5))),1)</f>
        <v>1</v>
      </c>
      <c r="I186" s="219" t="n">
        <f aca="false">IF(Calculator!$E$19="YES",IF(A186&lt;Calculator!$G$19,0,MIN(MIN(MOD(A186/Calculator!$F$19,1),1-MOD(A186/Calculator!$F$19,1)),ABS(MOD(A186/Calculator!$F$19,1)-0.5))),1)</f>
        <v>1</v>
      </c>
      <c r="J186" s="219" t="n">
        <f aca="false">IF(Calculator!$E$20="YES",IF(A186&lt;Calculator!$G$20,0,MIN(MIN(MOD(A186/Calculator!$F$20,1),1-MOD(A186/Calculator!$F$20,1)),ABS(MOD(A186/Calculator!$F$20,1)-0.5))),1)</f>
        <v>1</v>
      </c>
      <c r="K186" s="219" t="n">
        <f aca="false">IF(Calculator!$E$21="YES",IF(A186&lt;Calculator!$G$21,0,MIN(MIN(MOD(A186/Calculator!$F$21,1),1-MOD(A186/Calculator!$F$21,1)),ABS(MOD(A186/Calculator!$F$21,1)-0.5))),1)</f>
        <v>0.136245614035087</v>
      </c>
      <c r="L186" s="219" t="n">
        <f aca="false">IF(Calculator!$E$22="YES",IF(A186&lt;Calculator!$G$22,0,MIN(MIN(MOD(A186/Calculator!$F$22,1),1-MOD(A186/Calculator!$F$22,1)),ABS(MOD(A186/Calculator!$F$22,1)-0.5))),1)</f>
        <v>1</v>
      </c>
      <c r="M186" s="219" t="n">
        <f aca="false">MIN(B186:L186)</f>
        <v>0.136245614035087</v>
      </c>
      <c r="N186" s="219" t="n">
        <f aca="false">SUMPRODUCT(($M$7:$M$557&gt;M186)*1)+SUMPRODUCT(($M$7:$M$557=M186)*(ROW($M$7:$M$557)&lt;ROW(M186)))+1</f>
        <v>51</v>
      </c>
      <c r="O186" s="219" t="str">
        <f aca="false">IF(M186&gt;=0.2,"★★★ EXCELLENT",IF(M186&gt;=0.12,"★★  GOOD",IF(M186&gt;=0.07,"★  FAIR",IF(M186&gt;=0.025,"⚠  MARGINAL","✗  AVOID"))))</f>
        <v>★★  GOOD</v>
      </c>
    </row>
    <row r="187" customFormat="false" ht="15" hidden="false" customHeight="true" outlineLevel="0" collapsed="false">
      <c r="A187" s="216" t="n">
        <v>23</v>
      </c>
      <c r="B187" s="217" t="n">
        <f aca="false">IF(Calculator!$E$12="YES",IF(A187&lt;Calculator!$G$12,0,MIN(MIN(MOD(A187/Calculator!$F$12,1),1-MOD(A187/Calculator!$F$12,1)),ABS(MOD(A187/Calculator!$F$12,1)-0.5))),1)</f>
        <v>1</v>
      </c>
      <c r="C187" s="217" t="n">
        <f aca="false">IF(Calculator!$E$13="YES",IF(A187&lt;Calculator!$G$13,0,MIN(MIN(MOD(A187/Calculator!$F$13,1),1-MOD(A187/Calculator!$F$13,1)),ABS(MOD(A187/Calculator!$F$13,1)-0.5))),1)</f>
        <v>1</v>
      </c>
      <c r="D187" s="217" t="n">
        <f aca="false">IF(Calculator!$E$14="YES",IF(A187&lt;Calculator!$G$14,0,MIN(MIN(MOD(A187/Calculator!$F$14,1),1-MOD(A187/Calculator!$F$14,1)),ABS(MOD(A187/Calculator!$F$14,1)-0.5))),1)</f>
        <v>1</v>
      </c>
      <c r="E187" s="217" t="n">
        <f aca="false">IF(Calculator!$E$15="YES",IF(A187&lt;Calculator!$G$15,0,MIN(MIN(MOD(A187/Calculator!$F$15,1),1-MOD(A187/Calculator!$F$15,1)),ABS(MOD(A187/Calculator!$F$15,1)-0.5))),1)</f>
        <v>0.154035087719298</v>
      </c>
      <c r="F187" s="217" t="n">
        <f aca="false">IF(Calculator!$E$16="YES",IF(A187&lt;Calculator!$G$16,0,MIN(MIN(MOD(A187/Calculator!$F$16,1),1-MOD(A187/Calculator!$F$16,1)),ABS(MOD(A187/Calculator!$F$16,1)-0.5))),1)</f>
        <v>1</v>
      </c>
      <c r="G187" s="217" t="n">
        <f aca="false">IF(Calculator!$E$17="YES",IF(A187&lt;Calculator!$G$17,0,MIN(MIN(MOD(A187/Calculator!$F$17,1),1-MOD(A187/Calculator!$F$17,1)),ABS(MOD(A187/Calculator!$F$17,1)-0.5))),1)</f>
        <v>0.212105263157894</v>
      </c>
      <c r="H187" s="217" t="n">
        <f aca="false">IF(Calculator!$E$18="YES",IF(A187&lt;Calculator!$G$18,0,MIN(MIN(MOD(A187/Calculator!$F$18,1),1-MOD(A187/Calculator!$F$18,1)),ABS(MOD(A187/Calculator!$F$18,1)-0.5))),1)</f>
        <v>1</v>
      </c>
      <c r="I187" s="217" t="n">
        <f aca="false">IF(Calculator!$E$19="YES",IF(A187&lt;Calculator!$G$19,0,MIN(MIN(MOD(A187/Calculator!$F$19,1),1-MOD(A187/Calculator!$F$19,1)),ABS(MOD(A187/Calculator!$F$19,1)-0.5))),1)</f>
        <v>1</v>
      </c>
      <c r="J187" s="217" t="n">
        <f aca="false">IF(Calculator!$E$20="YES",IF(A187&lt;Calculator!$G$20,0,MIN(MIN(MOD(A187/Calculator!$F$20,1),1-MOD(A187/Calculator!$F$20,1)),ABS(MOD(A187/Calculator!$F$20,1)-0.5))),1)</f>
        <v>1</v>
      </c>
      <c r="K187" s="217" t="n">
        <f aca="false">IF(Calculator!$E$21="YES",IF(A187&lt;Calculator!$G$21,0,MIN(MIN(MOD(A187/Calculator!$F$21,1),1-MOD(A187/Calculator!$F$21,1)),ABS(MOD(A187/Calculator!$F$21,1)-0.5))),1)</f>
        <v>0.156491228070175</v>
      </c>
      <c r="L187" s="217" t="n">
        <f aca="false">IF(Calculator!$E$22="YES",IF(A187&lt;Calculator!$G$22,0,MIN(MIN(MOD(A187/Calculator!$F$22,1),1-MOD(A187/Calculator!$F$22,1)),ABS(MOD(A187/Calculator!$F$22,1)-0.5))),1)</f>
        <v>1</v>
      </c>
      <c r="M187" s="217" t="n">
        <f aca="false">MIN(B187:L187)</f>
        <v>0.154035087719298</v>
      </c>
      <c r="N187" s="217" t="n">
        <f aca="false">SUMPRODUCT(($M$7:$M$557&gt;M187)*1)+SUMPRODUCT(($M$7:$M$557=M187)*(ROW($M$7:$M$557)&lt;ROW(M187)))+1</f>
        <v>31</v>
      </c>
      <c r="O187" s="217" t="str">
        <f aca="false">IF(M187&gt;=0.2,"★★★ EXCELLENT",IF(M187&gt;=0.12,"★★  GOOD",IF(M187&gt;=0.07,"★  FAIR",IF(M187&gt;=0.025,"⚠  MARGINAL","✗  AVOID"))))</f>
        <v>★★  GOOD</v>
      </c>
    </row>
    <row r="188" customFormat="false" ht="15" hidden="false" customHeight="true" outlineLevel="0" collapsed="false">
      <c r="A188" s="218" t="n">
        <v>23.1</v>
      </c>
      <c r="B188" s="219" t="n">
        <f aca="false">IF(Calculator!$E$12="YES",IF(A188&lt;Calculator!$G$12,0,MIN(MIN(MOD(A188/Calculator!$F$12,1),1-MOD(A188/Calculator!$F$12,1)),ABS(MOD(A188/Calculator!$F$12,1)-0.5))),1)</f>
        <v>1</v>
      </c>
      <c r="C188" s="219" t="n">
        <f aca="false">IF(Calculator!$E$13="YES",IF(A188&lt;Calculator!$G$13,0,MIN(MIN(MOD(A188/Calculator!$F$13,1),1-MOD(A188/Calculator!$F$13,1)),ABS(MOD(A188/Calculator!$F$13,1)-0.5))),1)</f>
        <v>1</v>
      </c>
      <c r="D188" s="219" t="n">
        <f aca="false">IF(Calculator!$E$14="YES",IF(A188&lt;Calculator!$G$14,0,MIN(MIN(MOD(A188/Calculator!$F$14,1),1-MOD(A188/Calculator!$F$14,1)),ABS(MOD(A188/Calculator!$F$14,1)-0.5))),1)</f>
        <v>1</v>
      </c>
      <c r="E188" s="219" t="n">
        <f aca="false">IF(Calculator!$E$15="YES",IF(A188&lt;Calculator!$G$15,0,MIN(MIN(MOD(A188/Calculator!$F$15,1),1-MOD(A188/Calculator!$F$15,1)),ABS(MOD(A188/Calculator!$F$15,1)-0.5))),1)</f>
        <v>0.159052631578947</v>
      </c>
      <c r="F188" s="219" t="n">
        <f aca="false">IF(Calculator!$E$16="YES",IF(A188&lt;Calculator!$G$16,0,MIN(MIN(MOD(A188/Calculator!$F$16,1),1-MOD(A188/Calculator!$F$16,1)),ABS(MOD(A188/Calculator!$F$16,1)-0.5))),1)</f>
        <v>1</v>
      </c>
      <c r="G188" s="219" t="n">
        <f aca="false">IF(Calculator!$E$17="YES",IF(A188&lt;Calculator!$G$17,0,MIN(MIN(MOD(A188/Calculator!$F$17,1),1-MOD(A188/Calculator!$F$17,1)),ABS(MOD(A188/Calculator!$F$17,1)-0.5))),1)</f>
        <v>0.202157894736842</v>
      </c>
      <c r="H188" s="219" t="n">
        <f aca="false">IF(Calculator!$E$18="YES",IF(A188&lt;Calculator!$G$18,0,MIN(MIN(MOD(A188/Calculator!$F$18,1),1-MOD(A188/Calculator!$F$18,1)),ABS(MOD(A188/Calculator!$F$18,1)-0.5))),1)</f>
        <v>1</v>
      </c>
      <c r="I188" s="219" t="n">
        <f aca="false">IF(Calculator!$E$19="YES",IF(A188&lt;Calculator!$G$19,0,MIN(MIN(MOD(A188/Calculator!$F$19,1),1-MOD(A188/Calculator!$F$19,1)),ABS(MOD(A188/Calculator!$F$19,1)-0.5))),1)</f>
        <v>1</v>
      </c>
      <c r="J188" s="219" t="n">
        <f aca="false">IF(Calculator!$E$20="YES",IF(A188&lt;Calculator!$G$20,0,MIN(MIN(MOD(A188/Calculator!$F$20,1),1-MOD(A188/Calculator!$F$20,1)),ABS(MOD(A188/Calculator!$F$20,1)-0.5))),1)</f>
        <v>1</v>
      </c>
      <c r="K188" s="219" t="n">
        <f aca="false">IF(Calculator!$E$21="YES",IF(A188&lt;Calculator!$G$21,0,MIN(MIN(MOD(A188/Calculator!$F$21,1),1-MOD(A188/Calculator!$F$21,1)),ABS(MOD(A188/Calculator!$F$21,1)-0.5))),1)</f>
        <v>0.176736842105264</v>
      </c>
      <c r="L188" s="219" t="n">
        <f aca="false">IF(Calculator!$E$22="YES",IF(A188&lt;Calculator!$G$22,0,MIN(MIN(MOD(A188/Calculator!$F$22,1),1-MOD(A188/Calculator!$F$22,1)),ABS(MOD(A188/Calculator!$F$22,1)-0.5))),1)</f>
        <v>1</v>
      </c>
      <c r="M188" s="219" t="n">
        <f aca="false">MIN(B188:L188)</f>
        <v>0.159052631578947</v>
      </c>
      <c r="N188" s="219" t="n">
        <f aca="false">SUMPRODUCT(($M$7:$M$557&gt;M188)*1)+SUMPRODUCT(($M$7:$M$557=M188)*(ROW($M$7:$M$557)&lt;ROW(M188)))+1</f>
        <v>25</v>
      </c>
      <c r="O188" s="219" t="str">
        <f aca="false">IF(M188&gt;=0.2,"★★★ EXCELLENT",IF(M188&gt;=0.12,"★★  GOOD",IF(M188&gt;=0.07,"★  FAIR",IF(M188&gt;=0.025,"⚠  MARGINAL","✗  AVOID"))))</f>
        <v>★★  GOOD</v>
      </c>
    </row>
    <row r="189" customFormat="false" ht="15" hidden="false" customHeight="true" outlineLevel="0" collapsed="false">
      <c r="A189" s="216" t="n">
        <v>23.2</v>
      </c>
      <c r="B189" s="217" t="n">
        <f aca="false">IF(Calculator!$E$12="YES",IF(A189&lt;Calculator!$G$12,0,MIN(MIN(MOD(A189/Calculator!$F$12,1),1-MOD(A189/Calculator!$F$12,1)),ABS(MOD(A189/Calculator!$F$12,1)-0.5))),1)</f>
        <v>1</v>
      </c>
      <c r="C189" s="217" t="n">
        <f aca="false">IF(Calculator!$E$13="YES",IF(A189&lt;Calculator!$G$13,0,MIN(MIN(MOD(A189/Calculator!$F$13,1),1-MOD(A189/Calculator!$F$13,1)),ABS(MOD(A189/Calculator!$F$13,1)-0.5))),1)</f>
        <v>1</v>
      </c>
      <c r="D189" s="217" t="n">
        <f aca="false">IF(Calculator!$E$14="YES",IF(A189&lt;Calculator!$G$14,0,MIN(MIN(MOD(A189/Calculator!$F$14,1),1-MOD(A189/Calculator!$F$14,1)),ABS(MOD(A189/Calculator!$F$14,1)-0.5))),1)</f>
        <v>1</v>
      </c>
      <c r="E189" s="217" t="n">
        <f aca="false">IF(Calculator!$E$15="YES",IF(A189&lt;Calculator!$G$15,0,MIN(MIN(MOD(A189/Calculator!$F$15,1),1-MOD(A189/Calculator!$F$15,1)),ABS(MOD(A189/Calculator!$F$15,1)-0.5))),1)</f>
        <v>0.164070175438596</v>
      </c>
      <c r="F189" s="217" t="n">
        <f aca="false">IF(Calculator!$E$16="YES",IF(A189&lt;Calculator!$G$16,0,MIN(MIN(MOD(A189/Calculator!$F$16,1),1-MOD(A189/Calculator!$F$16,1)),ABS(MOD(A189/Calculator!$F$16,1)-0.5))),1)</f>
        <v>1</v>
      </c>
      <c r="G189" s="217" t="n">
        <f aca="false">IF(Calculator!$E$17="YES",IF(A189&lt;Calculator!$G$17,0,MIN(MIN(MOD(A189/Calculator!$F$17,1),1-MOD(A189/Calculator!$F$17,1)),ABS(MOD(A189/Calculator!$F$17,1)-0.5))),1)</f>
        <v>0.192210526315789</v>
      </c>
      <c r="H189" s="217" t="n">
        <f aca="false">IF(Calculator!$E$18="YES",IF(A189&lt;Calculator!$G$18,0,MIN(MIN(MOD(A189/Calculator!$F$18,1),1-MOD(A189/Calculator!$F$18,1)),ABS(MOD(A189/Calculator!$F$18,1)-0.5))),1)</f>
        <v>1</v>
      </c>
      <c r="I189" s="217" t="n">
        <f aca="false">IF(Calculator!$E$19="YES",IF(A189&lt;Calculator!$G$19,0,MIN(MIN(MOD(A189/Calculator!$F$19,1),1-MOD(A189/Calculator!$F$19,1)),ABS(MOD(A189/Calculator!$F$19,1)-0.5))),1)</f>
        <v>1</v>
      </c>
      <c r="J189" s="217" t="n">
        <f aca="false">IF(Calculator!$E$20="YES",IF(A189&lt;Calculator!$G$20,0,MIN(MIN(MOD(A189/Calculator!$F$20,1),1-MOD(A189/Calculator!$F$20,1)),ABS(MOD(A189/Calculator!$F$20,1)-0.5))),1)</f>
        <v>1</v>
      </c>
      <c r="K189" s="217" t="n">
        <f aca="false">IF(Calculator!$E$21="YES",IF(A189&lt;Calculator!$G$21,0,MIN(MIN(MOD(A189/Calculator!$F$21,1),1-MOD(A189/Calculator!$F$21,1)),ABS(MOD(A189/Calculator!$F$21,1)-0.5))),1)</f>
        <v>0.196982456140351</v>
      </c>
      <c r="L189" s="217" t="n">
        <f aca="false">IF(Calculator!$E$22="YES",IF(A189&lt;Calculator!$G$22,0,MIN(MIN(MOD(A189/Calculator!$F$22,1),1-MOD(A189/Calculator!$F$22,1)),ABS(MOD(A189/Calculator!$F$22,1)-0.5))),1)</f>
        <v>1</v>
      </c>
      <c r="M189" s="217" t="n">
        <f aca="false">MIN(B189:L189)</f>
        <v>0.164070175438596</v>
      </c>
      <c r="N189" s="217" t="n">
        <f aca="false">SUMPRODUCT(($M$7:$M$557&gt;M189)*1)+SUMPRODUCT(($M$7:$M$557=M189)*(ROW($M$7:$M$557)&lt;ROW(M189)))+1</f>
        <v>18</v>
      </c>
      <c r="O189" s="217" t="str">
        <f aca="false">IF(M189&gt;=0.2,"★★★ EXCELLENT",IF(M189&gt;=0.12,"★★  GOOD",IF(M189&gt;=0.07,"★  FAIR",IF(M189&gt;=0.025,"⚠  MARGINAL","✗  AVOID"))))</f>
        <v>★★  GOOD</v>
      </c>
    </row>
    <row r="190" customFormat="false" ht="15" hidden="false" customHeight="true" outlineLevel="0" collapsed="false">
      <c r="A190" s="218" t="n">
        <v>23.3</v>
      </c>
      <c r="B190" s="219" t="n">
        <f aca="false">IF(Calculator!$E$12="YES",IF(A190&lt;Calculator!$G$12,0,MIN(MIN(MOD(A190/Calculator!$F$12,1),1-MOD(A190/Calculator!$F$12,1)),ABS(MOD(A190/Calculator!$F$12,1)-0.5))),1)</f>
        <v>1</v>
      </c>
      <c r="C190" s="219" t="n">
        <f aca="false">IF(Calculator!$E$13="YES",IF(A190&lt;Calculator!$G$13,0,MIN(MIN(MOD(A190/Calculator!$F$13,1),1-MOD(A190/Calculator!$F$13,1)),ABS(MOD(A190/Calculator!$F$13,1)-0.5))),1)</f>
        <v>1</v>
      </c>
      <c r="D190" s="219" t="n">
        <f aca="false">IF(Calculator!$E$14="YES",IF(A190&lt;Calculator!$G$14,0,MIN(MIN(MOD(A190/Calculator!$F$14,1),1-MOD(A190/Calculator!$F$14,1)),ABS(MOD(A190/Calculator!$F$14,1)-0.5))),1)</f>
        <v>1</v>
      </c>
      <c r="E190" s="219" t="n">
        <f aca="false">IF(Calculator!$E$15="YES",IF(A190&lt;Calculator!$G$15,0,MIN(MIN(MOD(A190/Calculator!$F$15,1),1-MOD(A190/Calculator!$F$15,1)),ABS(MOD(A190/Calculator!$F$15,1)-0.5))),1)</f>
        <v>0.169087719298246</v>
      </c>
      <c r="F190" s="219" t="n">
        <f aca="false">IF(Calculator!$E$16="YES",IF(A190&lt;Calculator!$G$16,0,MIN(MIN(MOD(A190/Calculator!$F$16,1),1-MOD(A190/Calculator!$F$16,1)),ABS(MOD(A190/Calculator!$F$16,1)-0.5))),1)</f>
        <v>1</v>
      </c>
      <c r="G190" s="219" t="n">
        <f aca="false">IF(Calculator!$E$17="YES",IF(A190&lt;Calculator!$G$17,0,MIN(MIN(MOD(A190/Calculator!$F$17,1),1-MOD(A190/Calculator!$F$17,1)),ABS(MOD(A190/Calculator!$F$17,1)-0.5))),1)</f>
        <v>0.182263157894737</v>
      </c>
      <c r="H190" s="219" t="n">
        <f aca="false">IF(Calculator!$E$18="YES",IF(A190&lt;Calculator!$G$18,0,MIN(MIN(MOD(A190/Calculator!$F$18,1),1-MOD(A190/Calculator!$F$18,1)),ABS(MOD(A190/Calculator!$F$18,1)-0.5))),1)</f>
        <v>1</v>
      </c>
      <c r="I190" s="219" t="n">
        <f aca="false">IF(Calculator!$E$19="YES",IF(A190&lt;Calculator!$G$19,0,MIN(MIN(MOD(A190/Calculator!$F$19,1),1-MOD(A190/Calculator!$F$19,1)),ABS(MOD(A190/Calculator!$F$19,1)-0.5))),1)</f>
        <v>1</v>
      </c>
      <c r="J190" s="219" t="n">
        <f aca="false">IF(Calculator!$E$20="YES",IF(A190&lt;Calculator!$G$20,0,MIN(MIN(MOD(A190/Calculator!$F$20,1),1-MOD(A190/Calculator!$F$20,1)),ABS(MOD(A190/Calculator!$F$20,1)-0.5))),1)</f>
        <v>1</v>
      </c>
      <c r="K190" s="219" t="n">
        <f aca="false">IF(Calculator!$E$21="YES",IF(A190&lt;Calculator!$G$21,0,MIN(MIN(MOD(A190/Calculator!$F$21,1),1-MOD(A190/Calculator!$F$21,1)),ABS(MOD(A190/Calculator!$F$21,1)-0.5))),1)</f>
        <v>0.217228070175438</v>
      </c>
      <c r="L190" s="219" t="n">
        <f aca="false">IF(Calculator!$E$22="YES",IF(A190&lt;Calculator!$G$22,0,MIN(MIN(MOD(A190/Calculator!$F$22,1),1-MOD(A190/Calculator!$F$22,1)),ABS(MOD(A190/Calculator!$F$22,1)-0.5))),1)</f>
        <v>1</v>
      </c>
      <c r="M190" s="219" t="n">
        <f aca="false">MIN(B190:L190)</f>
        <v>0.169087719298246</v>
      </c>
      <c r="N190" s="219" t="n">
        <f aca="false">SUMPRODUCT(($M$7:$M$557&gt;M190)*1)+SUMPRODUCT(($M$7:$M$557=M190)*(ROW($M$7:$M$557)&lt;ROW(M190)))+1</f>
        <v>10</v>
      </c>
      <c r="O190" s="219" t="str">
        <f aca="false">IF(M190&gt;=0.2,"★★★ EXCELLENT",IF(M190&gt;=0.12,"★★  GOOD",IF(M190&gt;=0.07,"★  FAIR",IF(M190&gt;=0.025,"⚠  MARGINAL","✗  AVOID"))))</f>
        <v>★★  GOOD</v>
      </c>
    </row>
    <row r="191" customFormat="false" ht="15" hidden="false" customHeight="true" outlineLevel="0" collapsed="false">
      <c r="A191" s="216" t="n">
        <v>23.4</v>
      </c>
      <c r="B191" s="217" t="n">
        <f aca="false">IF(Calculator!$E$12="YES",IF(A191&lt;Calculator!$G$12,0,MIN(MIN(MOD(A191/Calculator!$F$12,1),1-MOD(A191/Calculator!$F$12,1)),ABS(MOD(A191/Calculator!$F$12,1)-0.5))),1)</f>
        <v>1</v>
      </c>
      <c r="C191" s="217" t="n">
        <f aca="false">IF(Calculator!$E$13="YES",IF(A191&lt;Calculator!$G$13,0,MIN(MIN(MOD(A191/Calculator!$F$13,1),1-MOD(A191/Calculator!$F$13,1)),ABS(MOD(A191/Calculator!$F$13,1)-0.5))),1)</f>
        <v>1</v>
      </c>
      <c r="D191" s="217" t="n">
        <f aca="false">IF(Calculator!$E$14="YES",IF(A191&lt;Calculator!$G$14,0,MIN(MIN(MOD(A191/Calculator!$F$14,1),1-MOD(A191/Calculator!$F$14,1)),ABS(MOD(A191/Calculator!$F$14,1)-0.5))),1)</f>
        <v>1</v>
      </c>
      <c r="E191" s="217" t="n">
        <f aca="false">IF(Calculator!$E$15="YES",IF(A191&lt;Calculator!$G$15,0,MIN(MIN(MOD(A191/Calculator!$F$15,1),1-MOD(A191/Calculator!$F$15,1)),ABS(MOD(A191/Calculator!$F$15,1)-0.5))),1)</f>
        <v>0.174105263157895</v>
      </c>
      <c r="F191" s="217" t="n">
        <f aca="false">IF(Calculator!$E$16="YES",IF(A191&lt;Calculator!$G$16,0,MIN(MIN(MOD(A191/Calculator!$F$16,1),1-MOD(A191/Calculator!$F$16,1)),ABS(MOD(A191/Calculator!$F$16,1)-0.5))),1)</f>
        <v>1</v>
      </c>
      <c r="G191" s="217" t="n">
        <f aca="false">IF(Calculator!$E$17="YES",IF(A191&lt;Calculator!$G$17,0,MIN(MIN(MOD(A191/Calculator!$F$17,1),1-MOD(A191/Calculator!$F$17,1)),ABS(MOD(A191/Calculator!$F$17,1)-0.5))),1)</f>
        <v>0.172315789473684</v>
      </c>
      <c r="H191" s="217" t="n">
        <f aca="false">IF(Calculator!$E$18="YES",IF(A191&lt;Calculator!$G$18,0,MIN(MIN(MOD(A191/Calculator!$F$18,1),1-MOD(A191/Calculator!$F$18,1)),ABS(MOD(A191/Calculator!$F$18,1)-0.5))),1)</f>
        <v>1</v>
      </c>
      <c r="I191" s="217" t="n">
        <f aca="false">IF(Calculator!$E$19="YES",IF(A191&lt;Calculator!$G$19,0,MIN(MIN(MOD(A191/Calculator!$F$19,1),1-MOD(A191/Calculator!$F$19,1)),ABS(MOD(A191/Calculator!$F$19,1)-0.5))),1)</f>
        <v>1</v>
      </c>
      <c r="J191" s="217" t="n">
        <f aca="false">IF(Calculator!$E$20="YES",IF(A191&lt;Calculator!$G$20,0,MIN(MIN(MOD(A191/Calculator!$F$20,1),1-MOD(A191/Calculator!$F$20,1)),ABS(MOD(A191/Calculator!$F$20,1)-0.5))),1)</f>
        <v>1</v>
      </c>
      <c r="K191" s="217" t="n">
        <f aca="false">IF(Calculator!$E$21="YES",IF(A191&lt;Calculator!$G$21,0,MIN(MIN(MOD(A191/Calculator!$F$21,1),1-MOD(A191/Calculator!$F$21,1)),ABS(MOD(A191/Calculator!$F$21,1)-0.5))),1)</f>
        <v>0.237473684210526</v>
      </c>
      <c r="L191" s="217" t="n">
        <f aca="false">IF(Calculator!$E$22="YES",IF(A191&lt;Calculator!$G$22,0,MIN(MIN(MOD(A191/Calculator!$F$22,1),1-MOD(A191/Calculator!$F$22,1)),ABS(MOD(A191/Calculator!$F$22,1)-0.5))),1)</f>
        <v>1</v>
      </c>
      <c r="M191" s="217" t="n">
        <f aca="false">MIN(B191:L191)</f>
        <v>0.172315789473684</v>
      </c>
      <c r="N191" s="217" t="n">
        <f aca="false">SUMPRODUCT(($M$7:$M$557&gt;M191)*1)+SUMPRODUCT(($M$7:$M$557=M191)*(ROW($M$7:$M$557)&lt;ROW(M191)))+1</f>
        <v>7</v>
      </c>
      <c r="O191" s="217" t="str">
        <f aca="false">IF(M191&gt;=0.2,"★★★ EXCELLENT",IF(M191&gt;=0.12,"★★  GOOD",IF(M191&gt;=0.07,"★  FAIR",IF(M191&gt;=0.025,"⚠  MARGINAL","✗  AVOID"))))</f>
        <v>★★  GOOD</v>
      </c>
    </row>
    <row r="192" customFormat="false" ht="15" hidden="false" customHeight="true" outlineLevel="0" collapsed="false">
      <c r="A192" s="218" t="n">
        <v>23.5</v>
      </c>
      <c r="B192" s="219" t="n">
        <f aca="false">IF(Calculator!$E$12="YES",IF(A192&lt;Calculator!$G$12,0,MIN(MIN(MOD(A192/Calculator!$F$12,1),1-MOD(A192/Calculator!$F$12,1)),ABS(MOD(A192/Calculator!$F$12,1)-0.5))),1)</f>
        <v>1</v>
      </c>
      <c r="C192" s="219" t="n">
        <f aca="false">IF(Calculator!$E$13="YES",IF(A192&lt;Calculator!$G$13,0,MIN(MIN(MOD(A192/Calculator!$F$13,1),1-MOD(A192/Calculator!$F$13,1)),ABS(MOD(A192/Calculator!$F$13,1)-0.5))),1)</f>
        <v>1</v>
      </c>
      <c r="D192" s="219" t="n">
        <f aca="false">IF(Calculator!$E$14="YES",IF(A192&lt;Calculator!$G$14,0,MIN(MIN(MOD(A192/Calculator!$F$14,1),1-MOD(A192/Calculator!$F$14,1)),ABS(MOD(A192/Calculator!$F$14,1)-0.5))),1)</f>
        <v>1</v>
      </c>
      <c r="E192" s="219" t="n">
        <f aca="false">IF(Calculator!$E$15="YES",IF(A192&lt;Calculator!$G$15,0,MIN(MIN(MOD(A192/Calculator!$F$15,1),1-MOD(A192/Calculator!$F$15,1)),ABS(MOD(A192/Calculator!$F$15,1)-0.5))),1)</f>
        <v>0.179122807017544</v>
      </c>
      <c r="F192" s="219" t="n">
        <f aca="false">IF(Calculator!$E$16="YES",IF(A192&lt;Calculator!$G$16,0,MIN(MIN(MOD(A192/Calculator!$F$16,1),1-MOD(A192/Calculator!$F$16,1)),ABS(MOD(A192/Calculator!$F$16,1)-0.5))),1)</f>
        <v>1</v>
      </c>
      <c r="G192" s="219" t="n">
        <f aca="false">IF(Calculator!$E$17="YES",IF(A192&lt;Calculator!$G$17,0,MIN(MIN(MOD(A192/Calculator!$F$17,1),1-MOD(A192/Calculator!$F$17,1)),ABS(MOD(A192/Calculator!$F$17,1)-0.5))),1)</f>
        <v>0.162368421052631</v>
      </c>
      <c r="H192" s="219" t="n">
        <f aca="false">IF(Calculator!$E$18="YES",IF(A192&lt;Calculator!$G$18,0,MIN(MIN(MOD(A192/Calculator!$F$18,1),1-MOD(A192/Calculator!$F$18,1)),ABS(MOD(A192/Calculator!$F$18,1)-0.5))),1)</f>
        <v>1</v>
      </c>
      <c r="I192" s="219" t="n">
        <f aca="false">IF(Calculator!$E$19="YES",IF(A192&lt;Calculator!$G$19,0,MIN(MIN(MOD(A192/Calculator!$F$19,1),1-MOD(A192/Calculator!$F$19,1)),ABS(MOD(A192/Calculator!$F$19,1)-0.5))),1)</f>
        <v>1</v>
      </c>
      <c r="J192" s="219" t="n">
        <f aca="false">IF(Calculator!$E$20="YES",IF(A192&lt;Calculator!$G$20,0,MIN(MIN(MOD(A192/Calculator!$F$20,1),1-MOD(A192/Calculator!$F$20,1)),ABS(MOD(A192/Calculator!$F$20,1)-0.5))),1)</f>
        <v>1</v>
      </c>
      <c r="K192" s="219" t="n">
        <f aca="false">IF(Calculator!$E$21="YES",IF(A192&lt;Calculator!$G$21,0,MIN(MIN(MOD(A192/Calculator!$F$21,1),1-MOD(A192/Calculator!$F$21,1)),ABS(MOD(A192/Calculator!$F$21,1)-0.5))),1)</f>
        <v>0.242280701754386</v>
      </c>
      <c r="L192" s="219" t="n">
        <f aca="false">IF(Calculator!$E$22="YES",IF(A192&lt;Calculator!$G$22,0,MIN(MIN(MOD(A192/Calculator!$F$22,1),1-MOD(A192/Calculator!$F$22,1)),ABS(MOD(A192/Calculator!$F$22,1)-0.5))),1)</f>
        <v>1</v>
      </c>
      <c r="M192" s="219" t="n">
        <f aca="false">MIN(B192:L192)</f>
        <v>0.162368421052631</v>
      </c>
      <c r="N192" s="219" t="n">
        <f aca="false">SUMPRODUCT(($M$7:$M$557&gt;M192)*1)+SUMPRODUCT(($M$7:$M$557=M192)*(ROW($M$7:$M$557)&lt;ROW(M192)))+1</f>
        <v>21</v>
      </c>
      <c r="O192" s="219" t="str">
        <f aca="false">IF(M192&gt;=0.2,"★★★ EXCELLENT",IF(M192&gt;=0.12,"★★  GOOD",IF(M192&gt;=0.07,"★  FAIR",IF(M192&gt;=0.025,"⚠  MARGINAL","✗  AVOID"))))</f>
        <v>★★  GOOD</v>
      </c>
    </row>
    <row r="193" customFormat="false" ht="15" hidden="false" customHeight="true" outlineLevel="0" collapsed="false">
      <c r="A193" s="216" t="n">
        <v>23.6</v>
      </c>
      <c r="B193" s="217" t="n">
        <f aca="false">IF(Calculator!$E$12="YES",IF(A193&lt;Calculator!$G$12,0,MIN(MIN(MOD(A193/Calculator!$F$12,1),1-MOD(A193/Calculator!$F$12,1)),ABS(MOD(A193/Calculator!$F$12,1)-0.5))),1)</f>
        <v>1</v>
      </c>
      <c r="C193" s="217" t="n">
        <f aca="false">IF(Calculator!$E$13="YES",IF(A193&lt;Calculator!$G$13,0,MIN(MIN(MOD(A193/Calculator!$F$13,1),1-MOD(A193/Calculator!$F$13,1)),ABS(MOD(A193/Calculator!$F$13,1)-0.5))),1)</f>
        <v>1</v>
      </c>
      <c r="D193" s="217" t="n">
        <f aca="false">IF(Calculator!$E$14="YES",IF(A193&lt;Calculator!$G$14,0,MIN(MIN(MOD(A193/Calculator!$F$14,1),1-MOD(A193/Calculator!$F$14,1)),ABS(MOD(A193/Calculator!$F$14,1)-0.5))),1)</f>
        <v>1</v>
      </c>
      <c r="E193" s="217" t="n">
        <f aca="false">IF(Calculator!$E$15="YES",IF(A193&lt;Calculator!$G$15,0,MIN(MIN(MOD(A193/Calculator!$F$15,1),1-MOD(A193/Calculator!$F$15,1)),ABS(MOD(A193/Calculator!$F$15,1)-0.5))),1)</f>
        <v>0.184140350877193</v>
      </c>
      <c r="F193" s="217" t="n">
        <f aca="false">IF(Calculator!$E$16="YES",IF(A193&lt;Calculator!$G$16,0,MIN(MIN(MOD(A193/Calculator!$F$16,1),1-MOD(A193/Calculator!$F$16,1)),ABS(MOD(A193/Calculator!$F$16,1)-0.5))),1)</f>
        <v>1</v>
      </c>
      <c r="G193" s="217" t="n">
        <f aca="false">IF(Calculator!$E$17="YES",IF(A193&lt;Calculator!$G$17,0,MIN(MIN(MOD(A193/Calculator!$F$17,1),1-MOD(A193/Calculator!$F$17,1)),ABS(MOD(A193/Calculator!$F$17,1)-0.5))),1)</f>
        <v>0.152421052631579</v>
      </c>
      <c r="H193" s="217" t="n">
        <f aca="false">IF(Calculator!$E$18="YES",IF(A193&lt;Calculator!$G$18,0,MIN(MIN(MOD(A193/Calculator!$F$18,1),1-MOD(A193/Calculator!$F$18,1)),ABS(MOD(A193/Calculator!$F$18,1)-0.5))),1)</f>
        <v>1</v>
      </c>
      <c r="I193" s="217" t="n">
        <f aca="false">IF(Calculator!$E$19="YES",IF(A193&lt;Calculator!$G$19,0,MIN(MIN(MOD(A193/Calculator!$F$19,1),1-MOD(A193/Calculator!$F$19,1)),ABS(MOD(A193/Calculator!$F$19,1)-0.5))),1)</f>
        <v>1</v>
      </c>
      <c r="J193" s="217" t="n">
        <f aca="false">IF(Calculator!$E$20="YES",IF(A193&lt;Calculator!$G$20,0,MIN(MIN(MOD(A193/Calculator!$F$20,1),1-MOD(A193/Calculator!$F$20,1)),ABS(MOD(A193/Calculator!$F$20,1)-0.5))),1)</f>
        <v>1</v>
      </c>
      <c r="K193" s="217" t="n">
        <f aca="false">IF(Calculator!$E$21="YES",IF(A193&lt;Calculator!$G$21,0,MIN(MIN(MOD(A193/Calculator!$F$21,1),1-MOD(A193/Calculator!$F$21,1)),ABS(MOD(A193/Calculator!$F$21,1)-0.5))),1)</f>
        <v>0.222035087719298</v>
      </c>
      <c r="L193" s="217" t="n">
        <f aca="false">IF(Calculator!$E$22="YES",IF(A193&lt;Calculator!$G$22,0,MIN(MIN(MOD(A193/Calculator!$F$22,1),1-MOD(A193/Calculator!$F$22,1)),ABS(MOD(A193/Calculator!$F$22,1)-0.5))),1)</f>
        <v>1</v>
      </c>
      <c r="M193" s="217" t="n">
        <f aca="false">MIN(B193:L193)</f>
        <v>0.152421052631579</v>
      </c>
      <c r="N193" s="217" t="n">
        <f aca="false">SUMPRODUCT(($M$7:$M$557&gt;M193)*1)+SUMPRODUCT(($M$7:$M$557=M193)*(ROW($M$7:$M$557)&lt;ROW(M193)))+1</f>
        <v>34</v>
      </c>
      <c r="O193" s="217" t="str">
        <f aca="false">IF(M193&gt;=0.2,"★★★ EXCELLENT",IF(M193&gt;=0.12,"★★  GOOD",IF(M193&gt;=0.07,"★  FAIR",IF(M193&gt;=0.025,"⚠  MARGINAL","✗  AVOID"))))</f>
        <v>★★  GOOD</v>
      </c>
    </row>
    <row r="194" customFormat="false" ht="15" hidden="false" customHeight="true" outlineLevel="0" collapsed="false">
      <c r="A194" s="218" t="n">
        <v>23.7</v>
      </c>
      <c r="B194" s="219" t="n">
        <f aca="false">IF(Calculator!$E$12="YES",IF(A194&lt;Calculator!$G$12,0,MIN(MIN(MOD(A194/Calculator!$F$12,1),1-MOD(A194/Calculator!$F$12,1)),ABS(MOD(A194/Calculator!$F$12,1)-0.5))),1)</f>
        <v>1</v>
      </c>
      <c r="C194" s="219" t="n">
        <f aca="false">IF(Calculator!$E$13="YES",IF(A194&lt;Calculator!$G$13,0,MIN(MIN(MOD(A194/Calculator!$F$13,1),1-MOD(A194/Calculator!$F$13,1)),ABS(MOD(A194/Calculator!$F$13,1)-0.5))),1)</f>
        <v>1</v>
      </c>
      <c r="D194" s="219" t="n">
        <f aca="false">IF(Calculator!$E$14="YES",IF(A194&lt;Calculator!$G$14,0,MIN(MIN(MOD(A194/Calculator!$F$14,1),1-MOD(A194/Calculator!$F$14,1)),ABS(MOD(A194/Calculator!$F$14,1)-0.5))),1)</f>
        <v>1</v>
      </c>
      <c r="E194" s="219" t="n">
        <f aca="false">IF(Calculator!$E$15="YES",IF(A194&lt;Calculator!$G$15,0,MIN(MIN(MOD(A194/Calculator!$F$15,1),1-MOD(A194/Calculator!$F$15,1)),ABS(MOD(A194/Calculator!$F$15,1)-0.5))),1)</f>
        <v>0.189157894736842</v>
      </c>
      <c r="F194" s="219" t="n">
        <f aca="false">IF(Calculator!$E$16="YES",IF(A194&lt;Calculator!$G$16,0,MIN(MIN(MOD(A194/Calculator!$F$16,1),1-MOD(A194/Calculator!$F$16,1)),ABS(MOD(A194/Calculator!$F$16,1)-0.5))),1)</f>
        <v>1</v>
      </c>
      <c r="G194" s="219" t="n">
        <f aca="false">IF(Calculator!$E$17="YES",IF(A194&lt;Calculator!$G$17,0,MIN(MIN(MOD(A194/Calculator!$F$17,1),1-MOD(A194/Calculator!$F$17,1)),ABS(MOD(A194/Calculator!$F$17,1)-0.5))),1)</f>
        <v>0.142473684210526</v>
      </c>
      <c r="H194" s="219" t="n">
        <f aca="false">IF(Calculator!$E$18="YES",IF(A194&lt;Calculator!$G$18,0,MIN(MIN(MOD(A194/Calculator!$F$18,1),1-MOD(A194/Calculator!$F$18,1)),ABS(MOD(A194/Calculator!$F$18,1)-0.5))),1)</f>
        <v>1</v>
      </c>
      <c r="I194" s="219" t="n">
        <f aca="false">IF(Calculator!$E$19="YES",IF(A194&lt;Calculator!$G$19,0,MIN(MIN(MOD(A194/Calculator!$F$19,1),1-MOD(A194/Calculator!$F$19,1)),ABS(MOD(A194/Calculator!$F$19,1)-0.5))),1)</f>
        <v>1</v>
      </c>
      <c r="J194" s="219" t="n">
        <f aca="false">IF(Calculator!$E$20="YES",IF(A194&lt;Calculator!$G$20,0,MIN(MIN(MOD(A194/Calculator!$F$20,1),1-MOD(A194/Calculator!$F$20,1)),ABS(MOD(A194/Calculator!$F$20,1)-0.5))),1)</f>
        <v>1</v>
      </c>
      <c r="K194" s="219" t="n">
        <f aca="false">IF(Calculator!$E$21="YES",IF(A194&lt;Calculator!$G$21,0,MIN(MIN(MOD(A194/Calculator!$F$21,1),1-MOD(A194/Calculator!$F$21,1)),ABS(MOD(A194/Calculator!$F$21,1)-0.5))),1)</f>
        <v>0.201789473684211</v>
      </c>
      <c r="L194" s="219" t="n">
        <f aca="false">IF(Calculator!$E$22="YES",IF(A194&lt;Calculator!$G$22,0,MIN(MIN(MOD(A194/Calculator!$F$22,1),1-MOD(A194/Calculator!$F$22,1)),ABS(MOD(A194/Calculator!$F$22,1)-0.5))),1)</f>
        <v>1</v>
      </c>
      <c r="M194" s="219" t="n">
        <f aca="false">MIN(B194:L194)</f>
        <v>0.142473684210526</v>
      </c>
      <c r="N194" s="219" t="n">
        <f aca="false">SUMPRODUCT(($M$7:$M$557&gt;M194)*1)+SUMPRODUCT(($M$7:$M$557=M194)*(ROW($M$7:$M$557)&lt;ROW(M194)))+1</f>
        <v>44</v>
      </c>
      <c r="O194" s="219" t="str">
        <f aca="false">IF(M194&gt;=0.2,"★★★ EXCELLENT",IF(M194&gt;=0.12,"★★  GOOD",IF(M194&gt;=0.07,"★  FAIR",IF(M194&gt;=0.025,"⚠  MARGINAL","✗  AVOID"))))</f>
        <v>★★  GOOD</v>
      </c>
    </row>
    <row r="195" customFormat="false" ht="15" hidden="false" customHeight="true" outlineLevel="0" collapsed="false">
      <c r="A195" s="216" t="n">
        <v>23.8</v>
      </c>
      <c r="B195" s="217" t="n">
        <f aca="false">IF(Calculator!$E$12="YES",IF(A195&lt;Calculator!$G$12,0,MIN(MIN(MOD(A195/Calculator!$F$12,1),1-MOD(A195/Calculator!$F$12,1)),ABS(MOD(A195/Calculator!$F$12,1)-0.5))),1)</f>
        <v>1</v>
      </c>
      <c r="C195" s="217" t="n">
        <f aca="false">IF(Calculator!$E$13="YES",IF(A195&lt;Calculator!$G$13,0,MIN(MIN(MOD(A195/Calculator!$F$13,1),1-MOD(A195/Calculator!$F$13,1)),ABS(MOD(A195/Calculator!$F$13,1)-0.5))),1)</f>
        <v>1</v>
      </c>
      <c r="D195" s="217" t="n">
        <f aca="false">IF(Calculator!$E$14="YES",IF(A195&lt;Calculator!$G$14,0,MIN(MIN(MOD(A195/Calculator!$F$14,1),1-MOD(A195/Calculator!$F$14,1)),ABS(MOD(A195/Calculator!$F$14,1)-0.5))),1)</f>
        <v>1</v>
      </c>
      <c r="E195" s="217" t="n">
        <f aca="false">IF(Calculator!$E$15="YES",IF(A195&lt;Calculator!$G$15,0,MIN(MIN(MOD(A195/Calculator!$F$15,1),1-MOD(A195/Calculator!$F$15,1)),ABS(MOD(A195/Calculator!$F$15,1)-0.5))),1)</f>
        <v>0.194175438596491</v>
      </c>
      <c r="F195" s="217" t="n">
        <f aca="false">IF(Calculator!$E$16="YES",IF(A195&lt;Calculator!$G$16,0,MIN(MIN(MOD(A195/Calculator!$F$16,1),1-MOD(A195/Calculator!$F$16,1)),ABS(MOD(A195/Calculator!$F$16,1)-0.5))),1)</f>
        <v>1</v>
      </c>
      <c r="G195" s="217" t="n">
        <f aca="false">IF(Calculator!$E$17="YES",IF(A195&lt;Calculator!$G$17,0,MIN(MIN(MOD(A195/Calculator!$F$17,1),1-MOD(A195/Calculator!$F$17,1)),ABS(MOD(A195/Calculator!$F$17,1)-0.5))),1)</f>
        <v>0.132526315789474</v>
      </c>
      <c r="H195" s="217" t="n">
        <f aca="false">IF(Calculator!$E$18="YES",IF(A195&lt;Calculator!$G$18,0,MIN(MIN(MOD(A195/Calculator!$F$18,1),1-MOD(A195/Calculator!$F$18,1)),ABS(MOD(A195/Calculator!$F$18,1)-0.5))),1)</f>
        <v>1</v>
      </c>
      <c r="I195" s="217" t="n">
        <f aca="false">IF(Calculator!$E$19="YES",IF(A195&lt;Calculator!$G$19,0,MIN(MIN(MOD(A195/Calculator!$F$19,1),1-MOD(A195/Calculator!$F$19,1)),ABS(MOD(A195/Calculator!$F$19,1)-0.5))),1)</f>
        <v>1</v>
      </c>
      <c r="J195" s="217" t="n">
        <f aca="false">IF(Calculator!$E$20="YES",IF(A195&lt;Calculator!$G$20,0,MIN(MIN(MOD(A195/Calculator!$F$20,1),1-MOD(A195/Calculator!$F$20,1)),ABS(MOD(A195/Calculator!$F$20,1)-0.5))),1)</f>
        <v>1</v>
      </c>
      <c r="K195" s="217" t="n">
        <f aca="false">IF(Calculator!$E$21="YES",IF(A195&lt;Calculator!$G$21,0,MIN(MIN(MOD(A195/Calculator!$F$21,1),1-MOD(A195/Calculator!$F$21,1)),ABS(MOD(A195/Calculator!$F$21,1)-0.5))),1)</f>
        <v>0.181543859649123</v>
      </c>
      <c r="L195" s="217" t="n">
        <f aca="false">IF(Calculator!$E$22="YES",IF(A195&lt;Calculator!$G$22,0,MIN(MIN(MOD(A195/Calculator!$F$22,1),1-MOD(A195/Calculator!$F$22,1)),ABS(MOD(A195/Calculator!$F$22,1)-0.5))),1)</f>
        <v>1</v>
      </c>
      <c r="M195" s="217" t="n">
        <f aca="false">MIN(B195:L195)</f>
        <v>0.132526315789474</v>
      </c>
      <c r="N195" s="217" t="n">
        <f aca="false">SUMPRODUCT(($M$7:$M$557&gt;M195)*1)+SUMPRODUCT(($M$7:$M$557=M195)*(ROW($M$7:$M$557)&lt;ROW(M195)))+1</f>
        <v>53</v>
      </c>
      <c r="O195" s="217" t="str">
        <f aca="false">IF(M195&gt;=0.2,"★★★ EXCELLENT",IF(M195&gt;=0.12,"★★  GOOD",IF(M195&gt;=0.07,"★  FAIR",IF(M195&gt;=0.025,"⚠  MARGINAL","✗  AVOID"))))</f>
        <v>★★  GOOD</v>
      </c>
    </row>
    <row r="196" customFormat="false" ht="15" hidden="false" customHeight="true" outlineLevel="0" collapsed="false">
      <c r="A196" s="218" t="n">
        <v>23.9</v>
      </c>
      <c r="B196" s="219" t="n">
        <f aca="false">IF(Calculator!$E$12="YES",IF(A196&lt;Calculator!$G$12,0,MIN(MIN(MOD(A196/Calculator!$F$12,1),1-MOD(A196/Calculator!$F$12,1)),ABS(MOD(A196/Calculator!$F$12,1)-0.5))),1)</f>
        <v>1</v>
      </c>
      <c r="C196" s="219" t="n">
        <f aca="false">IF(Calculator!$E$13="YES",IF(A196&lt;Calculator!$G$13,0,MIN(MIN(MOD(A196/Calculator!$F$13,1),1-MOD(A196/Calculator!$F$13,1)),ABS(MOD(A196/Calculator!$F$13,1)-0.5))),1)</f>
        <v>1</v>
      </c>
      <c r="D196" s="219" t="n">
        <f aca="false">IF(Calculator!$E$14="YES",IF(A196&lt;Calculator!$G$14,0,MIN(MIN(MOD(A196/Calculator!$F$14,1),1-MOD(A196/Calculator!$F$14,1)),ABS(MOD(A196/Calculator!$F$14,1)-0.5))),1)</f>
        <v>1</v>
      </c>
      <c r="E196" s="219" t="n">
        <f aca="false">IF(Calculator!$E$15="YES",IF(A196&lt;Calculator!$G$15,0,MIN(MIN(MOD(A196/Calculator!$F$15,1),1-MOD(A196/Calculator!$F$15,1)),ABS(MOD(A196/Calculator!$F$15,1)-0.5))),1)</f>
        <v>0.19919298245614</v>
      </c>
      <c r="F196" s="219" t="n">
        <f aca="false">IF(Calculator!$E$16="YES",IF(A196&lt;Calculator!$G$16,0,MIN(MIN(MOD(A196/Calculator!$F$16,1),1-MOD(A196/Calculator!$F$16,1)),ABS(MOD(A196/Calculator!$F$16,1)-0.5))),1)</f>
        <v>1</v>
      </c>
      <c r="G196" s="219" t="n">
        <f aca="false">IF(Calculator!$E$17="YES",IF(A196&lt;Calculator!$G$17,0,MIN(MIN(MOD(A196/Calculator!$F$17,1),1-MOD(A196/Calculator!$F$17,1)),ABS(MOD(A196/Calculator!$F$17,1)-0.5))),1)</f>
        <v>0.122578947368421</v>
      </c>
      <c r="H196" s="219" t="n">
        <f aca="false">IF(Calculator!$E$18="YES",IF(A196&lt;Calculator!$G$18,0,MIN(MIN(MOD(A196/Calculator!$F$18,1),1-MOD(A196/Calculator!$F$18,1)),ABS(MOD(A196/Calculator!$F$18,1)-0.5))),1)</f>
        <v>1</v>
      </c>
      <c r="I196" s="219" t="n">
        <f aca="false">IF(Calculator!$E$19="YES",IF(A196&lt;Calculator!$G$19,0,MIN(MIN(MOD(A196/Calculator!$F$19,1),1-MOD(A196/Calculator!$F$19,1)),ABS(MOD(A196/Calculator!$F$19,1)-0.5))),1)</f>
        <v>1</v>
      </c>
      <c r="J196" s="219" t="n">
        <f aca="false">IF(Calculator!$E$20="YES",IF(A196&lt;Calculator!$G$20,0,MIN(MIN(MOD(A196/Calculator!$F$20,1),1-MOD(A196/Calculator!$F$20,1)),ABS(MOD(A196/Calculator!$F$20,1)-0.5))),1)</f>
        <v>1</v>
      </c>
      <c r="K196" s="219" t="n">
        <f aca="false">IF(Calculator!$E$21="YES",IF(A196&lt;Calculator!$G$21,0,MIN(MIN(MOD(A196/Calculator!$F$21,1),1-MOD(A196/Calculator!$F$21,1)),ABS(MOD(A196/Calculator!$F$21,1)-0.5))),1)</f>
        <v>0.161298245614035</v>
      </c>
      <c r="L196" s="219" t="n">
        <f aca="false">IF(Calculator!$E$22="YES",IF(A196&lt;Calculator!$G$22,0,MIN(MIN(MOD(A196/Calculator!$F$22,1),1-MOD(A196/Calculator!$F$22,1)),ABS(MOD(A196/Calculator!$F$22,1)-0.5))),1)</f>
        <v>1</v>
      </c>
      <c r="M196" s="219" t="n">
        <f aca="false">MIN(B196:L196)</f>
        <v>0.122578947368421</v>
      </c>
      <c r="N196" s="219" t="n">
        <f aca="false">SUMPRODUCT(($M$7:$M$557&gt;M196)*1)+SUMPRODUCT(($M$7:$M$557=M196)*(ROW($M$7:$M$557)&lt;ROW(M196)))+1</f>
        <v>63</v>
      </c>
      <c r="O196" s="219" t="str">
        <f aca="false">IF(M196&gt;=0.2,"★★★ EXCELLENT",IF(M196&gt;=0.12,"★★  GOOD",IF(M196&gt;=0.07,"★  FAIR",IF(M196&gt;=0.025,"⚠  MARGINAL","✗  AVOID"))))</f>
        <v>★★  GOOD</v>
      </c>
    </row>
    <row r="197" customFormat="false" ht="15" hidden="false" customHeight="true" outlineLevel="0" collapsed="false">
      <c r="A197" s="216" t="n">
        <v>24</v>
      </c>
      <c r="B197" s="217" t="n">
        <f aca="false">IF(Calculator!$E$12="YES",IF(A197&lt;Calculator!$G$12,0,MIN(MIN(MOD(A197/Calculator!$F$12,1),1-MOD(A197/Calculator!$F$12,1)),ABS(MOD(A197/Calculator!$F$12,1)-0.5))),1)</f>
        <v>1</v>
      </c>
      <c r="C197" s="217" t="n">
        <f aca="false">IF(Calculator!$E$13="YES",IF(A197&lt;Calculator!$G$13,0,MIN(MIN(MOD(A197/Calculator!$F$13,1),1-MOD(A197/Calculator!$F$13,1)),ABS(MOD(A197/Calculator!$F$13,1)-0.5))),1)</f>
        <v>1</v>
      </c>
      <c r="D197" s="217" t="n">
        <f aca="false">IF(Calculator!$E$14="YES",IF(A197&lt;Calculator!$G$14,0,MIN(MIN(MOD(A197/Calculator!$F$14,1),1-MOD(A197/Calculator!$F$14,1)),ABS(MOD(A197/Calculator!$F$14,1)-0.5))),1)</f>
        <v>1</v>
      </c>
      <c r="E197" s="217" t="n">
        <f aca="false">IF(Calculator!$E$15="YES",IF(A197&lt;Calculator!$G$15,0,MIN(MIN(MOD(A197/Calculator!$F$15,1),1-MOD(A197/Calculator!$F$15,1)),ABS(MOD(A197/Calculator!$F$15,1)-0.5))),1)</f>
        <v>0.204210526315789</v>
      </c>
      <c r="F197" s="217" t="n">
        <f aca="false">IF(Calculator!$E$16="YES",IF(A197&lt;Calculator!$G$16,0,MIN(MIN(MOD(A197/Calculator!$F$16,1),1-MOD(A197/Calculator!$F$16,1)),ABS(MOD(A197/Calculator!$F$16,1)-0.5))),1)</f>
        <v>1</v>
      </c>
      <c r="G197" s="217" t="n">
        <f aca="false">IF(Calculator!$E$17="YES",IF(A197&lt;Calculator!$G$17,0,MIN(MIN(MOD(A197/Calculator!$F$17,1),1-MOD(A197/Calculator!$F$17,1)),ABS(MOD(A197/Calculator!$F$17,1)-0.5))),1)</f>
        <v>0.112631578947368</v>
      </c>
      <c r="H197" s="217" t="n">
        <f aca="false">IF(Calculator!$E$18="YES",IF(A197&lt;Calculator!$G$18,0,MIN(MIN(MOD(A197/Calculator!$F$18,1),1-MOD(A197/Calculator!$F$18,1)),ABS(MOD(A197/Calculator!$F$18,1)-0.5))),1)</f>
        <v>1</v>
      </c>
      <c r="I197" s="217" t="n">
        <f aca="false">IF(Calculator!$E$19="YES",IF(A197&lt;Calculator!$G$19,0,MIN(MIN(MOD(A197/Calculator!$F$19,1),1-MOD(A197/Calculator!$F$19,1)),ABS(MOD(A197/Calculator!$F$19,1)-0.5))),1)</f>
        <v>1</v>
      </c>
      <c r="J197" s="217" t="n">
        <f aca="false">IF(Calculator!$E$20="YES",IF(A197&lt;Calculator!$G$20,0,MIN(MIN(MOD(A197/Calculator!$F$20,1),1-MOD(A197/Calculator!$F$20,1)),ABS(MOD(A197/Calculator!$F$20,1)-0.5))),1)</f>
        <v>1</v>
      </c>
      <c r="K197" s="217" t="n">
        <f aca="false">IF(Calculator!$E$21="YES",IF(A197&lt;Calculator!$G$21,0,MIN(MIN(MOD(A197/Calculator!$F$21,1),1-MOD(A197/Calculator!$F$21,1)),ABS(MOD(A197/Calculator!$F$21,1)-0.5))),1)</f>
        <v>0.141052631578948</v>
      </c>
      <c r="L197" s="217" t="n">
        <f aca="false">IF(Calculator!$E$22="YES",IF(A197&lt;Calculator!$G$22,0,MIN(MIN(MOD(A197/Calculator!$F$22,1),1-MOD(A197/Calculator!$F$22,1)),ABS(MOD(A197/Calculator!$F$22,1)-0.5))),1)</f>
        <v>1</v>
      </c>
      <c r="M197" s="217" t="n">
        <f aca="false">MIN(B197:L197)</f>
        <v>0.112631578947368</v>
      </c>
      <c r="N197" s="217" t="n">
        <f aca="false">SUMPRODUCT(($M$7:$M$557&gt;M197)*1)+SUMPRODUCT(($M$7:$M$557=M197)*(ROW($M$7:$M$557)&lt;ROW(M197)))+1</f>
        <v>76</v>
      </c>
      <c r="O197" s="217" t="str">
        <f aca="false">IF(M197&gt;=0.2,"★★★ EXCELLENT",IF(M197&gt;=0.12,"★★  GOOD",IF(M197&gt;=0.07,"★  FAIR",IF(M197&gt;=0.025,"⚠  MARGINAL","✗  AVOID"))))</f>
        <v>★  FAIR</v>
      </c>
    </row>
    <row r="198" customFormat="false" ht="15" hidden="false" customHeight="true" outlineLevel="0" collapsed="false">
      <c r="A198" s="218" t="n">
        <v>24.1</v>
      </c>
      <c r="B198" s="219" t="n">
        <f aca="false">IF(Calculator!$E$12="YES",IF(A198&lt;Calculator!$G$12,0,MIN(MIN(MOD(A198/Calculator!$F$12,1),1-MOD(A198/Calculator!$F$12,1)),ABS(MOD(A198/Calculator!$F$12,1)-0.5))),1)</f>
        <v>1</v>
      </c>
      <c r="C198" s="219" t="n">
        <f aca="false">IF(Calculator!$E$13="YES",IF(A198&lt;Calculator!$G$13,0,MIN(MIN(MOD(A198/Calculator!$F$13,1),1-MOD(A198/Calculator!$F$13,1)),ABS(MOD(A198/Calculator!$F$13,1)-0.5))),1)</f>
        <v>1</v>
      </c>
      <c r="D198" s="219" t="n">
        <f aca="false">IF(Calculator!$E$14="YES",IF(A198&lt;Calculator!$G$14,0,MIN(MIN(MOD(A198/Calculator!$F$14,1),1-MOD(A198/Calculator!$F$14,1)),ABS(MOD(A198/Calculator!$F$14,1)-0.5))),1)</f>
        <v>1</v>
      </c>
      <c r="E198" s="219" t="n">
        <f aca="false">IF(Calculator!$E$15="YES",IF(A198&lt;Calculator!$G$15,0,MIN(MIN(MOD(A198/Calculator!$F$15,1),1-MOD(A198/Calculator!$F$15,1)),ABS(MOD(A198/Calculator!$F$15,1)-0.5))),1)</f>
        <v>0.209228070175439</v>
      </c>
      <c r="F198" s="219" t="n">
        <f aca="false">IF(Calculator!$E$16="YES",IF(A198&lt;Calculator!$G$16,0,MIN(MIN(MOD(A198/Calculator!$F$16,1),1-MOD(A198/Calculator!$F$16,1)),ABS(MOD(A198/Calculator!$F$16,1)-0.5))),1)</f>
        <v>1</v>
      </c>
      <c r="G198" s="219" t="n">
        <f aca="false">IF(Calculator!$E$17="YES",IF(A198&lt;Calculator!$G$17,0,MIN(MIN(MOD(A198/Calculator!$F$17,1),1-MOD(A198/Calculator!$F$17,1)),ABS(MOD(A198/Calculator!$F$17,1)-0.5))),1)</f>
        <v>0.102684210526315</v>
      </c>
      <c r="H198" s="219" t="n">
        <f aca="false">IF(Calculator!$E$18="YES",IF(A198&lt;Calculator!$G$18,0,MIN(MIN(MOD(A198/Calculator!$F$18,1),1-MOD(A198/Calculator!$F$18,1)),ABS(MOD(A198/Calculator!$F$18,1)-0.5))),1)</f>
        <v>1</v>
      </c>
      <c r="I198" s="219" t="n">
        <f aca="false">IF(Calculator!$E$19="YES",IF(A198&lt;Calculator!$G$19,0,MIN(MIN(MOD(A198/Calculator!$F$19,1),1-MOD(A198/Calculator!$F$19,1)),ABS(MOD(A198/Calculator!$F$19,1)-0.5))),1)</f>
        <v>1</v>
      </c>
      <c r="J198" s="219" t="n">
        <f aca="false">IF(Calculator!$E$20="YES",IF(A198&lt;Calculator!$G$20,0,MIN(MIN(MOD(A198/Calculator!$F$20,1),1-MOD(A198/Calculator!$F$20,1)),ABS(MOD(A198/Calculator!$F$20,1)-0.5))),1)</f>
        <v>1</v>
      </c>
      <c r="K198" s="219" t="n">
        <f aca="false">IF(Calculator!$E$21="YES",IF(A198&lt;Calculator!$G$21,0,MIN(MIN(MOD(A198/Calculator!$F$21,1),1-MOD(A198/Calculator!$F$21,1)),ABS(MOD(A198/Calculator!$F$21,1)-0.5))),1)</f>
        <v>0.12080701754386</v>
      </c>
      <c r="L198" s="219" t="n">
        <f aca="false">IF(Calculator!$E$22="YES",IF(A198&lt;Calculator!$G$22,0,MIN(MIN(MOD(A198/Calculator!$F$22,1),1-MOD(A198/Calculator!$F$22,1)),ABS(MOD(A198/Calculator!$F$22,1)-0.5))),1)</f>
        <v>1</v>
      </c>
      <c r="M198" s="219" t="n">
        <f aca="false">MIN(B198:L198)</f>
        <v>0.102684210526315</v>
      </c>
      <c r="N198" s="219" t="n">
        <f aca="false">SUMPRODUCT(($M$7:$M$557&gt;M198)*1)+SUMPRODUCT(($M$7:$M$557=M198)*(ROW($M$7:$M$557)&lt;ROW(M198)))+1</f>
        <v>99</v>
      </c>
      <c r="O198" s="219" t="str">
        <f aca="false">IF(M198&gt;=0.2,"★★★ EXCELLENT",IF(M198&gt;=0.12,"★★  GOOD",IF(M198&gt;=0.07,"★  FAIR",IF(M198&gt;=0.025,"⚠  MARGINAL","✗  AVOID"))))</f>
        <v>★  FAIR</v>
      </c>
    </row>
    <row r="199" customFormat="false" ht="15" hidden="false" customHeight="true" outlineLevel="0" collapsed="false">
      <c r="A199" s="216" t="n">
        <v>24.2</v>
      </c>
      <c r="B199" s="217" t="n">
        <f aca="false">IF(Calculator!$E$12="YES",IF(A199&lt;Calculator!$G$12,0,MIN(MIN(MOD(A199/Calculator!$F$12,1),1-MOD(A199/Calculator!$F$12,1)),ABS(MOD(A199/Calculator!$F$12,1)-0.5))),1)</f>
        <v>1</v>
      </c>
      <c r="C199" s="217" t="n">
        <f aca="false">IF(Calculator!$E$13="YES",IF(A199&lt;Calculator!$G$13,0,MIN(MIN(MOD(A199/Calculator!$F$13,1),1-MOD(A199/Calculator!$F$13,1)),ABS(MOD(A199/Calculator!$F$13,1)-0.5))),1)</f>
        <v>1</v>
      </c>
      <c r="D199" s="217" t="n">
        <f aca="false">IF(Calculator!$E$14="YES",IF(A199&lt;Calculator!$G$14,0,MIN(MIN(MOD(A199/Calculator!$F$14,1),1-MOD(A199/Calculator!$F$14,1)),ABS(MOD(A199/Calculator!$F$14,1)-0.5))),1)</f>
        <v>1</v>
      </c>
      <c r="E199" s="217" t="n">
        <f aca="false">IF(Calculator!$E$15="YES",IF(A199&lt;Calculator!$G$15,0,MIN(MIN(MOD(A199/Calculator!$F$15,1),1-MOD(A199/Calculator!$F$15,1)),ABS(MOD(A199/Calculator!$F$15,1)-0.5))),1)</f>
        <v>0.214245614035088</v>
      </c>
      <c r="F199" s="217" t="n">
        <f aca="false">IF(Calculator!$E$16="YES",IF(A199&lt;Calculator!$G$16,0,MIN(MIN(MOD(A199/Calculator!$F$16,1),1-MOD(A199/Calculator!$F$16,1)),ABS(MOD(A199/Calculator!$F$16,1)-0.5))),1)</f>
        <v>1</v>
      </c>
      <c r="G199" s="217" t="n">
        <f aca="false">IF(Calculator!$E$17="YES",IF(A199&lt;Calculator!$G$17,0,MIN(MIN(MOD(A199/Calculator!$F$17,1),1-MOD(A199/Calculator!$F$17,1)),ABS(MOD(A199/Calculator!$F$17,1)-0.5))),1)</f>
        <v>0.0927368421052632</v>
      </c>
      <c r="H199" s="217" t="n">
        <f aca="false">IF(Calculator!$E$18="YES",IF(A199&lt;Calculator!$G$18,0,MIN(MIN(MOD(A199/Calculator!$F$18,1),1-MOD(A199/Calculator!$F$18,1)),ABS(MOD(A199/Calculator!$F$18,1)-0.5))),1)</f>
        <v>1</v>
      </c>
      <c r="I199" s="217" t="n">
        <f aca="false">IF(Calculator!$E$19="YES",IF(A199&lt;Calculator!$G$19,0,MIN(MIN(MOD(A199/Calculator!$F$19,1),1-MOD(A199/Calculator!$F$19,1)),ABS(MOD(A199/Calculator!$F$19,1)-0.5))),1)</f>
        <v>1</v>
      </c>
      <c r="J199" s="217" t="n">
        <f aca="false">IF(Calculator!$E$20="YES",IF(A199&lt;Calculator!$G$20,0,MIN(MIN(MOD(A199/Calculator!$F$20,1),1-MOD(A199/Calculator!$F$20,1)),ABS(MOD(A199/Calculator!$F$20,1)-0.5))),1)</f>
        <v>1</v>
      </c>
      <c r="K199" s="217" t="n">
        <f aca="false">IF(Calculator!$E$21="YES",IF(A199&lt;Calculator!$G$21,0,MIN(MIN(MOD(A199/Calculator!$F$21,1),1-MOD(A199/Calculator!$F$21,1)),ABS(MOD(A199/Calculator!$F$21,1)-0.5))),1)</f>
        <v>0.100561403508772</v>
      </c>
      <c r="L199" s="217" t="n">
        <f aca="false">IF(Calculator!$E$22="YES",IF(A199&lt;Calculator!$G$22,0,MIN(MIN(MOD(A199/Calculator!$F$22,1),1-MOD(A199/Calculator!$F$22,1)),ABS(MOD(A199/Calculator!$F$22,1)-0.5))),1)</f>
        <v>1</v>
      </c>
      <c r="M199" s="217" t="n">
        <f aca="false">MIN(B199:L199)</f>
        <v>0.0927368421052632</v>
      </c>
      <c r="N199" s="217" t="n">
        <f aca="false">SUMPRODUCT(($M$7:$M$557&gt;M199)*1)+SUMPRODUCT(($M$7:$M$557=M199)*(ROW($M$7:$M$557)&lt;ROW(M199)))+1</f>
        <v>123</v>
      </c>
      <c r="O199" s="217" t="str">
        <f aca="false">IF(M199&gt;=0.2,"★★★ EXCELLENT",IF(M199&gt;=0.12,"★★  GOOD",IF(M199&gt;=0.07,"★  FAIR",IF(M199&gt;=0.025,"⚠  MARGINAL","✗  AVOID"))))</f>
        <v>★  FAIR</v>
      </c>
    </row>
    <row r="200" customFormat="false" ht="15" hidden="false" customHeight="true" outlineLevel="0" collapsed="false">
      <c r="A200" s="218" t="n">
        <v>24.3</v>
      </c>
      <c r="B200" s="219" t="n">
        <f aca="false">IF(Calculator!$E$12="YES",IF(A200&lt;Calculator!$G$12,0,MIN(MIN(MOD(A200/Calculator!$F$12,1),1-MOD(A200/Calculator!$F$12,1)),ABS(MOD(A200/Calculator!$F$12,1)-0.5))),1)</f>
        <v>1</v>
      </c>
      <c r="C200" s="219" t="n">
        <f aca="false">IF(Calculator!$E$13="YES",IF(A200&lt;Calculator!$G$13,0,MIN(MIN(MOD(A200/Calculator!$F$13,1),1-MOD(A200/Calculator!$F$13,1)),ABS(MOD(A200/Calculator!$F$13,1)-0.5))),1)</f>
        <v>1</v>
      </c>
      <c r="D200" s="219" t="n">
        <f aca="false">IF(Calculator!$E$14="YES",IF(A200&lt;Calculator!$G$14,0,MIN(MIN(MOD(A200/Calculator!$F$14,1),1-MOD(A200/Calculator!$F$14,1)),ABS(MOD(A200/Calculator!$F$14,1)-0.5))),1)</f>
        <v>1</v>
      </c>
      <c r="E200" s="219" t="n">
        <f aca="false">IF(Calculator!$E$15="YES",IF(A200&lt;Calculator!$G$15,0,MIN(MIN(MOD(A200/Calculator!$F$15,1),1-MOD(A200/Calculator!$F$15,1)),ABS(MOD(A200/Calculator!$F$15,1)-0.5))),1)</f>
        <v>0.219263157894737</v>
      </c>
      <c r="F200" s="219" t="n">
        <f aca="false">IF(Calculator!$E$16="YES",IF(A200&lt;Calculator!$G$16,0,MIN(MIN(MOD(A200/Calculator!$F$16,1),1-MOD(A200/Calculator!$F$16,1)),ABS(MOD(A200/Calculator!$F$16,1)-0.5))),1)</f>
        <v>1</v>
      </c>
      <c r="G200" s="219" t="n">
        <f aca="false">IF(Calculator!$E$17="YES",IF(A200&lt;Calculator!$G$17,0,MIN(MIN(MOD(A200/Calculator!$F$17,1),1-MOD(A200/Calculator!$F$17,1)),ABS(MOD(A200/Calculator!$F$17,1)-0.5))),1)</f>
        <v>0.0827894736842101</v>
      </c>
      <c r="H200" s="219" t="n">
        <f aca="false">IF(Calculator!$E$18="YES",IF(A200&lt;Calculator!$G$18,0,MIN(MIN(MOD(A200/Calculator!$F$18,1),1-MOD(A200/Calculator!$F$18,1)),ABS(MOD(A200/Calculator!$F$18,1)-0.5))),1)</f>
        <v>1</v>
      </c>
      <c r="I200" s="219" t="n">
        <f aca="false">IF(Calculator!$E$19="YES",IF(A200&lt;Calculator!$G$19,0,MIN(MIN(MOD(A200/Calculator!$F$19,1),1-MOD(A200/Calculator!$F$19,1)),ABS(MOD(A200/Calculator!$F$19,1)-0.5))),1)</f>
        <v>1</v>
      </c>
      <c r="J200" s="219" t="n">
        <f aca="false">IF(Calculator!$E$20="YES",IF(A200&lt;Calculator!$G$20,0,MIN(MIN(MOD(A200/Calculator!$F$20,1),1-MOD(A200/Calculator!$F$20,1)),ABS(MOD(A200/Calculator!$F$20,1)-0.5))),1)</f>
        <v>1</v>
      </c>
      <c r="K200" s="219" t="n">
        <f aca="false">IF(Calculator!$E$21="YES",IF(A200&lt;Calculator!$G$21,0,MIN(MIN(MOD(A200/Calculator!$F$21,1),1-MOD(A200/Calculator!$F$21,1)),ABS(MOD(A200/Calculator!$F$21,1)-0.5))),1)</f>
        <v>0.0803157894736843</v>
      </c>
      <c r="L200" s="219" t="n">
        <f aca="false">IF(Calculator!$E$22="YES",IF(A200&lt;Calculator!$G$22,0,MIN(MIN(MOD(A200/Calculator!$F$22,1),1-MOD(A200/Calculator!$F$22,1)),ABS(MOD(A200/Calculator!$F$22,1)-0.5))),1)</f>
        <v>1</v>
      </c>
      <c r="M200" s="219" t="n">
        <f aca="false">MIN(B200:L200)</f>
        <v>0.0803157894736843</v>
      </c>
      <c r="N200" s="219" t="n">
        <f aca="false">SUMPRODUCT(($M$7:$M$557&gt;M200)*1)+SUMPRODUCT(($M$7:$M$557=M200)*(ROW($M$7:$M$557)&lt;ROW(M200)))+1</f>
        <v>168</v>
      </c>
      <c r="O200" s="219" t="str">
        <f aca="false">IF(M200&gt;=0.2,"★★★ EXCELLENT",IF(M200&gt;=0.12,"★★  GOOD",IF(M200&gt;=0.07,"★  FAIR",IF(M200&gt;=0.025,"⚠  MARGINAL","✗  AVOID"))))</f>
        <v>★  FAIR</v>
      </c>
    </row>
    <row r="201" customFormat="false" ht="15" hidden="false" customHeight="true" outlineLevel="0" collapsed="false">
      <c r="A201" s="216" t="n">
        <v>24.4</v>
      </c>
      <c r="B201" s="217" t="n">
        <f aca="false">IF(Calculator!$E$12="YES",IF(A201&lt;Calculator!$G$12,0,MIN(MIN(MOD(A201/Calculator!$F$12,1),1-MOD(A201/Calculator!$F$12,1)),ABS(MOD(A201/Calculator!$F$12,1)-0.5))),1)</f>
        <v>1</v>
      </c>
      <c r="C201" s="217" t="n">
        <f aca="false">IF(Calculator!$E$13="YES",IF(A201&lt;Calculator!$G$13,0,MIN(MIN(MOD(A201/Calculator!$F$13,1),1-MOD(A201/Calculator!$F$13,1)),ABS(MOD(A201/Calculator!$F$13,1)-0.5))),1)</f>
        <v>1</v>
      </c>
      <c r="D201" s="217" t="n">
        <f aca="false">IF(Calculator!$E$14="YES",IF(A201&lt;Calculator!$G$14,0,MIN(MIN(MOD(A201/Calculator!$F$14,1),1-MOD(A201/Calculator!$F$14,1)),ABS(MOD(A201/Calculator!$F$14,1)-0.5))),1)</f>
        <v>1</v>
      </c>
      <c r="E201" s="217" t="n">
        <f aca="false">IF(Calculator!$E$15="YES",IF(A201&lt;Calculator!$G$15,0,MIN(MIN(MOD(A201/Calculator!$F$15,1),1-MOD(A201/Calculator!$F$15,1)),ABS(MOD(A201/Calculator!$F$15,1)-0.5))),1)</f>
        <v>0.224280701754386</v>
      </c>
      <c r="F201" s="217" t="n">
        <f aca="false">IF(Calculator!$E$16="YES",IF(A201&lt;Calculator!$G$16,0,MIN(MIN(MOD(A201/Calculator!$F$16,1),1-MOD(A201/Calculator!$F$16,1)),ABS(MOD(A201/Calculator!$F$16,1)-0.5))),1)</f>
        <v>1</v>
      </c>
      <c r="G201" s="217" t="n">
        <f aca="false">IF(Calculator!$E$17="YES",IF(A201&lt;Calculator!$G$17,0,MIN(MIN(MOD(A201/Calculator!$F$17,1),1-MOD(A201/Calculator!$F$17,1)),ABS(MOD(A201/Calculator!$F$17,1)-0.5))),1)</f>
        <v>0.0728421052631578</v>
      </c>
      <c r="H201" s="217" t="n">
        <f aca="false">IF(Calculator!$E$18="YES",IF(A201&lt;Calculator!$G$18,0,MIN(MIN(MOD(A201/Calculator!$F$18,1),1-MOD(A201/Calculator!$F$18,1)),ABS(MOD(A201/Calculator!$F$18,1)-0.5))),1)</f>
        <v>1</v>
      </c>
      <c r="I201" s="217" t="n">
        <f aca="false">IF(Calculator!$E$19="YES",IF(A201&lt;Calculator!$G$19,0,MIN(MIN(MOD(A201/Calculator!$F$19,1),1-MOD(A201/Calculator!$F$19,1)),ABS(MOD(A201/Calculator!$F$19,1)-0.5))),1)</f>
        <v>1</v>
      </c>
      <c r="J201" s="217" t="n">
        <f aca="false">IF(Calculator!$E$20="YES",IF(A201&lt;Calculator!$G$20,0,MIN(MIN(MOD(A201/Calculator!$F$20,1),1-MOD(A201/Calculator!$F$20,1)),ABS(MOD(A201/Calculator!$F$20,1)-0.5))),1)</f>
        <v>1</v>
      </c>
      <c r="K201" s="217" t="n">
        <f aca="false">IF(Calculator!$E$21="YES",IF(A201&lt;Calculator!$G$21,0,MIN(MIN(MOD(A201/Calculator!$F$21,1),1-MOD(A201/Calculator!$F$21,1)),ABS(MOD(A201/Calculator!$F$21,1)-0.5))),1)</f>
        <v>0.0600701754385966</v>
      </c>
      <c r="L201" s="217" t="n">
        <f aca="false">IF(Calculator!$E$22="YES",IF(A201&lt;Calculator!$G$22,0,MIN(MIN(MOD(A201/Calculator!$F$22,1),1-MOD(A201/Calculator!$F$22,1)),ABS(MOD(A201/Calculator!$F$22,1)-0.5))),1)</f>
        <v>1</v>
      </c>
      <c r="M201" s="217" t="n">
        <f aca="false">MIN(B201:L201)</f>
        <v>0.0600701754385966</v>
      </c>
      <c r="N201" s="217" t="n">
        <f aca="false">SUMPRODUCT(($M$7:$M$557&gt;M201)*1)+SUMPRODUCT(($M$7:$M$557=M201)*(ROW($M$7:$M$557)&lt;ROW(M201)))+1</f>
        <v>244</v>
      </c>
      <c r="O201" s="217" t="str">
        <f aca="false">IF(M201&gt;=0.2,"★★★ EXCELLENT",IF(M201&gt;=0.12,"★★  GOOD",IF(M201&gt;=0.07,"★  FAIR",IF(M201&gt;=0.025,"⚠  MARGINAL","✗  AVOID"))))</f>
        <v>⚠  MARGINAL</v>
      </c>
    </row>
    <row r="202" customFormat="false" ht="15" hidden="false" customHeight="true" outlineLevel="0" collapsed="false">
      <c r="A202" s="218" t="n">
        <v>24.5</v>
      </c>
      <c r="B202" s="219" t="n">
        <f aca="false">IF(Calculator!$E$12="YES",IF(A202&lt;Calculator!$G$12,0,MIN(MIN(MOD(A202/Calculator!$F$12,1),1-MOD(A202/Calculator!$F$12,1)),ABS(MOD(A202/Calculator!$F$12,1)-0.5))),1)</f>
        <v>1</v>
      </c>
      <c r="C202" s="219" t="n">
        <f aca="false">IF(Calculator!$E$13="YES",IF(A202&lt;Calculator!$G$13,0,MIN(MIN(MOD(A202/Calculator!$F$13,1),1-MOD(A202/Calculator!$F$13,1)),ABS(MOD(A202/Calculator!$F$13,1)-0.5))),1)</f>
        <v>1</v>
      </c>
      <c r="D202" s="219" t="n">
        <f aca="false">IF(Calculator!$E$14="YES",IF(A202&lt;Calculator!$G$14,0,MIN(MIN(MOD(A202/Calculator!$F$14,1),1-MOD(A202/Calculator!$F$14,1)),ABS(MOD(A202/Calculator!$F$14,1)-0.5))),1)</f>
        <v>1</v>
      </c>
      <c r="E202" s="219" t="n">
        <f aca="false">IF(Calculator!$E$15="YES",IF(A202&lt;Calculator!$G$15,0,MIN(MIN(MOD(A202/Calculator!$F$15,1),1-MOD(A202/Calculator!$F$15,1)),ABS(MOD(A202/Calculator!$F$15,1)-0.5))),1)</f>
        <v>0.229298245614035</v>
      </c>
      <c r="F202" s="219" t="n">
        <f aca="false">IF(Calculator!$E$16="YES",IF(A202&lt;Calculator!$G$16,0,MIN(MIN(MOD(A202/Calculator!$F$16,1),1-MOD(A202/Calculator!$F$16,1)),ABS(MOD(A202/Calculator!$F$16,1)-0.5))),1)</f>
        <v>1</v>
      </c>
      <c r="G202" s="219" t="n">
        <f aca="false">IF(Calculator!$E$17="YES",IF(A202&lt;Calculator!$G$17,0,MIN(MIN(MOD(A202/Calculator!$F$17,1),1-MOD(A202/Calculator!$F$17,1)),ABS(MOD(A202/Calculator!$F$17,1)-0.5))),1)</f>
        <v>0.0628947368421051</v>
      </c>
      <c r="H202" s="219" t="n">
        <f aca="false">IF(Calculator!$E$18="YES",IF(A202&lt;Calculator!$G$18,0,MIN(MIN(MOD(A202/Calculator!$F$18,1),1-MOD(A202/Calculator!$F$18,1)),ABS(MOD(A202/Calculator!$F$18,1)-0.5))),1)</f>
        <v>1</v>
      </c>
      <c r="I202" s="219" t="n">
        <f aca="false">IF(Calculator!$E$19="YES",IF(A202&lt;Calculator!$G$19,0,MIN(MIN(MOD(A202/Calculator!$F$19,1),1-MOD(A202/Calculator!$F$19,1)),ABS(MOD(A202/Calculator!$F$19,1)-0.5))),1)</f>
        <v>1</v>
      </c>
      <c r="J202" s="219" t="n">
        <f aca="false">IF(Calculator!$E$20="YES",IF(A202&lt;Calculator!$G$20,0,MIN(MIN(MOD(A202/Calculator!$F$20,1),1-MOD(A202/Calculator!$F$20,1)),ABS(MOD(A202/Calculator!$F$20,1)-0.5))),1)</f>
        <v>1</v>
      </c>
      <c r="K202" s="219" t="n">
        <f aca="false">IF(Calculator!$E$21="YES",IF(A202&lt;Calculator!$G$21,0,MIN(MIN(MOD(A202/Calculator!$F$21,1),1-MOD(A202/Calculator!$F$21,1)),ABS(MOD(A202/Calculator!$F$21,1)-0.5))),1)</f>
        <v>0.0398245614035089</v>
      </c>
      <c r="L202" s="219" t="n">
        <f aca="false">IF(Calculator!$E$22="YES",IF(A202&lt;Calculator!$G$22,0,MIN(MIN(MOD(A202/Calculator!$F$22,1),1-MOD(A202/Calculator!$F$22,1)),ABS(MOD(A202/Calculator!$F$22,1)-0.5))),1)</f>
        <v>1</v>
      </c>
      <c r="M202" s="219" t="n">
        <f aca="false">MIN(B202:L202)</f>
        <v>0.0398245614035089</v>
      </c>
      <c r="N202" s="219" t="n">
        <f aca="false">SUMPRODUCT(($M$7:$M$557&gt;M202)*1)+SUMPRODUCT(($M$7:$M$557=M202)*(ROW($M$7:$M$557)&lt;ROW(M202)))+1</f>
        <v>326</v>
      </c>
      <c r="O202" s="219" t="str">
        <f aca="false">IF(M202&gt;=0.2,"★★★ EXCELLENT",IF(M202&gt;=0.12,"★★  GOOD",IF(M202&gt;=0.07,"★  FAIR",IF(M202&gt;=0.025,"⚠  MARGINAL","✗  AVOID"))))</f>
        <v>⚠  MARGINAL</v>
      </c>
    </row>
    <row r="203" customFormat="false" ht="15" hidden="false" customHeight="true" outlineLevel="0" collapsed="false">
      <c r="A203" s="216" t="n">
        <v>24.6</v>
      </c>
      <c r="B203" s="217" t="n">
        <f aca="false">IF(Calculator!$E$12="YES",IF(A203&lt;Calculator!$G$12,0,MIN(MIN(MOD(A203/Calculator!$F$12,1),1-MOD(A203/Calculator!$F$12,1)),ABS(MOD(A203/Calculator!$F$12,1)-0.5))),1)</f>
        <v>1</v>
      </c>
      <c r="C203" s="217" t="n">
        <f aca="false">IF(Calculator!$E$13="YES",IF(A203&lt;Calculator!$G$13,0,MIN(MIN(MOD(A203/Calculator!$F$13,1),1-MOD(A203/Calculator!$F$13,1)),ABS(MOD(A203/Calculator!$F$13,1)-0.5))),1)</f>
        <v>1</v>
      </c>
      <c r="D203" s="217" t="n">
        <f aca="false">IF(Calculator!$E$14="YES",IF(A203&lt;Calculator!$G$14,0,MIN(MIN(MOD(A203/Calculator!$F$14,1),1-MOD(A203/Calculator!$F$14,1)),ABS(MOD(A203/Calculator!$F$14,1)-0.5))),1)</f>
        <v>1</v>
      </c>
      <c r="E203" s="217" t="n">
        <f aca="false">IF(Calculator!$E$15="YES",IF(A203&lt;Calculator!$G$15,0,MIN(MIN(MOD(A203/Calculator!$F$15,1),1-MOD(A203/Calculator!$F$15,1)),ABS(MOD(A203/Calculator!$F$15,1)-0.5))),1)</f>
        <v>0.234315789473684</v>
      </c>
      <c r="F203" s="217" t="n">
        <f aca="false">IF(Calculator!$E$16="YES",IF(A203&lt;Calculator!$G$16,0,MIN(MIN(MOD(A203/Calculator!$F$16,1),1-MOD(A203/Calculator!$F$16,1)),ABS(MOD(A203/Calculator!$F$16,1)-0.5))),1)</f>
        <v>1</v>
      </c>
      <c r="G203" s="217" t="n">
        <f aca="false">IF(Calculator!$E$17="YES",IF(A203&lt;Calculator!$G$17,0,MIN(MIN(MOD(A203/Calculator!$F$17,1),1-MOD(A203/Calculator!$F$17,1)),ABS(MOD(A203/Calculator!$F$17,1)-0.5))),1)</f>
        <v>0.0529473684210524</v>
      </c>
      <c r="H203" s="217" t="n">
        <f aca="false">IF(Calculator!$E$18="YES",IF(A203&lt;Calculator!$G$18,0,MIN(MIN(MOD(A203/Calculator!$F$18,1),1-MOD(A203/Calculator!$F$18,1)),ABS(MOD(A203/Calculator!$F$18,1)-0.5))),1)</f>
        <v>1</v>
      </c>
      <c r="I203" s="217" t="n">
        <f aca="false">IF(Calculator!$E$19="YES",IF(A203&lt;Calculator!$G$19,0,MIN(MIN(MOD(A203/Calculator!$F$19,1),1-MOD(A203/Calculator!$F$19,1)),ABS(MOD(A203/Calculator!$F$19,1)-0.5))),1)</f>
        <v>1</v>
      </c>
      <c r="J203" s="217" t="n">
        <f aca="false">IF(Calculator!$E$20="YES",IF(A203&lt;Calculator!$G$20,0,MIN(MIN(MOD(A203/Calculator!$F$20,1),1-MOD(A203/Calculator!$F$20,1)),ABS(MOD(A203/Calculator!$F$20,1)-0.5))),1)</f>
        <v>1</v>
      </c>
      <c r="K203" s="217" t="n">
        <f aca="false">IF(Calculator!$E$21="YES",IF(A203&lt;Calculator!$G$21,0,MIN(MIN(MOD(A203/Calculator!$F$21,1),1-MOD(A203/Calculator!$F$21,1)),ABS(MOD(A203/Calculator!$F$21,1)-0.5))),1)</f>
        <v>0.0195789473684211</v>
      </c>
      <c r="L203" s="217" t="n">
        <f aca="false">IF(Calculator!$E$22="YES",IF(A203&lt;Calculator!$G$22,0,MIN(MIN(MOD(A203/Calculator!$F$22,1),1-MOD(A203/Calculator!$F$22,1)),ABS(MOD(A203/Calculator!$F$22,1)-0.5))),1)</f>
        <v>1</v>
      </c>
      <c r="M203" s="217" t="n">
        <f aca="false">MIN(B203:L203)</f>
        <v>0.0195789473684211</v>
      </c>
      <c r="N203" s="217" t="n">
        <f aca="false">SUMPRODUCT(($M$7:$M$557&gt;M203)*1)+SUMPRODUCT(($M$7:$M$557=M203)*(ROW($M$7:$M$557)&lt;ROW(M203)))+1</f>
        <v>403</v>
      </c>
      <c r="O203" s="217" t="str">
        <f aca="false">IF(M203&gt;=0.2,"★★★ EXCELLENT",IF(M203&gt;=0.12,"★★  GOOD",IF(M203&gt;=0.07,"★  FAIR",IF(M203&gt;=0.025,"⚠  MARGINAL","✗  AVOID"))))</f>
        <v>✗  AVOID</v>
      </c>
    </row>
    <row r="204" customFormat="false" ht="15" hidden="false" customHeight="true" outlineLevel="0" collapsed="false">
      <c r="A204" s="218" t="n">
        <v>24.7</v>
      </c>
      <c r="B204" s="219" t="n">
        <f aca="false">IF(Calculator!$E$12="YES",IF(A204&lt;Calculator!$G$12,0,MIN(MIN(MOD(A204/Calculator!$F$12,1),1-MOD(A204/Calculator!$F$12,1)),ABS(MOD(A204/Calculator!$F$12,1)-0.5))),1)</f>
        <v>1</v>
      </c>
      <c r="C204" s="219" t="n">
        <f aca="false">IF(Calculator!$E$13="YES",IF(A204&lt;Calculator!$G$13,0,MIN(MIN(MOD(A204/Calculator!$F$13,1),1-MOD(A204/Calculator!$F$13,1)),ABS(MOD(A204/Calculator!$F$13,1)-0.5))),1)</f>
        <v>1</v>
      </c>
      <c r="D204" s="219" t="n">
        <f aca="false">IF(Calculator!$E$14="YES",IF(A204&lt;Calculator!$G$14,0,MIN(MIN(MOD(A204/Calculator!$F$14,1),1-MOD(A204/Calculator!$F$14,1)),ABS(MOD(A204/Calculator!$F$14,1)-0.5))),1)</f>
        <v>1</v>
      </c>
      <c r="E204" s="219" t="n">
        <f aca="false">IF(Calculator!$E$15="YES",IF(A204&lt;Calculator!$G$15,0,MIN(MIN(MOD(A204/Calculator!$F$15,1),1-MOD(A204/Calculator!$F$15,1)),ABS(MOD(A204/Calculator!$F$15,1)-0.5))),1)</f>
        <v>0.239333333333333</v>
      </c>
      <c r="F204" s="219" t="n">
        <f aca="false">IF(Calculator!$E$16="YES",IF(A204&lt;Calculator!$G$16,0,MIN(MIN(MOD(A204/Calculator!$F$16,1),1-MOD(A204/Calculator!$F$16,1)),ABS(MOD(A204/Calculator!$F$16,1)-0.5))),1)</f>
        <v>1</v>
      </c>
      <c r="G204" s="219" t="n">
        <f aca="false">IF(Calculator!$E$17="YES",IF(A204&lt;Calculator!$G$17,0,MIN(MIN(MOD(A204/Calculator!$F$17,1),1-MOD(A204/Calculator!$F$17,1)),ABS(MOD(A204/Calculator!$F$17,1)-0.5))),1)</f>
        <v>0.0429999999999997</v>
      </c>
      <c r="H204" s="219" t="n">
        <f aca="false">IF(Calculator!$E$18="YES",IF(A204&lt;Calculator!$G$18,0,MIN(MIN(MOD(A204/Calculator!$F$18,1),1-MOD(A204/Calculator!$F$18,1)),ABS(MOD(A204/Calculator!$F$18,1)-0.5))),1)</f>
        <v>1</v>
      </c>
      <c r="I204" s="219" t="n">
        <f aca="false">IF(Calculator!$E$19="YES",IF(A204&lt;Calculator!$G$19,0,MIN(MIN(MOD(A204/Calculator!$F$19,1),1-MOD(A204/Calculator!$F$19,1)),ABS(MOD(A204/Calculator!$F$19,1)-0.5))),1)</f>
        <v>1</v>
      </c>
      <c r="J204" s="219" t="n">
        <f aca="false">IF(Calculator!$E$20="YES",IF(A204&lt;Calculator!$G$20,0,MIN(MIN(MOD(A204/Calculator!$F$20,1),1-MOD(A204/Calculator!$F$20,1)),ABS(MOD(A204/Calculator!$F$20,1)-0.5))),1)</f>
        <v>1</v>
      </c>
      <c r="K204" s="219" t="n">
        <f aca="false">IF(Calculator!$E$21="YES",IF(A204&lt;Calculator!$G$21,0,MIN(MIN(MOD(A204/Calculator!$F$21,1),1-MOD(A204/Calculator!$F$21,1)),ABS(MOD(A204/Calculator!$F$21,1)-0.5))),1)</f>
        <v>0.000666666666666593</v>
      </c>
      <c r="L204" s="219" t="n">
        <f aca="false">IF(Calculator!$E$22="YES",IF(A204&lt;Calculator!$G$22,0,MIN(MIN(MOD(A204/Calculator!$F$22,1),1-MOD(A204/Calculator!$F$22,1)),ABS(MOD(A204/Calculator!$F$22,1)-0.5))),1)</f>
        <v>1</v>
      </c>
      <c r="M204" s="219" t="n">
        <f aca="false">MIN(B204:L204)</f>
        <v>0.000666666666666593</v>
      </c>
      <c r="N204" s="219" t="n">
        <f aca="false">SUMPRODUCT(($M$7:$M$557&gt;M204)*1)+SUMPRODUCT(($M$7:$M$557=M204)*(ROW($M$7:$M$557)&lt;ROW(M204)))+1</f>
        <v>497</v>
      </c>
      <c r="O204" s="219" t="str">
        <f aca="false">IF(M204&gt;=0.2,"★★★ EXCELLENT",IF(M204&gt;=0.12,"★★  GOOD",IF(M204&gt;=0.07,"★  FAIR",IF(M204&gt;=0.025,"⚠  MARGINAL","✗  AVOID"))))</f>
        <v>✗  AVOID</v>
      </c>
    </row>
    <row r="205" customFormat="false" ht="15" hidden="false" customHeight="true" outlineLevel="0" collapsed="false">
      <c r="A205" s="216" t="n">
        <v>24.8</v>
      </c>
      <c r="B205" s="217" t="n">
        <f aca="false">IF(Calculator!$E$12="YES",IF(A205&lt;Calculator!$G$12,0,MIN(MIN(MOD(A205/Calculator!$F$12,1),1-MOD(A205/Calculator!$F$12,1)),ABS(MOD(A205/Calculator!$F$12,1)-0.5))),1)</f>
        <v>1</v>
      </c>
      <c r="C205" s="217" t="n">
        <f aca="false">IF(Calculator!$E$13="YES",IF(A205&lt;Calculator!$G$13,0,MIN(MIN(MOD(A205/Calculator!$F$13,1),1-MOD(A205/Calculator!$F$13,1)),ABS(MOD(A205/Calculator!$F$13,1)-0.5))),1)</f>
        <v>1</v>
      </c>
      <c r="D205" s="217" t="n">
        <f aca="false">IF(Calculator!$E$14="YES",IF(A205&lt;Calculator!$G$14,0,MIN(MIN(MOD(A205/Calculator!$F$14,1),1-MOD(A205/Calculator!$F$14,1)),ABS(MOD(A205/Calculator!$F$14,1)-0.5))),1)</f>
        <v>1</v>
      </c>
      <c r="E205" s="217" t="n">
        <f aca="false">IF(Calculator!$E$15="YES",IF(A205&lt;Calculator!$G$15,0,MIN(MIN(MOD(A205/Calculator!$F$15,1),1-MOD(A205/Calculator!$F$15,1)),ABS(MOD(A205/Calculator!$F$15,1)-0.5))),1)</f>
        <v>0.244350877192983</v>
      </c>
      <c r="F205" s="217" t="n">
        <f aca="false">IF(Calculator!$E$16="YES",IF(A205&lt;Calculator!$G$16,0,MIN(MIN(MOD(A205/Calculator!$F$16,1),1-MOD(A205/Calculator!$F$16,1)),ABS(MOD(A205/Calculator!$F$16,1)-0.5))),1)</f>
        <v>1</v>
      </c>
      <c r="G205" s="217" t="n">
        <f aca="false">IF(Calculator!$E$17="YES",IF(A205&lt;Calculator!$G$17,0,MIN(MIN(MOD(A205/Calculator!$F$17,1),1-MOD(A205/Calculator!$F$17,1)),ABS(MOD(A205/Calculator!$F$17,1)-0.5))),1)</f>
        <v>0.033052631578947</v>
      </c>
      <c r="H205" s="217" t="n">
        <f aca="false">IF(Calculator!$E$18="YES",IF(A205&lt;Calculator!$G$18,0,MIN(MIN(MOD(A205/Calculator!$F$18,1),1-MOD(A205/Calculator!$F$18,1)),ABS(MOD(A205/Calculator!$F$18,1)-0.5))),1)</f>
        <v>1</v>
      </c>
      <c r="I205" s="217" t="n">
        <f aca="false">IF(Calculator!$E$19="YES",IF(A205&lt;Calculator!$G$19,0,MIN(MIN(MOD(A205/Calculator!$F$19,1),1-MOD(A205/Calculator!$F$19,1)),ABS(MOD(A205/Calculator!$F$19,1)-0.5))),1)</f>
        <v>1</v>
      </c>
      <c r="J205" s="217" t="n">
        <f aca="false">IF(Calculator!$E$20="YES",IF(A205&lt;Calculator!$G$20,0,MIN(MIN(MOD(A205/Calculator!$F$20,1),1-MOD(A205/Calculator!$F$20,1)),ABS(MOD(A205/Calculator!$F$20,1)-0.5))),1)</f>
        <v>1</v>
      </c>
      <c r="K205" s="217" t="n">
        <f aca="false">IF(Calculator!$E$21="YES",IF(A205&lt;Calculator!$G$21,0,MIN(MIN(MOD(A205/Calculator!$F$21,1),1-MOD(A205/Calculator!$F$21,1)),ABS(MOD(A205/Calculator!$F$21,1)-0.5))),1)</f>
        <v>0.0209122807017543</v>
      </c>
      <c r="L205" s="217" t="n">
        <f aca="false">IF(Calculator!$E$22="YES",IF(A205&lt;Calculator!$G$22,0,MIN(MIN(MOD(A205/Calculator!$F$22,1),1-MOD(A205/Calculator!$F$22,1)),ABS(MOD(A205/Calculator!$F$22,1)-0.5))),1)</f>
        <v>1</v>
      </c>
      <c r="M205" s="217" t="n">
        <f aca="false">MIN(B205:L205)</f>
        <v>0.0209122807017543</v>
      </c>
      <c r="N205" s="217" t="n">
        <f aca="false">SUMPRODUCT(($M$7:$M$557&gt;M205)*1)+SUMPRODUCT(($M$7:$M$557=M205)*(ROW($M$7:$M$557)&lt;ROW(M205)))+1</f>
        <v>398</v>
      </c>
      <c r="O205" s="217" t="str">
        <f aca="false">IF(M205&gt;=0.2,"★★★ EXCELLENT",IF(M205&gt;=0.12,"★★  GOOD",IF(M205&gt;=0.07,"★  FAIR",IF(M205&gt;=0.025,"⚠  MARGINAL","✗  AVOID"))))</f>
        <v>✗  AVOID</v>
      </c>
    </row>
    <row r="206" customFormat="false" ht="15" hidden="false" customHeight="true" outlineLevel="0" collapsed="false">
      <c r="A206" s="218" t="n">
        <v>24.9</v>
      </c>
      <c r="B206" s="219" t="n">
        <f aca="false">IF(Calculator!$E$12="YES",IF(A206&lt;Calculator!$G$12,0,MIN(MIN(MOD(A206/Calculator!$F$12,1),1-MOD(A206/Calculator!$F$12,1)),ABS(MOD(A206/Calculator!$F$12,1)-0.5))),1)</f>
        <v>1</v>
      </c>
      <c r="C206" s="219" t="n">
        <f aca="false">IF(Calculator!$E$13="YES",IF(A206&lt;Calculator!$G$13,0,MIN(MIN(MOD(A206/Calculator!$F$13,1),1-MOD(A206/Calculator!$F$13,1)),ABS(MOD(A206/Calculator!$F$13,1)-0.5))),1)</f>
        <v>1</v>
      </c>
      <c r="D206" s="219" t="n">
        <f aca="false">IF(Calculator!$E$14="YES",IF(A206&lt;Calculator!$G$14,0,MIN(MIN(MOD(A206/Calculator!$F$14,1),1-MOD(A206/Calculator!$F$14,1)),ABS(MOD(A206/Calculator!$F$14,1)-0.5))),1)</f>
        <v>1</v>
      </c>
      <c r="E206" s="219" t="n">
        <f aca="false">IF(Calculator!$E$15="YES",IF(A206&lt;Calculator!$G$15,0,MIN(MIN(MOD(A206/Calculator!$F$15,1),1-MOD(A206/Calculator!$F$15,1)),ABS(MOD(A206/Calculator!$F$15,1)-0.5))),1)</f>
        <v>0.249368421052631</v>
      </c>
      <c r="F206" s="219" t="n">
        <f aca="false">IF(Calculator!$E$16="YES",IF(A206&lt;Calculator!$G$16,0,MIN(MIN(MOD(A206/Calculator!$F$16,1),1-MOD(A206/Calculator!$F$16,1)),ABS(MOD(A206/Calculator!$F$16,1)-0.5))),1)</f>
        <v>1</v>
      </c>
      <c r="G206" s="219" t="n">
        <f aca="false">IF(Calculator!$E$17="YES",IF(A206&lt;Calculator!$G$17,0,MIN(MIN(MOD(A206/Calculator!$F$17,1),1-MOD(A206/Calculator!$F$17,1)),ABS(MOD(A206/Calculator!$F$17,1)-0.5))),1)</f>
        <v>0.0231052631578947</v>
      </c>
      <c r="H206" s="219" t="n">
        <f aca="false">IF(Calculator!$E$18="YES",IF(A206&lt;Calculator!$G$18,0,MIN(MIN(MOD(A206/Calculator!$F$18,1),1-MOD(A206/Calculator!$F$18,1)),ABS(MOD(A206/Calculator!$F$18,1)-0.5))),1)</f>
        <v>1</v>
      </c>
      <c r="I206" s="219" t="n">
        <f aca="false">IF(Calculator!$E$19="YES",IF(A206&lt;Calculator!$G$19,0,MIN(MIN(MOD(A206/Calculator!$F$19,1),1-MOD(A206/Calculator!$F$19,1)),ABS(MOD(A206/Calculator!$F$19,1)-0.5))),1)</f>
        <v>1</v>
      </c>
      <c r="J206" s="219" t="n">
        <f aca="false">IF(Calculator!$E$20="YES",IF(A206&lt;Calculator!$G$20,0,MIN(MIN(MOD(A206/Calculator!$F$20,1),1-MOD(A206/Calculator!$F$20,1)),ABS(MOD(A206/Calculator!$F$20,1)-0.5))),1)</f>
        <v>1</v>
      </c>
      <c r="K206" s="219" t="n">
        <f aca="false">IF(Calculator!$E$21="YES",IF(A206&lt;Calculator!$G$21,0,MIN(MIN(MOD(A206/Calculator!$F$21,1),1-MOD(A206/Calculator!$F$21,1)),ABS(MOD(A206/Calculator!$F$21,1)-0.5))),1)</f>
        <v>0.0411578947368421</v>
      </c>
      <c r="L206" s="219" t="n">
        <f aca="false">IF(Calculator!$E$22="YES",IF(A206&lt;Calculator!$G$22,0,MIN(MIN(MOD(A206/Calculator!$F$22,1),1-MOD(A206/Calculator!$F$22,1)),ABS(MOD(A206/Calculator!$F$22,1)-0.5))),1)</f>
        <v>1</v>
      </c>
      <c r="M206" s="219" t="n">
        <f aca="false">MIN(B206:L206)</f>
        <v>0.0231052631578947</v>
      </c>
      <c r="N206" s="219" t="n">
        <f aca="false">SUMPRODUCT(($M$7:$M$557&gt;M206)*1)+SUMPRODUCT(($M$7:$M$557=M206)*(ROW($M$7:$M$557)&lt;ROW(M206)))+1</f>
        <v>390</v>
      </c>
      <c r="O206" s="219" t="str">
        <f aca="false">IF(M206&gt;=0.2,"★★★ EXCELLENT",IF(M206&gt;=0.12,"★★  GOOD",IF(M206&gt;=0.07,"★  FAIR",IF(M206&gt;=0.025,"⚠  MARGINAL","✗  AVOID"))))</f>
        <v>✗  AVOID</v>
      </c>
    </row>
    <row r="207" customFormat="false" ht="15" hidden="false" customHeight="true" outlineLevel="0" collapsed="false">
      <c r="A207" s="216" t="n">
        <v>25</v>
      </c>
      <c r="B207" s="217" t="n">
        <f aca="false">IF(Calculator!$E$12="YES",IF(A207&lt;Calculator!$G$12,0,MIN(MIN(MOD(A207/Calculator!$F$12,1),1-MOD(A207/Calculator!$F$12,1)),ABS(MOD(A207/Calculator!$F$12,1)-0.5))),1)</f>
        <v>1</v>
      </c>
      <c r="C207" s="217" t="n">
        <f aca="false">IF(Calculator!$E$13="YES",IF(A207&lt;Calculator!$G$13,0,MIN(MIN(MOD(A207/Calculator!$F$13,1),1-MOD(A207/Calculator!$F$13,1)),ABS(MOD(A207/Calculator!$F$13,1)-0.5))),1)</f>
        <v>1</v>
      </c>
      <c r="D207" s="217" t="n">
        <f aca="false">IF(Calculator!$E$14="YES",IF(A207&lt;Calculator!$G$14,0,MIN(MIN(MOD(A207/Calculator!$F$14,1),1-MOD(A207/Calculator!$F$14,1)),ABS(MOD(A207/Calculator!$F$14,1)-0.5))),1)</f>
        <v>1</v>
      </c>
      <c r="E207" s="217" t="n">
        <f aca="false">IF(Calculator!$E$15="YES",IF(A207&lt;Calculator!$G$15,0,MIN(MIN(MOD(A207/Calculator!$F$15,1),1-MOD(A207/Calculator!$F$15,1)),ABS(MOD(A207/Calculator!$F$15,1)-0.5))),1)</f>
        <v>0.245614035087719</v>
      </c>
      <c r="F207" s="217" t="n">
        <f aca="false">IF(Calculator!$E$16="YES",IF(A207&lt;Calculator!$G$16,0,MIN(MIN(MOD(A207/Calculator!$F$16,1),1-MOD(A207/Calculator!$F$16,1)),ABS(MOD(A207/Calculator!$F$16,1)-0.5))),1)</f>
        <v>1</v>
      </c>
      <c r="G207" s="217" t="n">
        <f aca="false">IF(Calculator!$E$17="YES",IF(A207&lt;Calculator!$G$17,0,MIN(MIN(MOD(A207/Calculator!$F$17,1),1-MOD(A207/Calculator!$F$17,1)),ABS(MOD(A207/Calculator!$F$17,1)-0.5))),1)</f>
        <v>0.013157894736842</v>
      </c>
      <c r="H207" s="217" t="n">
        <f aca="false">IF(Calculator!$E$18="YES",IF(A207&lt;Calculator!$G$18,0,MIN(MIN(MOD(A207/Calculator!$F$18,1),1-MOD(A207/Calculator!$F$18,1)),ABS(MOD(A207/Calculator!$F$18,1)-0.5))),1)</f>
        <v>1</v>
      </c>
      <c r="I207" s="217" t="n">
        <f aca="false">IF(Calculator!$E$19="YES",IF(A207&lt;Calculator!$G$19,0,MIN(MIN(MOD(A207/Calculator!$F$19,1),1-MOD(A207/Calculator!$F$19,1)),ABS(MOD(A207/Calculator!$F$19,1)-0.5))),1)</f>
        <v>1</v>
      </c>
      <c r="J207" s="217" t="n">
        <f aca="false">IF(Calculator!$E$20="YES",IF(A207&lt;Calculator!$G$20,0,MIN(MIN(MOD(A207/Calculator!$F$20,1),1-MOD(A207/Calculator!$F$20,1)),ABS(MOD(A207/Calculator!$F$20,1)-0.5))),1)</f>
        <v>1</v>
      </c>
      <c r="K207" s="217" t="n">
        <f aca="false">IF(Calculator!$E$21="YES",IF(A207&lt;Calculator!$G$21,0,MIN(MIN(MOD(A207/Calculator!$F$21,1),1-MOD(A207/Calculator!$F$21,1)),ABS(MOD(A207/Calculator!$F$21,1)-0.5))),1)</f>
        <v>0.0614035087719298</v>
      </c>
      <c r="L207" s="217" t="n">
        <f aca="false">IF(Calculator!$E$22="YES",IF(A207&lt;Calculator!$G$22,0,MIN(MIN(MOD(A207/Calculator!$F$22,1),1-MOD(A207/Calculator!$F$22,1)),ABS(MOD(A207/Calculator!$F$22,1)-0.5))),1)</f>
        <v>1</v>
      </c>
      <c r="M207" s="217" t="n">
        <f aca="false">MIN(B207:L207)</f>
        <v>0.013157894736842</v>
      </c>
      <c r="N207" s="217" t="n">
        <f aca="false">SUMPRODUCT(($M$7:$M$557&gt;M207)*1)+SUMPRODUCT(($M$7:$M$557=M207)*(ROW($M$7:$M$557)&lt;ROW(M207)))+1</f>
        <v>430</v>
      </c>
      <c r="O207" s="217" t="str">
        <f aca="false">IF(M207&gt;=0.2,"★★★ EXCELLENT",IF(M207&gt;=0.12,"★★  GOOD",IF(M207&gt;=0.07,"★  FAIR",IF(M207&gt;=0.025,"⚠  MARGINAL","✗  AVOID"))))</f>
        <v>✗  AVOID</v>
      </c>
    </row>
    <row r="208" customFormat="false" ht="15" hidden="false" customHeight="true" outlineLevel="0" collapsed="false">
      <c r="A208" s="218" t="n">
        <v>25.1</v>
      </c>
      <c r="B208" s="219" t="n">
        <f aca="false">IF(Calculator!$E$12="YES",IF(A208&lt;Calculator!$G$12,0,MIN(MIN(MOD(A208/Calculator!$F$12,1),1-MOD(A208/Calculator!$F$12,1)),ABS(MOD(A208/Calculator!$F$12,1)-0.5))),1)</f>
        <v>1</v>
      </c>
      <c r="C208" s="219" t="n">
        <f aca="false">IF(Calculator!$E$13="YES",IF(A208&lt;Calculator!$G$13,0,MIN(MIN(MOD(A208/Calculator!$F$13,1),1-MOD(A208/Calculator!$F$13,1)),ABS(MOD(A208/Calculator!$F$13,1)-0.5))),1)</f>
        <v>1</v>
      </c>
      <c r="D208" s="219" t="n">
        <f aca="false">IF(Calculator!$E$14="YES",IF(A208&lt;Calculator!$G$14,0,MIN(MIN(MOD(A208/Calculator!$F$14,1),1-MOD(A208/Calculator!$F$14,1)),ABS(MOD(A208/Calculator!$F$14,1)-0.5))),1)</f>
        <v>1</v>
      </c>
      <c r="E208" s="219" t="n">
        <f aca="false">IF(Calculator!$E$15="YES",IF(A208&lt;Calculator!$G$15,0,MIN(MIN(MOD(A208/Calculator!$F$15,1),1-MOD(A208/Calculator!$F$15,1)),ABS(MOD(A208/Calculator!$F$15,1)-0.5))),1)</f>
        <v>0.24059649122807</v>
      </c>
      <c r="F208" s="219" t="n">
        <f aca="false">IF(Calculator!$E$16="YES",IF(A208&lt;Calculator!$G$16,0,MIN(MIN(MOD(A208/Calculator!$F$16,1),1-MOD(A208/Calculator!$F$16,1)),ABS(MOD(A208/Calculator!$F$16,1)-0.5))),1)</f>
        <v>1</v>
      </c>
      <c r="G208" s="219" t="n">
        <f aca="false">IF(Calculator!$E$17="YES",IF(A208&lt;Calculator!$G$17,0,MIN(MIN(MOD(A208/Calculator!$F$17,1),1-MOD(A208/Calculator!$F$17,1)),ABS(MOD(A208/Calculator!$F$17,1)-0.5))),1)</f>
        <v>0.00321052631578933</v>
      </c>
      <c r="H208" s="219" t="n">
        <f aca="false">IF(Calculator!$E$18="YES",IF(A208&lt;Calculator!$G$18,0,MIN(MIN(MOD(A208/Calculator!$F$18,1),1-MOD(A208/Calculator!$F$18,1)),ABS(MOD(A208/Calculator!$F$18,1)-0.5))),1)</f>
        <v>1</v>
      </c>
      <c r="I208" s="219" t="n">
        <f aca="false">IF(Calculator!$E$19="YES",IF(A208&lt;Calculator!$G$19,0,MIN(MIN(MOD(A208/Calculator!$F$19,1),1-MOD(A208/Calculator!$F$19,1)),ABS(MOD(A208/Calculator!$F$19,1)-0.5))),1)</f>
        <v>1</v>
      </c>
      <c r="J208" s="219" t="n">
        <f aca="false">IF(Calculator!$E$20="YES",IF(A208&lt;Calculator!$G$20,0,MIN(MIN(MOD(A208/Calculator!$F$20,1),1-MOD(A208/Calculator!$F$20,1)),ABS(MOD(A208/Calculator!$F$20,1)-0.5))),1)</f>
        <v>1</v>
      </c>
      <c r="K208" s="219" t="n">
        <f aca="false">IF(Calculator!$E$21="YES",IF(A208&lt;Calculator!$G$21,0,MIN(MIN(MOD(A208/Calculator!$F$21,1),1-MOD(A208/Calculator!$F$21,1)),ABS(MOD(A208/Calculator!$F$21,1)-0.5))),1)</f>
        <v>0.0816491228070175</v>
      </c>
      <c r="L208" s="219" t="n">
        <f aca="false">IF(Calculator!$E$22="YES",IF(A208&lt;Calculator!$G$22,0,MIN(MIN(MOD(A208/Calculator!$F$22,1),1-MOD(A208/Calculator!$F$22,1)),ABS(MOD(A208/Calculator!$F$22,1)-0.5))),1)</f>
        <v>1</v>
      </c>
      <c r="M208" s="219" t="n">
        <f aca="false">MIN(B208:L208)</f>
        <v>0.00321052631578933</v>
      </c>
      <c r="N208" s="219" t="n">
        <f aca="false">SUMPRODUCT(($M$7:$M$557&gt;M208)*1)+SUMPRODUCT(($M$7:$M$557=M208)*(ROW($M$7:$M$557)&lt;ROW(M208)))+1</f>
        <v>482</v>
      </c>
      <c r="O208" s="219" t="str">
        <f aca="false">IF(M208&gt;=0.2,"★★★ EXCELLENT",IF(M208&gt;=0.12,"★★  GOOD",IF(M208&gt;=0.07,"★  FAIR",IF(M208&gt;=0.025,"⚠  MARGINAL","✗  AVOID"))))</f>
        <v>✗  AVOID</v>
      </c>
    </row>
    <row r="209" customFormat="false" ht="15" hidden="false" customHeight="true" outlineLevel="0" collapsed="false">
      <c r="A209" s="216" t="n">
        <v>25.2</v>
      </c>
      <c r="B209" s="217" t="n">
        <f aca="false">IF(Calculator!$E$12="YES",IF(A209&lt;Calculator!$G$12,0,MIN(MIN(MOD(A209/Calculator!$F$12,1),1-MOD(A209/Calculator!$F$12,1)),ABS(MOD(A209/Calculator!$F$12,1)-0.5))),1)</f>
        <v>1</v>
      </c>
      <c r="C209" s="217" t="n">
        <f aca="false">IF(Calculator!$E$13="YES",IF(A209&lt;Calculator!$G$13,0,MIN(MIN(MOD(A209/Calculator!$F$13,1),1-MOD(A209/Calculator!$F$13,1)),ABS(MOD(A209/Calculator!$F$13,1)-0.5))),1)</f>
        <v>1</v>
      </c>
      <c r="D209" s="217" t="n">
        <f aca="false">IF(Calculator!$E$14="YES",IF(A209&lt;Calculator!$G$14,0,MIN(MIN(MOD(A209/Calculator!$F$14,1),1-MOD(A209/Calculator!$F$14,1)),ABS(MOD(A209/Calculator!$F$14,1)-0.5))),1)</f>
        <v>1</v>
      </c>
      <c r="E209" s="217" t="n">
        <f aca="false">IF(Calculator!$E$15="YES",IF(A209&lt;Calculator!$G$15,0,MIN(MIN(MOD(A209/Calculator!$F$15,1),1-MOD(A209/Calculator!$F$15,1)),ABS(MOD(A209/Calculator!$F$15,1)-0.5))),1)</f>
        <v>0.235578947368421</v>
      </c>
      <c r="F209" s="217" t="n">
        <f aca="false">IF(Calculator!$E$16="YES",IF(A209&lt;Calculator!$G$16,0,MIN(MIN(MOD(A209/Calculator!$F$16,1),1-MOD(A209/Calculator!$F$16,1)),ABS(MOD(A209/Calculator!$F$16,1)-0.5))),1)</f>
        <v>1</v>
      </c>
      <c r="G209" s="217" t="n">
        <f aca="false">IF(Calculator!$E$17="YES",IF(A209&lt;Calculator!$G$17,0,MIN(MIN(MOD(A209/Calculator!$F$17,1),1-MOD(A209/Calculator!$F$17,1)),ABS(MOD(A209/Calculator!$F$17,1)-0.5))),1)</f>
        <v>0.00673684210526337</v>
      </c>
      <c r="H209" s="217" t="n">
        <f aca="false">IF(Calculator!$E$18="YES",IF(A209&lt;Calculator!$G$18,0,MIN(MIN(MOD(A209/Calculator!$F$18,1),1-MOD(A209/Calculator!$F$18,1)),ABS(MOD(A209/Calculator!$F$18,1)-0.5))),1)</f>
        <v>1</v>
      </c>
      <c r="I209" s="217" t="n">
        <f aca="false">IF(Calculator!$E$19="YES",IF(A209&lt;Calculator!$G$19,0,MIN(MIN(MOD(A209/Calculator!$F$19,1),1-MOD(A209/Calculator!$F$19,1)),ABS(MOD(A209/Calculator!$F$19,1)-0.5))),1)</f>
        <v>1</v>
      </c>
      <c r="J209" s="217" t="n">
        <f aca="false">IF(Calculator!$E$20="YES",IF(A209&lt;Calculator!$G$20,0,MIN(MIN(MOD(A209/Calculator!$F$20,1),1-MOD(A209/Calculator!$F$20,1)),ABS(MOD(A209/Calculator!$F$20,1)-0.5))),1)</f>
        <v>1</v>
      </c>
      <c r="K209" s="217" t="n">
        <f aca="false">IF(Calculator!$E$21="YES",IF(A209&lt;Calculator!$G$21,0,MIN(MIN(MOD(A209/Calculator!$F$21,1),1-MOD(A209/Calculator!$F$21,1)),ABS(MOD(A209/Calculator!$F$21,1)-0.5))),1)</f>
        <v>0.101894736842105</v>
      </c>
      <c r="L209" s="217" t="n">
        <f aca="false">IF(Calculator!$E$22="YES",IF(A209&lt;Calculator!$G$22,0,MIN(MIN(MOD(A209/Calculator!$F$22,1),1-MOD(A209/Calculator!$F$22,1)),ABS(MOD(A209/Calculator!$F$22,1)-0.5))),1)</f>
        <v>1</v>
      </c>
      <c r="M209" s="217" t="n">
        <f aca="false">MIN(B209:L209)</f>
        <v>0.00673684210526337</v>
      </c>
      <c r="N209" s="217" t="n">
        <f aca="false">SUMPRODUCT(($M$7:$M$557&gt;M209)*1)+SUMPRODUCT(($M$7:$M$557=M209)*(ROW($M$7:$M$557)&lt;ROW(M209)))+1</f>
        <v>460</v>
      </c>
      <c r="O209" s="217" t="str">
        <f aca="false">IF(M209&gt;=0.2,"★★★ EXCELLENT",IF(M209&gt;=0.12,"★★  GOOD",IF(M209&gt;=0.07,"★  FAIR",IF(M209&gt;=0.025,"⚠  MARGINAL","✗  AVOID"))))</f>
        <v>✗  AVOID</v>
      </c>
    </row>
    <row r="210" customFormat="false" ht="15" hidden="false" customHeight="true" outlineLevel="0" collapsed="false">
      <c r="A210" s="218" t="n">
        <v>25.3</v>
      </c>
      <c r="B210" s="219" t="n">
        <f aca="false">IF(Calculator!$E$12="YES",IF(A210&lt;Calculator!$G$12,0,MIN(MIN(MOD(A210/Calculator!$F$12,1),1-MOD(A210/Calculator!$F$12,1)),ABS(MOD(A210/Calculator!$F$12,1)-0.5))),1)</f>
        <v>1</v>
      </c>
      <c r="C210" s="219" t="n">
        <f aca="false">IF(Calculator!$E$13="YES",IF(A210&lt;Calculator!$G$13,0,MIN(MIN(MOD(A210/Calculator!$F$13,1),1-MOD(A210/Calculator!$F$13,1)),ABS(MOD(A210/Calculator!$F$13,1)-0.5))),1)</f>
        <v>1</v>
      </c>
      <c r="D210" s="219" t="n">
        <f aca="false">IF(Calculator!$E$14="YES",IF(A210&lt;Calculator!$G$14,0,MIN(MIN(MOD(A210/Calculator!$F$14,1),1-MOD(A210/Calculator!$F$14,1)),ABS(MOD(A210/Calculator!$F$14,1)-0.5))),1)</f>
        <v>1</v>
      </c>
      <c r="E210" s="219" t="n">
        <f aca="false">IF(Calculator!$E$15="YES",IF(A210&lt;Calculator!$G$15,0,MIN(MIN(MOD(A210/Calculator!$F$15,1),1-MOD(A210/Calculator!$F$15,1)),ABS(MOD(A210/Calculator!$F$15,1)-0.5))),1)</f>
        <v>0.230561403508772</v>
      </c>
      <c r="F210" s="219" t="n">
        <f aca="false">IF(Calculator!$E$16="YES",IF(A210&lt;Calculator!$G$16,0,MIN(MIN(MOD(A210/Calculator!$F$16,1),1-MOD(A210/Calculator!$F$16,1)),ABS(MOD(A210/Calculator!$F$16,1)-0.5))),1)</f>
        <v>1</v>
      </c>
      <c r="G210" s="219" t="n">
        <f aca="false">IF(Calculator!$E$17="YES",IF(A210&lt;Calculator!$G$17,0,MIN(MIN(MOD(A210/Calculator!$F$17,1),1-MOD(A210/Calculator!$F$17,1)),ABS(MOD(A210/Calculator!$F$17,1)-0.5))),1)</f>
        <v>0.0166842105263161</v>
      </c>
      <c r="H210" s="219" t="n">
        <f aca="false">IF(Calculator!$E$18="YES",IF(A210&lt;Calculator!$G$18,0,MIN(MIN(MOD(A210/Calculator!$F$18,1),1-MOD(A210/Calculator!$F$18,1)),ABS(MOD(A210/Calculator!$F$18,1)-0.5))),1)</f>
        <v>1</v>
      </c>
      <c r="I210" s="219" t="n">
        <f aca="false">IF(Calculator!$E$19="YES",IF(A210&lt;Calculator!$G$19,0,MIN(MIN(MOD(A210/Calculator!$F$19,1),1-MOD(A210/Calculator!$F$19,1)),ABS(MOD(A210/Calculator!$F$19,1)-0.5))),1)</f>
        <v>1</v>
      </c>
      <c r="J210" s="219" t="n">
        <f aca="false">IF(Calculator!$E$20="YES",IF(A210&lt;Calculator!$G$20,0,MIN(MIN(MOD(A210/Calculator!$F$20,1),1-MOD(A210/Calculator!$F$20,1)),ABS(MOD(A210/Calculator!$F$20,1)-0.5))),1)</f>
        <v>1</v>
      </c>
      <c r="K210" s="219" t="n">
        <f aca="false">IF(Calculator!$E$21="YES",IF(A210&lt;Calculator!$G$21,0,MIN(MIN(MOD(A210/Calculator!$F$21,1),1-MOD(A210/Calculator!$F$21,1)),ABS(MOD(A210/Calculator!$F$21,1)-0.5))),1)</f>
        <v>0.122140350877193</v>
      </c>
      <c r="L210" s="219" t="n">
        <f aca="false">IF(Calculator!$E$22="YES",IF(A210&lt;Calculator!$G$22,0,MIN(MIN(MOD(A210/Calculator!$F$22,1),1-MOD(A210/Calculator!$F$22,1)),ABS(MOD(A210/Calculator!$F$22,1)-0.5))),1)</f>
        <v>1</v>
      </c>
      <c r="M210" s="219" t="n">
        <f aca="false">MIN(B210:L210)</f>
        <v>0.0166842105263161</v>
      </c>
      <c r="N210" s="219" t="n">
        <f aca="false">SUMPRODUCT(($M$7:$M$557&gt;M210)*1)+SUMPRODUCT(($M$7:$M$557=M210)*(ROW($M$7:$M$557)&lt;ROW(M210)))+1</f>
        <v>414</v>
      </c>
      <c r="O210" s="219" t="str">
        <f aca="false">IF(M210&gt;=0.2,"★★★ EXCELLENT",IF(M210&gt;=0.12,"★★  GOOD",IF(M210&gt;=0.07,"★  FAIR",IF(M210&gt;=0.025,"⚠  MARGINAL","✗  AVOID"))))</f>
        <v>✗  AVOID</v>
      </c>
    </row>
    <row r="211" customFormat="false" ht="15" hidden="false" customHeight="true" outlineLevel="0" collapsed="false">
      <c r="A211" s="216" t="n">
        <v>25.4</v>
      </c>
      <c r="B211" s="217" t="n">
        <f aca="false">IF(Calculator!$E$12="YES",IF(A211&lt;Calculator!$G$12,0,MIN(MIN(MOD(A211/Calculator!$F$12,1),1-MOD(A211/Calculator!$F$12,1)),ABS(MOD(A211/Calculator!$F$12,1)-0.5))),1)</f>
        <v>1</v>
      </c>
      <c r="C211" s="217" t="n">
        <f aca="false">IF(Calculator!$E$13="YES",IF(A211&lt;Calculator!$G$13,0,MIN(MIN(MOD(A211/Calculator!$F$13,1),1-MOD(A211/Calculator!$F$13,1)),ABS(MOD(A211/Calculator!$F$13,1)-0.5))),1)</f>
        <v>1</v>
      </c>
      <c r="D211" s="217" t="n">
        <f aca="false">IF(Calculator!$E$14="YES",IF(A211&lt;Calculator!$G$14,0,MIN(MIN(MOD(A211/Calculator!$F$14,1),1-MOD(A211/Calculator!$F$14,1)),ABS(MOD(A211/Calculator!$F$14,1)-0.5))),1)</f>
        <v>1</v>
      </c>
      <c r="E211" s="217" t="n">
        <f aca="false">IF(Calculator!$E$15="YES",IF(A211&lt;Calculator!$G$15,0,MIN(MIN(MOD(A211/Calculator!$F$15,1),1-MOD(A211/Calculator!$F$15,1)),ABS(MOD(A211/Calculator!$F$15,1)-0.5))),1)</f>
        <v>0.225543859649123</v>
      </c>
      <c r="F211" s="217" t="n">
        <f aca="false">IF(Calculator!$E$16="YES",IF(A211&lt;Calculator!$G$16,0,MIN(MIN(MOD(A211/Calculator!$F$16,1),1-MOD(A211/Calculator!$F$16,1)),ABS(MOD(A211/Calculator!$F$16,1)-0.5))),1)</f>
        <v>1</v>
      </c>
      <c r="G211" s="217" t="n">
        <f aca="false">IF(Calculator!$E$17="YES",IF(A211&lt;Calculator!$G$17,0,MIN(MIN(MOD(A211/Calculator!$F$17,1),1-MOD(A211/Calculator!$F$17,1)),ABS(MOD(A211/Calculator!$F$17,1)-0.5))),1)</f>
        <v>0.0266315789473683</v>
      </c>
      <c r="H211" s="217" t="n">
        <f aca="false">IF(Calculator!$E$18="YES",IF(A211&lt;Calculator!$G$18,0,MIN(MIN(MOD(A211/Calculator!$F$18,1),1-MOD(A211/Calculator!$F$18,1)),ABS(MOD(A211/Calculator!$F$18,1)-0.5))),1)</f>
        <v>1</v>
      </c>
      <c r="I211" s="217" t="n">
        <f aca="false">IF(Calculator!$E$19="YES",IF(A211&lt;Calculator!$G$19,0,MIN(MIN(MOD(A211/Calculator!$F$19,1),1-MOD(A211/Calculator!$F$19,1)),ABS(MOD(A211/Calculator!$F$19,1)-0.5))),1)</f>
        <v>1</v>
      </c>
      <c r="J211" s="217" t="n">
        <f aca="false">IF(Calculator!$E$20="YES",IF(A211&lt;Calculator!$G$20,0,MIN(MIN(MOD(A211/Calculator!$F$20,1),1-MOD(A211/Calculator!$F$20,1)),ABS(MOD(A211/Calculator!$F$20,1)-0.5))),1)</f>
        <v>1</v>
      </c>
      <c r="K211" s="217" t="n">
        <f aca="false">IF(Calculator!$E$21="YES",IF(A211&lt;Calculator!$G$21,0,MIN(MIN(MOD(A211/Calculator!$F$21,1),1-MOD(A211/Calculator!$F$21,1)),ABS(MOD(A211/Calculator!$F$21,1)-0.5))),1)</f>
        <v>0.142385964912281</v>
      </c>
      <c r="L211" s="217" t="n">
        <f aca="false">IF(Calculator!$E$22="YES",IF(A211&lt;Calculator!$G$22,0,MIN(MIN(MOD(A211/Calculator!$F$22,1),1-MOD(A211/Calculator!$F$22,1)),ABS(MOD(A211/Calculator!$F$22,1)-0.5))),1)</f>
        <v>1</v>
      </c>
      <c r="M211" s="217" t="n">
        <f aca="false">MIN(B211:L211)</f>
        <v>0.0266315789473683</v>
      </c>
      <c r="N211" s="217" t="n">
        <f aca="false">SUMPRODUCT(($M$7:$M$557&gt;M211)*1)+SUMPRODUCT(($M$7:$M$557=M211)*(ROW($M$7:$M$557)&lt;ROW(M211)))+1</f>
        <v>377</v>
      </c>
      <c r="O211" s="217" t="str">
        <f aca="false">IF(M211&gt;=0.2,"★★★ EXCELLENT",IF(M211&gt;=0.12,"★★  GOOD",IF(M211&gt;=0.07,"★  FAIR",IF(M211&gt;=0.025,"⚠  MARGINAL","✗  AVOID"))))</f>
        <v>⚠  MARGINAL</v>
      </c>
    </row>
    <row r="212" customFormat="false" ht="15" hidden="false" customHeight="true" outlineLevel="0" collapsed="false">
      <c r="A212" s="218" t="n">
        <v>25.5</v>
      </c>
      <c r="B212" s="219" t="n">
        <f aca="false">IF(Calculator!$E$12="YES",IF(A212&lt;Calculator!$G$12,0,MIN(MIN(MOD(A212/Calculator!$F$12,1),1-MOD(A212/Calculator!$F$12,1)),ABS(MOD(A212/Calculator!$F$12,1)-0.5))),1)</f>
        <v>1</v>
      </c>
      <c r="C212" s="219" t="n">
        <f aca="false">IF(Calculator!$E$13="YES",IF(A212&lt;Calculator!$G$13,0,MIN(MIN(MOD(A212/Calculator!$F$13,1),1-MOD(A212/Calculator!$F$13,1)),ABS(MOD(A212/Calculator!$F$13,1)-0.5))),1)</f>
        <v>1</v>
      </c>
      <c r="D212" s="219" t="n">
        <f aca="false">IF(Calculator!$E$14="YES",IF(A212&lt;Calculator!$G$14,0,MIN(MIN(MOD(A212/Calculator!$F$14,1),1-MOD(A212/Calculator!$F$14,1)),ABS(MOD(A212/Calculator!$F$14,1)-0.5))),1)</f>
        <v>1</v>
      </c>
      <c r="E212" s="219" t="n">
        <f aca="false">IF(Calculator!$E$15="YES",IF(A212&lt;Calculator!$G$15,0,MIN(MIN(MOD(A212/Calculator!$F$15,1),1-MOD(A212/Calculator!$F$15,1)),ABS(MOD(A212/Calculator!$F$15,1)-0.5))),1)</f>
        <v>0.220526315789474</v>
      </c>
      <c r="F212" s="219" t="n">
        <f aca="false">IF(Calculator!$E$16="YES",IF(A212&lt;Calculator!$G$16,0,MIN(MIN(MOD(A212/Calculator!$F$16,1),1-MOD(A212/Calculator!$F$16,1)),ABS(MOD(A212/Calculator!$F$16,1)-0.5))),1)</f>
        <v>1</v>
      </c>
      <c r="G212" s="219" t="n">
        <f aca="false">IF(Calculator!$E$17="YES",IF(A212&lt;Calculator!$G$17,0,MIN(MIN(MOD(A212/Calculator!$F$17,1),1-MOD(A212/Calculator!$F$17,1)),ABS(MOD(A212/Calculator!$F$17,1)-0.5))),1)</f>
        <v>0.036578947368421</v>
      </c>
      <c r="H212" s="219" t="n">
        <f aca="false">IF(Calculator!$E$18="YES",IF(A212&lt;Calculator!$G$18,0,MIN(MIN(MOD(A212/Calculator!$F$18,1),1-MOD(A212/Calculator!$F$18,1)),ABS(MOD(A212/Calculator!$F$18,1)-0.5))),1)</f>
        <v>1</v>
      </c>
      <c r="I212" s="219" t="n">
        <f aca="false">IF(Calculator!$E$19="YES",IF(A212&lt;Calculator!$G$19,0,MIN(MIN(MOD(A212/Calculator!$F$19,1),1-MOD(A212/Calculator!$F$19,1)),ABS(MOD(A212/Calculator!$F$19,1)-0.5))),1)</f>
        <v>1</v>
      </c>
      <c r="J212" s="219" t="n">
        <f aca="false">IF(Calculator!$E$20="YES",IF(A212&lt;Calculator!$G$20,0,MIN(MIN(MOD(A212/Calculator!$F$20,1),1-MOD(A212/Calculator!$F$20,1)),ABS(MOD(A212/Calculator!$F$20,1)-0.5))),1)</f>
        <v>1</v>
      </c>
      <c r="K212" s="219" t="n">
        <f aca="false">IF(Calculator!$E$21="YES",IF(A212&lt;Calculator!$G$21,0,MIN(MIN(MOD(A212/Calculator!$F$21,1),1-MOD(A212/Calculator!$F$21,1)),ABS(MOD(A212/Calculator!$F$21,1)-0.5))),1)</f>
        <v>0.162631578947368</v>
      </c>
      <c r="L212" s="219" t="n">
        <f aca="false">IF(Calculator!$E$22="YES",IF(A212&lt;Calculator!$G$22,0,MIN(MIN(MOD(A212/Calculator!$F$22,1),1-MOD(A212/Calculator!$F$22,1)),ABS(MOD(A212/Calculator!$F$22,1)-0.5))),1)</f>
        <v>1</v>
      </c>
      <c r="M212" s="219" t="n">
        <f aca="false">MIN(B212:L212)</f>
        <v>0.036578947368421</v>
      </c>
      <c r="N212" s="219" t="n">
        <f aca="false">SUMPRODUCT(($M$7:$M$557&gt;M212)*1)+SUMPRODUCT(($M$7:$M$557=M212)*(ROW($M$7:$M$557)&lt;ROW(M212)))+1</f>
        <v>338</v>
      </c>
      <c r="O212" s="219" t="str">
        <f aca="false">IF(M212&gt;=0.2,"★★★ EXCELLENT",IF(M212&gt;=0.12,"★★  GOOD",IF(M212&gt;=0.07,"★  FAIR",IF(M212&gt;=0.025,"⚠  MARGINAL","✗  AVOID"))))</f>
        <v>⚠  MARGINAL</v>
      </c>
    </row>
    <row r="213" customFormat="false" ht="15" hidden="false" customHeight="true" outlineLevel="0" collapsed="false">
      <c r="A213" s="216" t="n">
        <v>25.6</v>
      </c>
      <c r="B213" s="217" t="n">
        <f aca="false">IF(Calculator!$E$12="YES",IF(A213&lt;Calculator!$G$12,0,MIN(MIN(MOD(A213/Calculator!$F$12,1),1-MOD(A213/Calculator!$F$12,1)),ABS(MOD(A213/Calculator!$F$12,1)-0.5))),1)</f>
        <v>1</v>
      </c>
      <c r="C213" s="217" t="n">
        <f aca="false">IF(Calculator!$E$13="YES",IF(A213&lt;Calculator!$G$13,0,MIN(MIN(MOD(A213/Calculator!$F$13,1),1-MOD(A213/Calculator!$F$13,1)),ABS(MOD(A213/Calculator!$F$13,1)-0.5))),1)</f>
        <v>1</v>
      </c>
      <c r="D213" s="217" t="n">
        <f aca="false">IF(Calculator!$E$14="YES",IF(A213&lt;Calculator!$G$14,0,MIN(MIN(MOD(A213/Calculator!$F$14,1),1-MOD(A213/Calculator!$F$14,1)),ABS(MOD(A213/Calculator!$F$14,1)-0.5))),1)</f>
        <v>1</v>
      </c>
      <c r="E213" s="217" t="n">
        <f aca="false">IF(Calculator!$E$15="YES",IF(A213&lt;Calculator!$G$15,0,MIN(MIN(MOD(A213/Calculator!$F$15,1),1-MOD(A213/Calculator!$F$15,1)),ABS(MOD(A213/Calculator!$F$15,1)-0.5))),1)</f>
        <v>0.215508771929825</v>
      </c>
      <c r="F213" s="217" t="n">
        <f aca="false">IF(Calculator!$E$16="YES",IF(A213&lt;Calculator!$G$16,0,MIN(MIN(MOD(A213/Calculator!$F$16,1),1-MOD(A213/Calculator!$F$16,1)),ABS(MOD(A213/Calculator!$F$16,1)-0.5))),1)</f>
        <v>1</v>
      </c>
      <c r="G213" s="217" t="n">
        <f aca="false">IF(Calculator!$E$17="YES",IF(A213&lt;Calculator!$G$17,0,MIN(MIN(MOD(A213/Calculator!$F$17,1),1-MOD(A213/Calculator!$F$17,1)),ABS(MOD(A213/Calculator!$F$17,1)-0.5))),1)</f>
        <v>0.0465263157894742</v>
      </c>
      <c r="H213" s="217" t="n">
        <f aca="false">IF(Calculator!$E$18="YES",IF(A213&lt;Calculator!$G$18,0,MIN(MIN(MOD(A213/Calculator!$F$18,1),1-MOD(A213/Calculator!$F$18,1)),ABS(MOD(A213/Calculator!$F$18,1)-0.5))),1)</f>
        <v>1</v>
      </c>
      <c r="I213" s="217" t="n">
        <f aca="false">IF(Calculator!$E$19="YES",IF(A213&lt;Calculator!$G$19,0,MIN(MIN(MOD(A213/Calculator!$F$19,1),1-MOD(A213/Calculator!$F$19,1)),ABS(MOD(A213/Calculator!$F$19,1)-0.5))),1)</f>
        <v>1</v>
      </c>
      <c r="J213" s="217" t="n">
        <f aca="false">IF(Calculator!$E$20="YES",IF(A213&lt;Calculator!$G$20,0,MIN(MIN(MOD(A213/Calculator!$F$20,1),1-MOD(A213/Calculator!$F$20,1)),ABS(MOD(A213/Calculator!$F$20,1)-0.5))),1)</f>
        <v>1</v>
      </c>
      <c r="K213" s="217" t="n">
        <f aca="false">IF(Calculator!$E$21="YES",IF(A213&lt;Calculator!$G$21,0,MIN(MIN(MOD(A213/Calculator!$F$21,1),1-MOD(A213/Calculator!$F$21,1)),ABS(MOD(A213/Calculator!$F$21,1)-0.5))),1)</f>
        <v>0.182877192982456</v>
      </c>
      <c r="L213" s="217" t="n">
        <f aca="false">IF(Calculator!$E$22="YES",IF(A213&lt;Calculator!$G$22,0,MIN(MIN(MOD(A213/Calculator!$F$22,1),1-MOD(A213/Calculator!$F$22,1)),ABS(MOD(A213/Calculator!$F$22,1)-0.5))),1)</f>
        <v>1</v>
      </c>
      <c r="M213" s="217" t="n">
        <f aca="false">MIN(B213:L213)</f>
        <v>0.0465263157894742</v>
      </c>
      <c r="N213" s="217" t="n">
        <f aca="false">SUMPRODUCT(($M$7:$M$557&gt;M213)*1)+SUMPRODUCT(($M$7:$M$557=M213)*(ROW($M$7:$M$557)&lt;ROW(M213)))+1</f>
        <v>299</v>
      </c>
      <c r="O213" s="217" t="str">
        <f aca="false">IF(M213&gt;=0.2,"★★★ EXCELLENT",IF(M213&gt;=0.12,"★★  GOOD",IF(M213&gt;=0.07,"★  FAIR",IF(M213&gt;=0.025,"⚠  MARGINAL","✗  AVOID"))))</f>
        <v>⚠  MARGINAL</v>
      </c>
    </row>
    <row r="214" customFormat="false" ht="15" hidden="false" customHeight="true" outlineLevel="0" collapsed="false">
      <c r="A214" s="218" t="n">
        <v>25.7</v>
      </c>
      <c r="B214" s="219" t="n">
        <f aca="false">IF(Calculator!$E$12="YES",IF(A214&lt;Calculator!$G$12,0,MIN(MIN(MOD(A214/Calculator!$F$12,1),1-MOD(A214/Calculator!$F$12,1)),ABS(MOD(A214/Calculator!$F$12,1)-0.5))),1)</f>
        <v>1</v>
      </c>
      <c r="C214" s="219" t="n">
        <f aca="false">IF(Calculator!$E$13="YES",IF(A214&lt;Calculator!$G$13,0,MIN(MIN(MOD(A214/Calculator!$F$13,1),1-MOD(A214/Calculator!$F$13,1)),ABS(MOD(A214/Calculator!$F$13,1)-0.5))),1)</f>
        <v>1</v>
      </c>
      <c r="D214" s="219" t="n">
        <f aca="false">IF(Calculator!$E$14="YES",IF(A214&lt;Calculator!$G$14,0,MIN(MIN(MOD(A214/Calculator!$F$14,1),1-MOD(A214/Calculator!$F$14,1)),ABS(MOD(A214/Calculator!$F$14,1)-0.5))),1)</f>
        <v>1</v>
      </c>
      <c r="E214" s="219" t="n">
        <f aca="false">IF(Calculator!$E$15="YES",IF(A214&lt;Calculator!$G$15,0,MIN(MIN(MOD(A214/Calculator!$F$15,1),1-MOD(A214/Calculator!$F$15,1)),ABS(MOD(A214/Calculator!$F$15,1)-0.5))),1)</f>
        <v>0.210491228070175</v>
      </c>
      <c r="F214" s="219" t="n">
        <f aca="false">IF(Calculator!$E$16="YES",IF(A214&lt;Calculator!$G$16,0,MIN(MIN(MOD(A214/Calculator!$F$16,1),1-MOD(A214/Calculator!$F$16,1)),ABS(MOD(A214/Calculator!$F$16,1)-0.5))),1)</f>
        <v>1</v>
      </c>
      <c r="G214" s="219" t="n">
        <f aca="false">IF(Calculator!$E$17="YES",IF(A214&lt;Calculator!$G$17,0,MIN(MIN(MOD(A214/Calculator!$F$17,1),1-MOD(A214/Calculator!$F$17,1)),ABS(MOD(A214/Calculator!$F$17,1)-0.5))),1)</f>
        <v>0.0564736842105265</v>
      </c>
      <c r="H214" s="219" t="n">
        <f aca="false">IF(Calculator!$E$18="YES",IF(A214&lt;Calculator!$G$18,0,MIN(MIN(MOD(A214/Calculator!$F$18,1),1-MOD(A214/Calculator!$F$18,1)),ABS(MOD(A214/Calculator!$F$18,1)-0.5))),1)</f>
        <v>1</v>
      </c>
      <c r="I214" s="219" t="n">
        <f aca="false">IF(Calculator!$E$19="YES",IF(A214&lt;Calculator!$G$19,0,MIN(MIN(MOD(A214/Calculator!$F$19,1),1-MOD(A214/Calculator!$F$19,1)),ABS(MOD(A214/Calculator!$F$19,1)-0.5))),1)</f>
        <v>1</v>
      </c>
      <c r="J214" s="219" t="n">
        <f aca="false">IF(Calculator!$E$20="YES",IF(A214&lt;Calculator!$G$20,0,MIN(MIN(MOD(A214/Calculator!$F$20,1),1-MOD(A214/Calculator!$F$20,1)),ABS(MOD(A214/Calculator!$F$20,1)-0.5))),1)</f>
        <v>1</v>
      </c>
      <c r="K214" s="219" t="n">
        <f aca="false">IF(Calculator!$E$21="YES",IF(A214&lt;Calculator!$G$21,0,MIN(MIN(MOD(A214/Calculator!$F$21,1),1-MOD(A214/Calculator!$F$21,1)),ABS(MOD(A214/Calculator!$F$21,1)-0.5))),1)</f>
        <v>0.203122807017544</v>
      </c>
      <c r="L214" s="219" t="n">
        <f aca="false">IF(Calculator!$E$22="YES",IF(A214&lt;Calculator!$G$22,0,MIN(MIN(MOD(A214/Calculator!$F$22,1),1-MOD(A214/Calculator!$F$22,1)),ABS(MOD(A214/Calculator!$F$22,1)-0.5))),1)</f>
        <v>1</v>
      </c>
      <c r="M214" s="219" t="n">
        <f aca="false">MIN(B214:L214)</f>
        <v>0.0564736842105265</v>
      </c>
      <c r="N214" s="219" t="n">
        <f aca="false">SUMPRODUCT(($M$7:$M$557&gt;M214)*1)+SUMPRODUCT(($M$7:$M$557=M214)*(ROW($M$7:$M$557)&lt;ROW(M214)))+1</f>
        <v>258</v>
      </c>
      <c r="O214" s="219" t="str">
        <f aca="false">IF(M214&gt;=0.2,"★★★ EXCELLENT",IF(M214&gt;=0.12,"★★  GOOD",IF(M214&gt;=0.07,"★  FAIR",IF(M214&gt;=0.025,"⚠  MARGINAL","✗  AVOID"))))</f>
        <v>⚠  MARGINAL</v>
      </c>
    </row>
    <row r="215" customFormat="false" ht="15" hidden="false" customHeight="true" outlineLevel="0" collapsed="false">
      <c r="A215" s="216" t="n">
        <v>25.8</v>
      </c>
      <c r="B215" s="217" t="n">
        <f aca="false">IF(Calculator!$E$12="YES",IF(A215&lt;Calculator!$G$12,0,MIN(MIN(MOD(A215/Calculator!$F$12,1),1-MOD(A215/Calculator!$F$12,1)),ABS(MOD(A215/Calculator!$F$12,1)-0.5))),1)</f>
        <v>1</v>
      </c>
      <c r="C215" s="217" t="n">
        <f aca="false">IF(Calculator!$E$13="YES",IF(A215&lt;Calculator!$G$13,0,MIN(MIN(MOD(A215/Calculator!$F$13,1),1-MOD(A215/Calculator!$F$13,1)),ABS(MOD(A215/Calculator!$F$13,1)-0.5))),1)</f>
        <v>1</v>
      </c>
      <c r="D215" s="217" t="n">
        <f aca="false">IF(Calculator!$E$14="YES",IF(A215&lt;Calculator!$G$14,0,MIN(MIN(MOD(A215/Calculator!$F$14,1),1-MOD(A215/Calculator!$F$14,1)),ABS(MOD(A215/Calculator!$F$14,1)-0.5))),1)</f>
        <v>1</v>
      </c>
      <c r="E215" s="217" t="n">
        <f aca="false">IF(Calculator!$E$15="YES",IF(A215&lt;Calculator!$G$15,0,MIN(MIN(MOD(A215/Calculator!$F$15,1),1-MOD(A215/Calculator!$F$15,1)),ABS(MOD(A215/Calculator!$F$15,1)-0.5))),1)</f>
        <v>0.205473684210526</v>
      </c>
      <c r="F215" s="217" t="n">
        <f aca="false">IF(Calculator!$E$16="YES",IF(A215&lt;Calculator!$G$16,0,MIN(MIN(MOD(A215/Calculator!$F$16,1),1-MOD(A215/Calculator!$F$16,1)),ABS(MOD(A215/Calculator!$F$16,1)-0.5))),1)</f>
        <v>1</v>
      </c>
      <c r="G215" s="217" t="n">
        <f aca="false">IF(Calculator!$E$17="YES",IF(A215&lt;Calculator!$G$17,0,MIN(MIN(MOD(A215/Calculator!$F$17,1),1-MOD(A215/Calculator!$F$17,1)),ABS(MOD(A215/Calculator!$F$17,1)-0.5))),1)</f>
        <v>0.0664210526315792</v>
      </c>
      <c r="H215" s="217" t="n">
        <f aca="false">IF(Calculator!$E$18="YES",IF(A215&lt;Calculator!$G$18,0,MIN(MIN(MOD(A215/Calculator!$F$18,1),1-MOD(A215/Calculator!$F$18,1)),ABS(MOD(A215/Calculator!$F$18,1)-0.5))),1)</f>
        <v>1</v>
      </c>
      <c r="I215" s="217" t="n">
        <f aca="false">IF(Calculator!$E$19="YES",IF(A215&lt;Calculator!$G$19,0,MIN(MIN(MOD(A215/Calculator!$F$19,1),1-MOD(A215/Calculator!$F$19,1)),ABS(MOD(A215/Calculator!$F$19,1)-0.5))),1)</f>
        <v>1</v>
      </c>
      <c r="J215" s="217" t="n">
        <f aca="false">IF(Calculator!$E$20="YES",IF(A215&lt;Calculator!$G$20,0,MIN(MIN(MOD(A215/Calculator!$F$20,1),1-MOD(A215/Calculator!$F$20,1)),ABS(MOD(A215/Calculator!$F$20,1)-0.5))),1)</f>
        <v>1</v>
      </c>
      <c r="K215" s="217" t="n">
        <f aca="false">IF(Calculator!$E$21="YES",IF(A215&lt;Calculator!$G$21,0,MIN(MIN(MOD(A215/Calculator!$F$21,1),1-MOD(A215/Calculator!$F$21,1)),ABS(MOD(A215/Calculator!$F$21,1)-0.5))),1)</f>
        <v>0.223368421052632</v>
      </c>
      <c r="L215" s="217" t="n">
        <f aca="false">IF(Calculator!$E$22="YES",IF(A215&lt;Calculator!$G$22,0,MIN(MIN(MOD(A215/Calculator!$F$22,1),1-MOD(A215/Calculator!$F$22,1)),ABS(MOD(A215/Calculator!$F$22,1)-0.5))),1)</f>
        <v>1</v>
      </c>
      <c r="M215" s="217" t="n">
        <f aca="false">MIN(B215:L215)</f>
        <v>0.0664210526315792</v>
      </c>
      <c r="N215" s="217" t="n">
        <f aca="false">SUMPRODUCT(($M$7:$M$557&gt;M215)*1)+SUMPRODUCT(($M$7:$M$557=M215)*(ROW($M$7:$M$557)&lt;ROW(M215)))+1</f>
        <v>221</v>
      </c>
      <c r="O215" s="217" t="str">
        <f aca="false">IF(M215&gt;=0.2,"★★★ EXCELLENT",IF(M215&gt;=0.12,"★★  GOOD",IF(M215&gt;=0.07,"★  FAIR",IF(M215&gt;=0.025,"⚠  MARGINAL","✗  AVOID"))))</f>
        <v>⚠  MARGINAL</v>
      </c>
    </row>
    <row r="216" customFormat="false" ht="15" hidden="false" customHeight="true" outlineLevel="0" collapsed="false">
      <c r="A216" s="218" t="n">
        <v>25.9</v>
      </c>
      <c r="B216" s="219" t="n">
        <f aca="false">IF(Calculator!$E$12="YES",IF(A216&lt;Calculator!$G$12,0,MIN(MIN(MOD(A216/Calculator!$F$12,1),1-MOD(A216/Calculator!$F$12,1)),ABS(MOD(A216/Calculator!$F$12,1)-0.5))),1)</f>
        <v>1</v>
      </c>
      <c r="C216" s="219" t="n">
        <f aca="false">IF(Calculator!$E$13="YES",IF(A216&lt;Calculator!$G$13,0,MIN(MIN(MOD(A216/Calculator!$F$13,1),1-MOD(A216/Calculator!$F$13,1)),ABS(MOD(A216/Calculator!$F$13,1)-0.5))),1)</f>
        <v>1</v>
      </c>
      <c r="D216" s="219" t="n">
        <f aca="false">IF(Calculator!$E$14="YES",IF(A216&lt;Calculator!$G$14,0,MIN(MIN(MOD(A216/Calculator!$F$14,1),1-MOD(A216/Calculator!$F$14,1)),ABS(MOD(A216/Calculator!$F$14,1)-0.5))),1)</f>
        <v>1</v>
      </c>
      <c r="E216" s="219" t="n">
        <f aca="false">IF(Calculator!$E$15="YES",IF(A216&lt;Calculator!$G$15,0,MIN(MIN(MOD(A216/Calculator!$F$15,1),1-MOD(A216/Calculator!$F$15,1)),ABS(MOD(A216/Calculator!$F$15,1)-0.5))),1)</f>
        <v>0.200456140350877</v>
      </c>
      <c r="F216" s="219" t="n">
        <f aca="false">IF(Calculator!$E$16="YES",IF(A216&lt;Calculator!$G$16,0,MIN(MIN(MOD(A216/Calculator!$F$16,1),1-MOD(A216/Calculator!$F$16,1)),ABS(MOD(A216/Calculator!$F$16,1)-0.5))),1)</f>
        <v>1</v>
      </c>
      <c r="G216" s="219" t="n">
        <f aca="false">IF(Calculator!$E$17="YES",IF(A216&lt;Calculator!$G$17,0,MIN(MIN(MOD(A216/Calculator!$F$17,1),1-MOD(A216/Calculator!$F$17,1)),ABS(MOD(A216/Calculator!$F$17,1)-0.5))),1)</f>
        <v>0.0763684210526314</v>
      </c>
      <c r="H216" s="219" t="n">
        <f aca="false">IF(Calculator!$E$18="YES",IF(A216&lt;Calculator!$G$18,0,MIN(MIN(MOD(A216/Calculator!$F$18,1),1-MOD(A216/Calculator!$F$18,1)),ABS(MOD(A216/Calculator!$F$18,1)-0.5))),1)</f>
        <v>1</v>
      </c>
      <c r="I216" s="219" t="n">
        <f aca="false">IF(Calculator!$E$19="YES",IF(A216&lt;Calculator!$G$19,0,MIN(MIN(MOD(A216/Calculator!$F$19,1),1-MOD(A216/Calculator!$F$19,1)),ABS(MOD(A216/Calculator!$F$19,1)-0.5))),1)</f>
        <v>1</v>
      </c>
      <c r="J216" s="219" t="n">
        <f aca="false">IF(Calculator!$E$20="YES",IF(A216&lt;Calculator!$G$20,0,MIN(MIN(MOD(A216/Calculator!$F$20,1),1-MOD(A216/Calculator!$F$20,1)),ABS(MOD(A216/Calculator!$F$20,1)-0.5))),1)</f>
        <v>1</v>
      </c>
      <c r="K216" s="219" t="n">
        <f aca="false">IF(Calculator!$E$21="YES",IF(A216&lt;Calculator!$G$21,0,MIN(MIN(MOD(A216/Calculator!$F$21,1),1-MOD(A216/Calculator!$F$21,1)),ABS(MOD(A216/Calculator!$F$21,1)-0.5))),1)</f>
        <v>0.243614035087719</v>
      </c>
      <c r="L216" s="219" t="n">
        <f aca="false">IF(Calculator!$E$22="YES",IF(A216&lt;Calculator!$G$22,0,MIN(MIN(MOD(A216/Calculator!$F$22,1),1-MOD(A216/Calculator!$F$22,1)),ABS(MOD(A216/Calculator!$F$22,1)-0.5))),1)</f>
        <v>1</v>
      </c>
      <c r="M216" s="219" t="n">
        <f aca="false">MIN(B216:L216)</f>
        <v>0.0763684210526314</v>
      </c>
      <c r="N216" s="219" t="n">
        <f aca="false">SUMPRODUCT(($M$7:$M$557&gt;M216)*1)+SUMPRODUCT(($M$7:$M$557=M216)*(ROW($M$7:$M$557)&lt;ROW(M216)))+1</f>
        <v>182</v>
      </c>
      <c r="O216" s="219" t="str">
        <f aca="false">IF(M216&gt;=0.2,"★★★ EXCELLENT",IF(M216&gt;=0.12,"★★  GOOD",IF(M216&gt;=0.07,"★  FAIR",IF(M216&gt;=0.025,"⚠  MARGINAL","✗  AVOID"))))</f>
        <v>★  FAIR</v>
      </c>
    </row>
    <row r="217" customFormat="false" ht="15" hidden="false" customHeight="true" outlineLevel="0" collapsed="false">
      <c r="A217" s="216" t="n">
        <v>26</v>
      </c>
      <c r="B217" s="217" t="n">
        <f aca="false">IF(Calculator!$E$12="YES",IF(A217&lt;Calculator!$G$12,0,MIN(MIN(MOD(A217/Calculator!$F$12,1),1-MOD(A217/Calculator!$F$12,1)),ABS(MOD(A217/Calculator!$F$12,1)-0.5))),1)</f>
        <v>1</v>
      </c>
      <c r="C217" s="217" t="n">
        <f aca="false">IF(Calculator!$E$13="YES",IF(A217&lt;Calculator!$G$13,0,MIN(MIN(MOD(A217/Calculator!$F$13,1),1-MOD(A217/Calculator!$F$13,1)),ABS(MOD(A217/Calculator!$F$13,1)-0.5))),1)</f>
        <v>1</v>
      </c>
      <c r="D217" s="217" t="n">
        <f aca="false">IF(Calculator!$E$14="YES",IF(A217&lt;Calculator!$G$14,0,MIN(MIN(MOD(A217/Calculator!$F$14,1),1-MOD(A217/Calculator!$F$14,1)),ABS(MOD(A217/Calculator!$F$14,1)-0.5))),1)</f>
        <v>1</v>
      </c>
      <c r="E217" s="217" t="n">
        <f aca="false">IF(Calculator!$E$15="YES",IF(A217&lt;Calculator!$G$15,0,MIN(MIN(MOD(A217/Calculator!$F$15,1),1-MOD(A217/Calculator!$F$15,1)),ABS(MOD(A217/Calculator!$F$15,1)-0.5))),1)</f>
        <v>0.195438596491228</v>
      </c>
      <c r="F217" s="217" t="n">
        <f aca="false">IF(Calculator!$E$16="YES",IF(A217&lt;Calculator!$G$16,0,MIN(MIN(MOD(A217/Calculator!$F$16,1),1-MOD(A217/Calculator!$F$16,1)),ABS(MOD(A217/Calculator!$F$16,1)-0.5))),1)</f>
        <v>1</v>
      </c>
      <c r="G217" s="217" t="n">
        <f aca="false">IF(Calculator!$E$17="YES",IF(A217&lt;Calculator!$G$17,0,MIN(MIN(MOD(A217/Calculator!$F$17,1),1-MOD(A217/Calculator!$F$17,1)),ABS(MOD(A217/Calculator!$F$17,1)-0.5))),1)</f>
        <v>0.0863157894736846</v>
      </c>
      <c r="H217" s="217" t="n">
        <f aca="false">IF(Calculator!$E$18="YES",IF(A217&lt;Calculator!$G$18,0,MIN(MIN(MOD(A217/Calculator!$F$18,1),1-MOD(A217/Calculator!$F$18,1)),ABS(MOD(A217/Calculator!$F$18,1)-0.5))),1)</f>
        <v>1</v>
      </c>
      <c r="I217" s="217" t="n">
        <f aca="false">IF(Calculator!$E$19="YES",IF(A217&lt;Calculator!$G$19,0,MIN(MIN(MOD(A217/Calculator!$F$19,1),1-MOD(A217/Calculator!$F$19,1)),ABS(MOD(A217/Calculator!$F$19,1)-0.5))),1)</f>
        <v>1</v>
      </c>
      <c r="J217" s="217" t="n">
        <f aca="false">IF(Calculator!$E$20="YES",IF(A217&lt;Calculator!$G$20,0,MIN(MIN(MOD(A217/Calculator!$F$20,1),1-MOD(A217/Calculator!$F$20,1)),ABS(MOD(A217/Calculator!$F$20,1)-0.5))),1)</f>
        <v>1</v>
      </c>
      <c r="K217" s="217" t="n">
        <f aca="false">IF(Calculator!$E$21="YES",IF(A217&lt;Calculator!$G$21,0,MIN(MIN(MOD(A217/Calculator!$F$21,1),1-MOD(A217/Calculator!$F$21,1)),ABS(MOD(A217/Calculator!$F$21,1)-0.5))),1)</f>
        <v>0.236140350877193</v>
      </c>
      <c r="L217" s="217" t="n">
        <f aca="false">IF(Calculator!$E$22="YES",IF(A217&lt;Calculator!$G$22,0,MIN(MIN(MOD(A217/Calculator!$F$22,1),1-MOD(A217/Calculator!$F$22,1)),ABS(MOD(A217/Calculator!$F$22,1)-0.5))),1)</f>
        <v>1</v>
      </c>
      <c r="M217" s="217" t="n">
        <f aca="false">MIN(B217:L217)</f>
        <v>0.0863157894736846</v>
      </c>
      <c r="N217" s="217" t="n">
        <f aca="false">SUMPRODUCT(($M$7:$M$557&gt;M217)*1)+SUMPRODUCT(($M$7:$M$557=M217)*(ROW($M$7:$M$557)&lt;ROW(M217)))+1</f>
        <v>147</v>
      </c>
      <c r="O217" s="217" t="str">
        <f aca="false">IF(M217&gt;=0.2,"★★★ EXCELLENT",IF(M217&gt;=0.12,"★★  GOOD",IF(M217&gt;=0.07,"★  FAIR",IF(M217&gt;=0.025,"⚠  MARGINAL","✗  AVOID"))))</f>
        <v>★  FAIR</v>
      </c>
    </row>
    <row r="218" customFormat="false" ht="15" hidden="false" customHeight="true" outlineLevel="0" collapsed="false">
      <c r="A218" s="218" t="n">
        <v>26.1</v>
      </c>
      <c r="B218" s="219" t="n">
        <f aca="false">IF(Calculator!$E$12="YES",IF(A218&lt;Calculator!$G$12,0,MIN(MIN(MOD(A218/Calculator!$F$12,1),1-MOD(A218/Calculator!$F$12,1)),ABS(MOD(A218/Calculator!$F$12,1)-0.5))),1)</f>
        <v>1</v>
      </c>
      <c r="C218" s="219" t="n">
        <f aca="false">IF(Calculator!$E$13="YES",IF(A218&lt;Calculator!$G$13,0,MIN(MIN(MOD(A218/Calculator!$F$13,1),1-MOD(A218/Calculator!$F$13,1)),ABS(MOD(A218/Calculator!$F$13,1)-0.5))),1)</f>
        <v>1</v>
      </c>
      <c r="D218" s="219" t="n">
        <f aca="false">IF(Calculator!$E$14="YES",IF(A218&lt;Calculator!$G$14,0,MIN(MIN(MOD(A218/Calculator!$F$14,1),1-MOD(A218/Calculator!$F$14,1)),ABS(MOD(A218/Calculator!$F$14,1)-0.5))),1)</f>
        <v>1</v>
      </c>
      <c r="E218" s="219" t="n">
        <f aca="false">IF(Calculator!$E$15="YES",IF(A218&lt;Calculator!$G$15,0,MIN(MIN(MOD(A218/Calculator!$F$15,1),1-MOD(A218/Calculator!$F$15,1)),ABS(MOD(A218/Calculator!$F$15,1)-0.5))),1)</f>
        <v>0.190421052631579</v>
      </c>
      <c r="F218" s="219" t="n">
        <f aca="false">IF(Calculator!$E$16="YES",IF(A218&lt;Calculator!$G$16,0,MIN(MIN(MOD(A218/Calculator!$F$16,1),1-MOD(A218/Calculator!$F$16,1)),ABS(MOD(A218/Calculator!$F$16,1)-0.5))),1)</f>
        <v>1</v>
      </c>
      <c r="G218" s="219" t="n">
        <f aca="false">IF(Calculator!$E$17="YES",IF(A218&lt;Calculator!$G$17,0,MIN(MIN(MOD(A218/Calculator!$F$17,1),1-MOD(A218/Calculator!$F$17,1)),ABS(MOD(A218/Calculator!$F$17,1)-0.5))),1)</f>
        <v>0.0962631578947373</v>
      </c>
      <c r="H218" s="219" t="n">
        <f aca="false">IF(Calculator!$E$18="YES",IF(A218&lt;Calculator!$G$18,0,MIN(MIN(MOD(A218/Calculator!$F$18,1),1-MOD(A218/Calculator!$F$18,1)),ABS(MOD(A218/Calculator!$F$18,1)-0.5))),1)</f>
        <v>1</v>
      </c>
      <c r="I218" s="219" t="n">
        <f aca="false">IF(Calculator!$E$19="YES",IF(A218&lt;Calculator!$G$19,0,MIN(MIN(MOD(A218/Calculator!$F$19,1),1-MOD(A218/Calculator!$F$19,1)),ABS(MOD(A218/Calculator!$F$19,1)-0.5))),1)</f>
        <v>1</v>
      </c>
      <c r="J218" s="219" t="n">
        <f aca="false">IF(Calculator!$E$20="YES",IF(A218&lt;Calculator!$G$20,0,MIN(MIN(MOD(A218/Calculator!$F$20,1),1-MOD(A218/Calculator!$F$20,1)),ABS(MOD(A218/Calculator!$F$20,1)-0.5))),1)</f>
        <v>1</v>
      </c>
      <c r="K218" s="219" t="n">
        <f aca="false">IF(Calculator!$E$21="YES",IF(A218&lt;Calculator!$G$21,0,MIN(MIN(MOD(A218/Calculator!$F$21,1),1-MOD(A218/Calculator!$F$21,1)),ABS(MOD(A218/Calculator!$F$21,1)-0.5))),1)</f>
        <v>0.215894736842105</v>
      </c>
      <c r="L218" s="219" t="n">
        <f aca="false">IF(Calculator!$E$22="YES",IF(A218&lt;Calculator!$G$22,0,MIN(MIN(MOD(A218/Calculator!$F$22,1),1-MOD(A218/Calculator!$F$22,1)),ABS(MOD(A218/Calculator!$F$22,1)-0.5))),1)</f>
        <v>1</v>
      </c>
      <c r="M218" s="219" t="n">
        <f aca="false">MIN(B218:L218)</f>
        <v>0.0962631578947373</v>
      </c>
      <c r="N218" s="219" t="n">
        <f aca="false">SUMPRODUCT(($M$7:$M$557&gt;M218)*1)+SUMPRODUCT(($M$7:$M$557=M218)*(ROW($M$7:$M$557)&lt;ROW(M218)))+1</f>
        <v>115</v>
      </c>
      <c r="O218" s="219" t="str">
        <f aca="false">IF(M218&gt;=0.2,"★★★ EXCELLENT",IF(M218&gt;=0.12,"★★  GOOD",IF(M218&gt;=0.07,"★  FAIR",IF(M218&gt;=0.025,"⚠  MARGINAL","✗  AVOID"))))</f>
        <v>★  FAIR</v>
      </c>
    </row>
    <row r="219" customFormat="false" ht="15" hidden="false" customHeight="true" outlineLevel="0" collapsed="false">
      <c r="A219" s="216" t="n">
        <v>26.2</v>
      </c>
      <c r="B219" s="217" t="n">
        <f aca="false">IF(Calculator!$E$12="YES",IF(A219&lt;Calculator!$G$12,0,MIN(MIN(MOD(A219/Calculator!$F$12,1),1-MOD(A219/Calculator!$F$12,1)),ABS(MOD(A219/Calculator!$F$12,1)-0.5))),1)</f>
        <v>1</v>
      </c>
      <c r="C219" s="217" t="n">
        <f aca="false">IF(Calculator!$E$13="YES",IF(A219&lt;Calculator!$G$13,0,MIN(MIN(MOD(A219/Calculator!$F$13,1),1-MOD(A219/Calculator!$F$13,1)),ABS(MOD(A219/Calculator!$F$13,1)-0.5))),1)</f>
        <v>1</v>
      </c>
      <c r="D219" s="217" t="n">
        <f aca="false">IF(Calculator!$E$14="YES",IF(A219&lt;Calculator!$G$14,0,MIN(MIN(MOD(A219/Calculator!$F$14,1),1-MOD(A219/Calculator!$F$14,1)),ABS(MOD(A219/Calculator!$F$14,1)-0.5))),1)</f>
        <v>1</v>
      </c>
      <c r="E219" s="217" t="n">
        <f aca="false">IF(Calculator!$E$15="YES",IF(A219&lt;Calculator!$G$15,0,MIN(MIN(MOD(A219/Calculator!$F$15,1),1-MOD(A219/Calculator!$F$15,1)),ABS(MOD(A219/Calculator!$F$15,1)-0.5))),1)</f>
        <v>0.18540350877193</v>
      </c>
      <c r="F219" s="217" t="n">
        <f aca="false">IF(Calculator!$E$16="YES",IF(A219&lt;Calculator!$G$16,0,MIN(MIN(MOD(A219/Calculator!$F$16,1),1-MOD(A219/Calculator!$F$16,1)),ABS(MOD(A219/Calculator!$F$16,1)-0.5))),1)</f>
        <v>1</v>
      </c>
      <c r="G219" s="217" t="n">
        <f aca="false">IF(Calculator!$E$17="YES",IF(A219&lt;Calculator!$G$17,0,MIN(MIN(MOD(A219/Calculator!$F$17,1),1-MOD(A219/Calculator!$F$17,1)),ABS(MOD(A219/Calculator!$F$17,1)-0.5))),1)</f>
        <v>0.10621052631579</v>
      </c>
      <c r="H219" s="217" t="n">
        <f aca="false">IF(Calculator!$E$18="YES",IF(A219&lt;Calculator!$G$18,0,MIN(MIN(MOD(A219/Calculator!$F$18,1),1-MOD(A219/Calculator!$F$18,1)),ABS(MOD(A219/Calculator!$F$18,1)-0.5))),1)</f>
        <v>1</v>
      </c>
      <c r="I219" s="217" t="n">
        <f aca="false">IF(Calculator!$E$19="YES",IF(A219&lt;Calculator!$G$19,0,MIN(MIN(MOD(A219/Calculator!$F$19,1),1-MOD(A219/Calculator!$F$19,1)),ABS(MOD(A219/Calculator!$F$19,1)-0.5))),1)</f>
        <v>1</v>
      </c>
      <c r="J219" s="217" t="n">
        <f aca="false">IF(Calculator!$E$20="YES",IF(A219&lt;Calculator!$G$20,0,MIN(MIN(MOD(A219/Calculator!$F$20,1),1-MOD(A219/Calculator!$F$20,1)),ABS(MOD(A219/Calculator!$F$20,1)-0.5))),1)</f>
        <v>1</v>
      </c>
      <c r="K219" s="217" t="n">
        <f aca="false">IF(Calculator!$E$21="YES",IF(A219&lt;Calculator!$G$21,0,MIN(MIN(MOD(A219/Calculator!$F$21,1),1-MOD(A219/Calculator!$F$21,1)),ABS(MOD(A219/Calculator!$F$21,1)-0.5))),1)</f>
        <v>0.195649122807017</v>
      </c>
      <c r="L219" s="217" t="n">
        <f aca="false">IF(Calculator!$E$22="YES",IF(A219&lt;Calculator!$G$22,0,MIN(MIN(MOD(A219/Calculator!$F$22,1),1-MOD(A219/Calculator!$F$22,1)),ABS(MOD(A219/Calculator!$F$22,1)-0.5))),1)</f>
        <v>1</v>
      </c>
      <c r="M219" s="217" t="n">
        <f aca="false">MIN(B219:L219)</f>
        <v>0.10621052631579</v>
      </c>
      <c r="N219" s="217" t="n">
        <f aca="false">SUMPRODUCT(($M$7:$M$557&gt;M219)*1)+SUMPRODUCT(($M$7:$M$557=M219)*(ROW($M$7:$M$557)&lt;ROW(M219)))+1</f>
        <v>91</v>
      </c>
      <c r="O219" s="217" t="str">
        <f aca="false">IF(M219&gt;=0.2,"★★★ EXCELLENT",IF(M219&gt;=0.12,"★★  GOOD",IF(M219&gt;=0.07,"★  FAIR",IF(M219&gt;=0.025,"⚠  MARGINAL","✗  AVOID"))))</f>
        <v>★  FAIR</v>
      </c>
    </row>
    <row r="220" customFormat="false" ht="15" hidden="false" customHeight="true" outlineLevel="0" collapsed="false">
      <c r="A220" s="218" t="n">
        <v>26.3</v>
      </c>
      <c r="B220" s="219" t="n">
        <f aca="false">IF(Calculator!$E$12="YES",IF(A220&lt;Calculator!$G$12,0,MIN(MIN(MOD(A220/Calculator!$F$12,1),1-MOD(A220/Calculator!$F$12,1)),ABS(MOD(A220/Calculator!$F$12,1)-0.5))),1)</f>
        <v>1</v>
      </c>
      <c r="C220" s="219" t="n">
        <f aca="false">IF(Calculator!$E$13="YES",IF(A220&lt;Calculator!$G$13,0,MIN(MIN(MOD(A220/Calculator!$F$13,1),1-MOD(A220/Calculator!$F$13,1)),ABS(MOD(A220/Calculator!$F$13,1)-0.5))),1)</f>
        <v>1</v>
      </c>
      <c r="D220" s="219" t="n">
        <f aca="false">IF(Calculator!$E$14="YES",IF(A220&lt;Calculator!$G$14,0,MIN(MIN(MOD(A220/Calculator!$F$14,1),1-MOD(A220/Calculator!$F$14,1)),ABS(MOD(A220/Calculator!$F$14,1)-0.5))),1)</f>
        <v>1</v>
      </c>
      <c r="E220" s="219" t="n">
        <f aca="false">IF(Calculator!$E$15="YES",IF(A220&lt;Calculator!$G$15,0,MIN(MIN(MOD(A220/Calculator!$F$15,1),1-MOD(A220/Calculator!$F$15,1)),ABS(MOD(A220/Calculator!$F$15,1)-0.5))),1)</f>
        <v>0.180385964912281</v>
      </c>
      <c r="F220" s="219" t="n">
        <f aca="false">IF(Calculator!$E$16="YES",IF(A220&lt;Calculator!$G$16,0,MIN(MIN(MOD(A220/Calculator!$F$16,1),1-MOD(A220/Calculator!$F$16,1)),ABS(MOD(A220/Calculator!$F$16,1)-0.5))),1)</f>
        <v>1</v>
      </c>
      <c r="G220" s="219" t="n">
        <f aca="false">IF(Calculator!$E$17="YES",IF(A220&lt;Calculator!$G$17,0,MIN(MIN(MOD(A220/Calculator!$F$17,1),1-MOD(A220/Calculator!$F$17,1)),ABS(MOD(A220/Calculator!$F$17,1)-0.5))),1)</f>
        <v>0.116157894736842</v>
      </c>
      <c r="H220" s="219" t="n">
        <f aca="false">IF(Calculator!$E$18="YES",IF(A220&lt;Calculator!$G$18,0,MIN(MIN(MOD(A220/Calculator!$F$18,1),1-MOD(A220/Calculator!$F$18,1)),ABS(MOD(A220/Calculator!$F$18,1)-0.5))),1)</f>
        <v>1</v>
      </c>
      <c r="I220" s="219" t="n">
        <f aca="false">IF(Calculator!$E$19="YES",IF(A220&lt;Calculator!$G$19,0,MIN(MIN(MOD(A220/Calculator!$F$19,1),1-MOD(A220/Calculator!$F$19,1)),ABS(MOD(A220/Calculator!$F$19,1)-0.5))),1)</f>
        <v>1</v>
      </c>
      <c r="J220" s="219" t="n">
        <f aca="false">IF(Calculator!$E$20="YES",IF(A220&lt;Calculator!$G$20,0,MIN(MIN(MOD(A220/Calculator!$F$20,1),1-MOD(A220/Calculator!$F$20,1)),ABS(MOD(A220/Calculator!$F$20,1)-0.5))),1)</f>
        <v>1</v>
      </c>
      <c r="K220" s="219" t="n">
        <f aca="false">IF(Calculator!$E$21="YES",IF(A220&lt;Calculator!$G$21,0,MIN(MIN(MOD(A220/Calculator!$F$21,1),1-MOD(A220/Calculator!$F$21,1)),ABS(MOD(A220/Calculator!$F$21,1)-0.5))),1)</f>
        <v>0.17540350877193</v>
      </c>
      <c r="L220" s="219" t="n">
        <f aca="false">IF(Calculator!$E$22="YES",IF(A220&lt;Calculator!$G$22,0,MIN(MIN(MOD(A220/Calculator!$F$22,1),1-MOD(A220/Calculator!$F$22,1)),ABS(MOD(A220/Calculator!$F$22,1)-0.5))),1)</f>
        <v>1</v>
      </c>
      <c r="M220" s="219" t="n">
        <f aca="false">MIN(B220:L220)</f>
        <v>0.116157894736842</v>
      </c>
      <c r="N220" s="219" t="n">
        <f aca="false">SUMPRODUCT(($M$7:$M$557&gt;M220)*1)+SUMPRODUCT(($M$7:$M$557=M220)*(ROW($M$7:$M$557)&lt;ROW(M220)))+1</f>
        <v>72</v>
      </c>
      <c r="O220" s="219" t="str">
        <f aca="false">IF(M220&gt;=0.2,"★★★ EXCELLENT",IF(M220&gt;=0.12,"★★  GOOD",IF(M220&gt;=0.07,"★  FAIR",IF(M220&gt;=0.025,"⚠  MARGINAL","✗  AVOID"))))</f>
        <v>★  FAIR</v>
      </c>
    </row>
    <row r="221" customFormat="false" ht="15" hidden="false" customHeight="true" outlineLevel="0" collapsed="false">
      <c r="A221" s="216" t="n">
        <v>26.4</v>
      </c>
      <c r="B221" s="217" t="n">
        <f aca="false">IF(Calculator!$E$12="YES",IF(A221&lt;Calculator!$G$12,0,MIN(MIN(MOD(A221/Calculator!$F$12,1),1-MOD(A221/Calculator!$F$12,1)),ABS(MOD(A221/Calculator!$F$12,1)-0.5))),1)</f>
        <v>1</v>
      </c>
      <c r="C221" s="217" t="n">
        <f aca="false">IF(Calculator!$E$13="YES",IF(A221&lt;Calculator!$G$13,0,MIN(MIN(MOD(A221/Calculator!$F$13,1),1-MOD(A221/Calculator!$F$13,1)),ABS(MOD(A221/Calculator!$F$13,1)-0.5))),1)</f>
        <v>1</v>
      </c>
      <c r="D221" s="217" t="n">
        <f aca="false">IF(Calculator!$E$14="YES",IF(A221&lt;Calculator!$G$14,0,MIN(MIN(MOD(A221/Calculator!$F$14,1),1-MOD(A221/Calculator!$F$14,1)),ABS(MOD(A221/Calculator!$F$14,1)-0.5))),1)</f>
        <v>1</v>
      </c>
      <c r="E221" s="217" t="n">
        <f aca="false">IF(Calculator!$E$15="YES",IF(A221&lt;Calculator!$G$15,0,MIN(MIN(MOD(A221/Calculator!$F$15,1),1-MOD(A221/Calculator!$F$15,1)),ABS(MOD(A221/Calculator!$F$15,1)-0.5))),1)</f>
        <v>0.175368421052632</v>
      </c>
      <c r="F221" s="217" t="n">
        <f aca="false">IF(Calculator!$E$16="YES",IF(A221&lt;Calculator!$G$16,0,MIN(MIN(MOD(A221/Calculator!$F$16,1),1-MOD(A221/Calculator!$F$16,1)),ABS(MOD(A221/Calculator!$F$16,1)-0.5))),1)</f>
        <v>1</v>
      </c>
      <c r="G221" s="217" t="n">
        <f aca="false">IF(Calculator!$E$17="YES",IF(A221&lt;Calculator!$G$17,0,MIN(MIN(MOD(A221/Calculator!$F$17,1),1-MOD(A221/Calculator!$F$17,1)),ABS(MOD(A221/Calculator!$F$17,1)-0.5))),1)</f>
        <v>0.126105263157895</v>
      </c>
      <c r="H221" s="217" t="n">
        <f aca="false">IF(Calculator!$E$18="YES",IF(A221&lt;Calculator!$G$18,0,MIN(MIN(MOD(A221/Calculator!$F$18,1),1-MOD(A221/Calculator!$F$18,1)),ABS(MOD(A221/Calculator!$F$18,1)-0.5))),1)</f>
        <v>1</v>
      </c>
      <c r="I221" s="217" t="n">
        <f aca="false">IF(Calculator!$E$19="YES",IF(A221&lt;Calculator!$G$19,0,MIN(MIN(MOD(A221/Calculator!$F$19,1),1-MOD(A221/Calculator!$F$19,1)),ABS(MOD(A221/Calculator!$F$19,1)-0.5))),1)</f>
        <v>1</v>
      </c>
      <c r="J221" s="217" t="n">
        <f aca="false">IF(Calculator!$E$20="YES",IF(A221&lt;Calculator!$G$20,0,MIN(MIN(MOD(A221/Calculator!$F$20,1),1-MOD(A221/Calculator!$F$20,1)),ABS(MOD(A221/Calculator!$F$20,1)-0.5))),1)</f>
        <v>1</v>
      </c>
      <c r="K221" s="217" t="n">
        <f aca="false">IF(Calculator!$E$21="YES",IF(A221&lt;Calculator!$G$21,0,MIN(MIN(MOD(A221/Calculator!$F$21,1),1-MOD(A221/Calculator!$F$21,1)),ABS(MOD(A221/Calculator!$F$21,1)-0.5))),1)</f>
        <v>0.155157894736843</v>
      </c>
      <c r="L221" s="217" t="n">
        <f aca="false">IF(Calculator!$E$22="YES",IF(A221&lt;Calculator!$G$22,0,MIN(MIN(MOD(A221/Calculator!$F$22,1),1-MOD(A221/Calculator!$F$22,1)),ABS(MOD(A221/Calculator!$F$22,1)-0.5))),1)</f>
        <v>1</v>
      </c>
      <c r="M221" s="217" t="n">
        <f aca="false">MIN(B221:L221)</f>
        <v>0.126105263157895</v>
      </c>
      <c r="N221" s="217" t="n">
        <f aca="false">SUMPRODUCT(($M$7:$M$557&gt;M221)*1)+SUMPRODUCT(($M$7:$M$557=M221)*(ROW($M$7:$M$557)&lt;ROW(M221)))+1</f>
        <v>61</v>
      </c>
      <c r="O221" s="217" t="str">
        <f aca="false">IF(M221&gt;=0.2,"★★★ EXCELLENT",IF(M221&gt;=0.12,"★★  GOOD",IF(M221&gt;=0.07,"★  FAIR",IF(M221&gt;=0.025,"⚠  MARGINAL","✗  AVOID"))))</f>
        <v>★★  GOOD</v>
      </c>
    </row>
    <row r="222" customFormat="false" ht="15" hidden="false" customHeight="true" outlineLevel="0" collapsed="false">
      <c r="A222" s="218" t="n">
        <v>26.5</v>
      </c>
      <c r="B222" s="219" t="n">
        <f aca="false">IF(Calculator!$E$12="YES",IF(A222&lt;Calculator!$G$12,0,MIN(MIN(MOD(A222/Calculator!$F$12,1),1-MOD(A222/Calculator!$F$12,1)),ABS(MOD(A222/Calculator!$F$12,1)-0.5))),1)</f>
        <v>1</v>
      </c>
      <c r="C222" s="219" t="n">
        <f aca="false">IF(Calculator!$E$13="YES",IF(A222&lt;Calculator!$G$13,0,MIN(MIN(MOD(A222/Calculator!$F$13,1),1-MOD(A222/Calculator!$F$13,1)),ABS(MOD(A222/Calculator!$F$13,1)-0.5))),1)</f>
        <v>1</v>
      </c>
      <c r="D222" s="219" t="n">
        <f aca="false">IF(Calculator!$E$14="YES",IF(A222&lt;Calculator!$G$14,0,MIN(MIN(MOD(A222/Calculator!$F$14,1),1-MOD(A222/Calculator!$F$14,1)),ABS(MOD(A222/Calculator!$F$14,1)-0.5))),1)</f>
        <v>1</v>
      </c>
      <c r="E222" s="219" t="n">
        <f aca="false">IF(Calculator!$E$15="YES",IF(A222&lt;Calculator!$G$15,0,MIN(MIN(MOD(A222/Calculator!$F$15,1),1-MOD(A222/Calculator!$F$15,1)),ABS(MOD(A222/Calculator!$F$15,1)-0.5))),1)</f>
        <v>0.170350877192982</v>
      </c>
      <c r="F222" s="219" t="n">
        <f aca="false">IF(Calculator!$E$16="YES",IF(A222&lt;Calculator!$G$16,0,MIN(MIN(MOD(A222/Calculator!$F$16,1),1-MOD(A222/Calculator!$F$16,1)),ABS(MOD(A222/Calculator!$F$16,1)-0.5))),1)</f>
        <v>1</v>
      </c>
      <c r="G222" s="219" t="n">
        <f aca="false">IF(Calculator!$E$17="YES",IF(A222&lt;Calculator!$G$17,0,MIN(MIN(MOD(A222/Calculator!$F$17,1),1-MOD(A222/Calculator!$F$17,1)),ABS(MOD(A222/Calculator!$F$17,1)-0.5))),1)</f>
        <v>0.136052631578948</v>
      </c>
      <c r="H222" s="219" t="n">
        <f aca="false">IF(Calculator!$E$18="YES",IF(A222&lt;Calculator!$G$18,0,MIN(MIN(MOD(A222/Calculator!$F$18,1),1-MOD(A222/Calculator!$F$18,1)),ABS(MOD(A222/Calculator!$F$18,1)-0.5))),1)</f>
        <v>1</v>
      </c>
      <c r="I222" s="219" t="n">
        <f aca="false">IF(Calculator!$E$19="YES",IF(A222&lt;Calculator!$G$19,0,MIN(MIN(MOD(A222/Calculator!$F$19,1),1-MOD(A222/Calculator!$F$19,1)),ABS(MOD(A222/Calculator!$F$19,1)-0.5))),1)</f>
        <v>1</v>
      </c>
      <c r="J222" s="219" t="n">
        <f aca="false">IF(Calculator!$E$20="YES",IF(A222&lt;Calculator!$G$20,0,MIN(MIN(MOD(A222/Calculator!$F$20,1),1-MOD(A222/Calculator!$F$20,1)),ABS(MOD(A222/Calculator!$F$20,1)-0.5))),1)</f>
        <v>1</v>
      </c>
      <c r="K222" s="219" t="n">
        <f aca="false">IF(Calculator!$E$21="YES",IF(A222&lt;Calculator!$G$21,0,MIN(MIN(MOD(A222/Calculator!$F$21,1),1-MOD(A222/Calculator!$F$21,1)),ABS(MOD(A222/Calculator!$F$21,1)-0.5))),1)</f>
        <v>0.134912280701754</v>
      </c>
      <c r="L222" s="219" t="n">
        <f aca="false">IF(Calculator!$E$22="YES",IF(A222&lt;Calculator!$G$22,0,MIN(MIN(MOD(A222/Calculator!$F$22,1),1-MOD(A222/Calculator!$F$22,1)),ABS(MOD(A222/Calculator!$F$22,1)-0.5))),1)</f>
        <v>1</v>
      </c>
      <c r="M222" s="219" t="n">
        <f aca="false">MIN(B222:L222)</f>
        <v>0.134912280701754</v>
      </c>
      <c r="N222" s="219" t="n">
        <f aca="false">SUMPRODUCT(($M$7:$M$557&gt;M222)*1)+SUMPRODUCT(($M$7:$M$557=M222)*(ROW($M$7:$M$557)&lt;ROW(M222)))+1</f>
        <v>52</v>
      </c>
      <c r="O222" s="219" t="str">
        <f aca="false">IF(M222&gt;=0.2,"★★★ EXCELLENT",IF(M222&gt;=0.12,"★★  GOOD",IF(M222&gt;=0.07,"★  FAIR",IF(M222&gt;=0.025,"⚠  MARGINAL","✗  AVOID"))))</f>
        <v>★★  GOOD</v>
      </c>
    </row>
    <row r="223" customFormat="false" ht="15" hidden="false" customHeight="true" outlineLevel="0" collapsed="false">
      <c r="A223" s="216" t="n">
        <v>26.6</v>
      </c>
      <c r="B223" s="217" t="n">
        <f aca="false">IF(Calculator!$E$12="YES",IF(A223&lt;Calculator!$G$12,0,MIN(MIN(MOD(A223/Calculator!$F$12,1),1-MOD(A223/Calculator!$F$12,1)),ABS(MOD(A223/Calculator!$F$12,1)-0.5))),1)</f>
        <v>1</v>
      </c>
      <c r="C223" s="217" t="n">
        <f aca="false">IF(Calculator!$E$13="YES",IF(A223&lt;Calculator!$G$13,0,MIN(MIN(MOD(A223/Calculator!$F$13,1),1-MOD(A223/Calculator!$F$13,1)),ABS(MOD(A223/Calculator!$F$13,1)-0.5))),1)</f>
        <v>1</v>
      </c>
      <c r="D223" s="217" t="n">
        <f aca="false">IF(Calculator!$E$14="YES",IF(A223&lt;Calculator!$G$14,0,MIN(MIN(MOD(A223/Calculator!$F$14,1),1-MOD(A223/Calculator!$F$14,1)),ABS(MOD(A223/Calculator!$F$14,1)-0.5))),1)</f>
        <v>1</v>
      </c>
      <c r="E223" s="217" t="n">
        <f aca="false">IF(Calculator!$E$15="YES",IF(A223&lt;Calculator!$G$15,0,MIN(MIN(MOD(A223/Calculator!$F$15,1),1-MOD(A223/Calculator!$F$15,1)),ABS(MOD(A223/Calculator!$F$15,1)-0.5))),1)</f>
        <v>0.165333333333333</v>
      </c>
      <c r="F223" s="217" t="n">
        <f aca="false">IF(Calculator!$E$16="YES",IF(A223&lt;Calculator!$G$16,0,MIN(MIN(MOD(A223/Calculator!$F$16,1),1-MOD(A223/Calculator!$F$16,1)),ABS(MOD(A223/Calculator!$F$16,1)-0.5))),1)</f>
        <v>1</v>
      </c>
      <c r="G223" s="217" t="n">
        <f aca="false">IF(Calculator!$E$17="YES",IF(A223&lt;Calculator!$G$17,0,MIN(MIN(MOD(A223/Calculator!$F$17,1),1-MOD(A223/Calculator!$F$17,1)),ABS(MOD(A223/Calculator!$F$17,1)-0.5))),1)</f>
        <v>0.146</v>
      </c>
      <c r="H223" s="217" t="n">
        <f aca="false">IF(Calculator!$E$18="YES",IF(A223&lt;Calculator!$G$18,0,MIN(MIN(MOD(A223/Calculator!$F$18,1),1-MOD(A223/Calculator!$F$18,1)),ABS(MOD(A223/Calculator!$F$18,1)-0.5))),1)</f>
        <v>1</v>
      </c>
      <c r="I223" s="217" t="n">
        <f aca="false">IF(Calculator!$E$19="YES",IF(A223&lt;Calculator!$G$19,0,MIN(MIN(MOD(A223/Calculator!$F$19,1),1-MOD(A223/Calculator!$F$19,1)),ABS(MOD(A223/Calculator!$F$19,1)-0.5))),1)</f>
        <v>1</v>
      </c>
      <c r="J223" s="217" t="n">
        <f aca="false">IF(Calculator!$E$20="YES",IF(A223&lt;Calculator!$G$20,0,MIN(MIN(MOD(A223/Calculator!$F$20,1),1-MOD(A223/Calculator!$F$20,1)),ABS(MOD(A223/Calculator!$F$20,1)-0.5))),1)</f>
        <v>1</v>
      </c>
      <c r="K223" s="217" t="n">
        <f aca="false">IF(Calculator!$E$21="YES",IF(A223&lt;Calculator!$G$21,0,MIN(MIN(MOD(A223/Calculator!$F$21,1),1-MOD(A223/Calculator!$F$21,1)),ABS(MOD(A223/Calculator!$F$21,1)-0.5))),1)</f>
        <v>0.114666666666666</v>
      </c>
      <c r="L223" s="217" t="n">
        <f aca="false">IF(Calculator!$E$22="YES",IF(A223&lt;Calculator!$G$22,0,MIN(MIN(MOD(A223/Calculator!$F$22,1),1-MOD(A223/Calculator!$F$22,1)),ABS(MOD(A223/Calculator!$F$22,1)-0.5))),1)</f>
        <v>1</v>
      </c>
      <c r="M223" s="217" t="n">
        <f aca="false">MIN(B223:L223)</f>
        <v>0.114666666666666</v>
      </c>
      <c r="N223" s="217" t="n">
        <f aca="false">SUMPRODUCT(($M$7:$M$557&gt;M223)*1)+SUMPRODUCT(($M$7:$M$557=M223)*(ROW($M$7:$M$557)&lt;ROW(M223)))+1</f>
        <v>75</v>
      </c>
      <c r="O223" s="217" t="str">
        <f aca="false">IF(M223&gt;=0.2,"★★★ EXCELLENT",IF(M223&gt;=0.12,"★★  GOOD",IF(M223&gt;=0.07,"★  FAIR",IF(M223&gt;=0.025,"⚠  MARGINAL","✗  AVOID"))))</f>
        <v>★  FAIR</v>
      </c>
    </row>
    <row r="224" customFormat="false" ht="15" hidden="false" customHeight="true" outlineLevel="0" collapsed="false">
      <c r="A224" s="218" t="n">
        <v>26.7</v>
      </c>
      <c r="B224" s="219" t="n">
        <f aca="false">IF(Calculator!$E$12="YES",IF(A224&lt;Calculator!$G$12,0,MIN(MIN(MOD(A224/Calculator!$F$12,1),1-MOD(A224/Calculator!$F$12,1)),ABS(MOD(A224/Calculator!$F$12,1)-0.5))),1)</f>
        <v>1</v>
      </c>
      <c r="C224" s="219" t="n">
        <f aca="false">IF(Calculator!$E$13="YES",IF(A224&lt;Calculator!$G$13,0,MIN(MIN(MOD(A224/Calculator!$F$13,1),1-MOD(A224/Calculator!$F$13,1)),ABS(MOD(A224/Calculator!$F$13,1)-0.5))),1)</f>
        <v>1</v>
      </c>
      <c r="D224" s="219" t="n">
        <f aca="false">IF(Calculator!$E$14="YES",IF(A224&lt;Calculator!$G$14,0,MIN(MIN(MOD(A224/Calculator!$F$14,1),1-MOD(A224/Calculator!$F$14,1)),ABS(MOD(A224/Calculator!$F$14,1)-0.5))),1)</f>
        <v>1</v>
      </c>
      <c r="E224" s="219" t="n">
        <f aca="false">IF(Calculator!$E$15="YES",IF(A224&lt;Calculator!$G$15,0,MIN(MIN(MOD(A224/Calculator!$F$15,1),1-MOD(A224/Calculator!$F$15,1)),ABS(MOD(A224/Calculator!$F$15,1)-0.5))),1)</f>
        <v>0.160315789473684</v>
      </c>
      <c r="F224" s="219" t="n">
        <f aca="false">IF(Calculator!$E$16="YES",IF(A224&lt;Calculator!$G$16,0,MIN(MIN(MOD(A224/Calculator!$F$16,1),1-MOD(A224/Calculator!$F$16,1)),ABS(MOD(A224/Calculator!$F$16,1)-0.5))),1)</f>
        <v>1</v>
      </c>
      <c r="G224" s="219" t="n">
        <f aca="false">IF(Calculator!$E$17="YES",IF(A224&lt;Calculator!$G$17,0,MIN(MIN(MOD(A224/Calculator!$F$17,1),1-MOD(A224/Calculator!$F$17,1)),ABS(MOD(A224/Calculator!$F$17,1)-0.5))),1)</f>
        <v>0.155947368421053</v>
      </c>
      <c r="H224" s="219" t="n">
        <f aca="false">IF(Calculator!$E$18="YES",IF(A224&lt;Calculator!$G$18,0,MIN(MIN(MOD(A224/Calculator!$F$18,1),1-MOD(A224/Calculator!$F$18,1)),ABS(MOD(A224/Calculator!$F$18,1)-0.5))),1)</f>
        <v>1</v>
      </c>
      <c r="I224" s="219" t="n">
        <f aca="false">IF(Calculator!$E$19="YES",IF(A224&lt;Calculator!$G$19,0,MIN(MIN(MOD(A224/Calculator!$F$19,1),1-MOD(A224/Calculator!$F$19,1)),ABS(MOD(A224/Calculator!$F$19,1)-0.5))),1)</f>
        <v>1</v>
      </c>
      <c r="J224" s="219" t="n">
        <f aca="false">IF(Calculator!$E$20="YES",IF(A224&lt;Calculator!$G$20,0,MIN(MIN(MOD(A224/Calculator!$F$20,1),1-MOD(A224/Calculator!$F$20,1)),ABS(MOD(A224/Calculator!$F$20,1)-0.5))),1)</f>
        <v>1</v>
      </c>
      <c r="K224" s="219" t="n">
        <f aca="false">IF(Calculator!$E$21="YES",IF(A224&lt;Calculator!$G$21,0,MIN(MIN(MOD(A224/Calculator!$F$21,1),1-MOD(A224/Calculator!$F$21,1)),ABS(MOD(A224/Calculator!$F$21,1)-0.5))),1)</f>
        <v>0.0944210526315787</v>
      </c>
      <c r="L224" s="219" t="n">
        <f aca="false">IF(Calculator!$E$22="YES",IF(A224&lt;Calculator!$G$22,0,MIN(MIN(MOD(A224/Calculator!$F$22,1),1-MOD(A224/Calculator!$F$22,1)),ABS(MOD(A224/Calculator!$F$22,1)-0.5))),1)</f>
        <v>1</v>
      </c>
      <c r="M224" s="219" t="n">
        <f aca="false">MIN(B224:L224)</f>
        <v>0.0944210526315787</v>
      </c>
      <c r="N224" s="219" t="n">
        <f aca="false">SUMPRODUCT(($M$7:$M$557&gt;M224)*1)+SUMPRODUCT(($M$7:$M$557=M224)*(ROW($M$7:$M$557)&lt;ROW(M224)))+1</f>
        <v>121</v>
      </c>
      <c r="O224" s="219" t="str">
        <f aca="false">IF(M224&gt;=0.2,"★★★ EXCELLENT",IF(M224&gt;=0.12,"★★  GOOD",IF(M224&gt;=0.07,"★  FAIR",IF(M224&gt;=0.025,"⚠  MARGINAL","✗  AVOID"))))</f>
        <v>★  FAIR</v>
      </c>
    </row>
    <row r="225" customFormat="false" ht="15" hidden="false" customHeight="true" outlineLevel="0" collapsed="false">
      <c r="A225" s="216" t="n">
        <v>26.8</v>
      </c>
      <c r="B225" s="217" t="n">
        <f aca="false">IF(Calculator!$E$12="YES",IF(A225&lt;Calculator!$G$12,0,MIN(MIN(MOD(A225/Calculator!$F$12,1),1-MOD(A225/Calculator!$F$12,1)),ABS(MOD(A225/Calculator!$F$12,1)-0.5))),1)</f>
        <v>1</v>
      </c>
      <c r="C225" s="217" t="n">
        <f aca="false">IF(Calculator!$E$13="YES",IF(A225&lt;Calculator!$G$13,0,MIN(MIN(MOD(A225/Calculator!$F$13,1),1-MOD(A225/Calculator!$F$13,1)),ABS(MOD(A225/Calculator!$F$13,1)-0.5))),1)</f>
        <v>1</v>
      </c>
      <c r="D225" s="217" t="n">
        <f aca="false">IF(Calculator!$E$14="YES",IF(A225&lt;Calculator!$G$14,0,MIN(MIN(MOD(A225/Calculator!$F$14,1),1-MOD(A225/Calculator!$F$14,1)),ABS(MOD(A225/Calculator!$F$14,1)-0.5))),1)</f>
        <v>1</v>
      </c>
      <c r="E225" s="217" t="n">
        <f aca="false">IF(Calculator!$E$15="YES",IF(A225&lt;Calculator!$G$15,0,MIN(MIN(MOD(A225/Calculator!$F$15,1),1-MOD(A225/Calculator!$F$15,1)),ABS(MOD(A225/Calculator!$F$15,1)-0.5))),1)</f>
        <v>0.155298245614035</v>
      </c>
      <c r="F225" s="217" t="n">
        <f aca="false">IF(Calculator!$E$16="YES",IF(A225&lt;Calculator!$G$16,0,MIN(MIN(MOD(A225/Calculator!$F$16,1),1-MOD(A225/Calculator!$F$16,1)),ABS(MOD(A225/Calculator!$F$16,1)-0.5))),1)</f>
        <v>1</v>
      </c>
      <c r="G225" s="217" t="n">
        <f aca="false">IF(Calculator!$E$17="YES",IF(A225&lt;Calculator!$G$17,0,MIN(MIN(MOD(A225/Calculator!$F$17,1),1-MOD(A225/Calculator!$F$17,1)),ABS(MOD(A225/Calculator!$F$17,1)-0.5))),1)</f>
        <v>0.165894736842106</v>
      </c>
      <c r="H225" s="217" t="n">
        <f aca="false">IF(Calculator!$E$18="YES",IF(A225&lt;Calculator!$G$18,0,MIN(MIN(MOD(A225/Calculator!$F$18,1),1-MOD(A225/Calculator!$F$18,1)),ABS(MOD(A225/Calculator!$F$18,1)-0.5))),1)</f>
        <v>1</v>
      </c>
      <c r="I225" s="217" t="n">
        <f aca="false">IF(Calculator!$E$19="YES",IF(A225&lt;Calculator!$G$19,0,MIN(MIN(MOD(A225/Calculator!$F$19,1),1-MOD(A225/Calculator!$F$19,1)),ABS(MOD(A225/Calculator!$F$19,1)-0.5))),1)</f>
        <v>1</v>
      </c>
      <c r="J225" s="217" t="n">
        <f aca="false">IF(Calculator!$E$20="YES",IF(A225&lt;Calculator!$G$20,0,MIN(MIN(MOD(A225/Calculator!$F$20,1),1-MOD(A225/Calculator!$F$20,1)),ABS(MOD(A225/Calculator!$F$20,1)-0.5))),1)</f>
        <v>1</v>
      </c>
      <c r="K225" s="217" t="n">
        <f aca="false">IF(Calculator!$E$21="YES",IF(A225&lt;Calculator!$G$21,0,MIN(MIN(MOD(A225/Calculator!$F$21,1),1-MOD(A225/Calculator!$F$21,1)),ABS(MOD(A225/Calculator!$F$21,1)-0.5))),1)</f>
        <v>0.074175438596491</v>
      </c>
      <c r="L225" s="217" t="n">
        <f aca="false">IF(Calculator!$E$22="YES",IF(A225&lt;Calculator!$G$22,0,MIN(MIN(MOD(A225/Calculator!$F$22,1),1-MOD(A225/Calculator!$F$22,1)),ABS(MOD(A225/Calculator!$F$22,1)-0.5))),1)</f>
        <v>1</v>
      </c>
      <c r="M225" s="217" t="n">
        <f aca="false">MIN(B225:L225)</f>
        <v>0.074175438596491</v>
      </c>
      <c r="N225" s="217" t="n">
        <f aca="false">SUMPRODUCT(($M$7:$M$557&gt;M225)*1)+SUMPRODUCT(($M$7:$M$557=M225)*(ROW($M$7:$M$557)&lt;ROW(M225)))+1</f>
        <v>190</v>
      </c>
      <c r="O225" s="217" t="str">
        <f aca="false">IF(M225&gt;=0.2,"★★★ EXCELLENT",IF(M225&gt;=0.12,"★★  GOOD",IF(M225&gt;=0.07,"★  FAIR",IF(M225&gt;=0.025,"⚠  MARGINAL","✗  AVOID"))))</f>
        <v>★  FAIR</v>
      </c>
    </row>
    <row r="226" customFormat="false" ht="15" hidden="false" customHeight="true" outlineLevel="0" collapsed="false">
      <c r="A226" s="218" t="n">
        <v>26.9</v>
      </c>
      <c r="B226" s="219" t="n">
        <f aca="false">IF(Calculator!$E$12="YES",IF(A226&lt;Calculator!$G$12,0,MIN(MIN(MOD(A226/Calculator!$F$12,1),1-MOD(A226/Calculator!$F$12,1)),ABS(MOD(A226/Calculator!$F$12,1)-0.5))),1)</f>
        <v>1</v>
      </c>
      <c r="C226" s="219" t="n">
        <f aca="false">IF(Calculator!$E$13="YES",IF(A226&lt;Calculator!$G$13,0,MIN(MIN(MOD(A226/Calculator!$F$13,1),1-MOD(A226/Calculator!$F$13,1)),ABS(MOD(A226/Calculator!$F$13,1)-0.5))),1)</f>
        <v>1</v>
      </c>
      <c r="D226" s="219" t="n">
        <f aca="false">IF(Calculator!$E$14="YES",IF(A226&lt;Calculator!$G$14,0,MIN(MIN(MOD(A226/Calculator!$F$14,1),1-MOD(A226/Calculator!$F$14,1)),ABS(MOD(A226/Calculator!$F$14,1)-0.5))),1)</f>
        <v>1</v>
      </c>
      <c r="E226" s="219" t="n">
        <f aca="false">IF(Calculator!$E$15="YES",IF(A226&lt;Calculator!$G$15,0,MIN(MIN(MOD(A226/Calculator!$F$15,1),1-MOD(A226/Calculator!$F$15,1)),ABS(MOD(A226/Calculator!$F$15,1)-0.5))),1)</f>
        <v>0.150280701754386</v>
      </c>
      <c r="F226" s="219" t="n">
        <f aca="false">IF(Calculator!$E$16="YES",IF(A226&lt;Calculator!$G$16,0,MIN(MIN(MOD(A226/Calculator!$F$16,1),1-MOD(A226/Calculator!$F$16,1)),ABS(MOD(A226/Calculator!$F$16,1)-0.5))),1)</f>
        <v>1</v>
      </c>
      <c r="G226" s="219" t="n">
        <f aca="false">IF(Calculator!$E$17="YES",IF(A226&lt;Calculator!$G$17,0,MIN(MIN(MOD(A226/Calculator!$F$17,1),1-MOD(A226/Calculator!$F$17,1)),ABS(MOD(A226/Calculator!$F$17,1)-0.5))),1)</f>
        <v>0.175842105263158</v>
      </c>
      <c r="H226" s="219" t="n">
        <f aca="false">IF(Calculator!$E$18="YES",IF(A226&lt;Calculator!$G$18,0,MIN(MIN(MOD(A226/Calculator!$F$18,1),1-MOD(A226/Calculator!$F$18,1)),ABS(MOD(A226/Calculator!$F$18,1)-0.5))),1)</f>
        <v>1</v>
      </c>
      <c r="I226" s="219" t="n">
        <f aca="false">IF(Calculator!$E$19="YES",IF(A226&lt;Calculator!$G$19,0,MIN(MIN(MOD(A226/Calculator!$F$19,1),1-MOD(A226/Calculator!$F$19,1)),ABS(MOD(A226/Calculator!$F$19,1)-0.5))),1)</f>
        <v>1</v>
      </c>
      <c r="J226" s="219" t="n">
        <f aca="false">IF(Calculator!$E$20="YES",IF(A226&lt;Calculator!$G$20,0,MIN(MIN(MOD(A226/Calculator!$F$20,1),1-MOD(A226/Calculator!$F$20,1)),ABS(MOD(A226/Calculator!$F$20,1)-0.5))),1)</f>
        <v>1</v>
      </c>
      <c r="K226" s="219" t="n">
        <f aca="false">IF(Calculator!$E$21="YES",IF(A226&lt;Calculator!$G$21,0,MIN(MIN(MOD(A226/Calculator!$F$21,1),1-MOD(A226/Calculator!$F$21,1)),ABS(MOD(A226/Calculator!$F$21,1)-0.5))),1)</f>
        <v>0.0539298245614042</v>
      </c>
      <c r="L226" s="219" t="n">
        <f aca="false">IF(Calculator!$E$22="YES",IF(A226&lt;Calculator!$G$22,0,MIN(MIN(MOD(A226/Calculator!$F$22,1),1-MOD(A226/Calculator!$F$22,1)),ABS(MOD(A226/Calculator!$F$22,1)-0.5))),1)</f>
        <v>1</v>
      </c>
      <c r="M226" s="219" t="n">
        <f aca="false">MIN(B226:L226)</f>
        <v>0.0539298245614042</v>
      </c>
      <c r="N226" s="219" t="n">
        <f aca="false">SUMPRODUCT(($M$7:$M$557&gt;M226)*1)+SUMPRODUCT(($M$7:$M$557=M226)*(ROW($M$7:$M$557)&lt;ROW(M226)))+1</f>
        <v>268</v>
      </c>
      <c r="O226" s="219" t="str">
        <f aca="false">IF(M226&gt;=0.2,"★★★ EXCELLENT",IF(M226&gt;=0.12,"★★  GOOD",IF(M226&gt;=0.07,"★  FAIR",IF(M226&gt;=0.025,"⚠  MARGINAL","✗  AVOID"))))</f>
        <v>⚠  MARGINAL</v>
      </c>
    </row>
    <row r="227" customFormat="false" ht="15" hidden="false" customHeight="true" outlineLevel="0" collapsed="false">
      <c r="A227" s="216" t="n">
        <v>27</v>
      </c>
      <c r="B227" s="217" t="n">
        <f aca="false">IF(Calculator!$E$12="YES",IF(A227&lt;Calculator!$G$12,0,MIN(MIN(MOD(A227/Calculator!$F$12,1),1-MOD(A227/Calculator!$F$12,1)),ABS(MOD(A227/Calculator!$F$12,1)-0.5))),1)</f>
        <v>1</v>
      </c>
      <c r="C227" s="217" t="n">
        <f aca="false">IF(Calculator!$E$13="YES",IF(A227&lt;Calculator!$G$13,0,MIN(MIN(MOD(A227/Calculator!$F$13,1),1-MOD(A227/Calculator!$F$13,1)),ABS(MOD(A227/Calculator!$F$13,1)-0.5))),1)</f>
        <v>1</v>
      </c>
      <c r="D227" s="217" t="n">
        <f aca="false">IF(Calculator!$E$14="YES",IF(A227&lt;Calculator!$G$14,0,MIN(MIN(MOD(A227/Calculator!$F$14,1),1-MOD(A227/Calculator!$F$14,1)),ABS(MOD(A227/Calculator!$F$14,1)-0.5))),1)</f>
        <v>1</v>
      </c>
      <c r="E227" s="217" t="n">
        <f aca="false">IF(Calculator!$E$15="YES",IF(A227&lt;Calculator!$G$15,0,MIN(MIN(MOD(A227/Calculator!$F$15,1),1-MOD(A227/Calculator!$F$15,1)),ABS(MOD(A227/Calculator!$F$15,1)-0.5))),1)</f>
        <v>0.145263157894737</v>
      </c>
      <c r="F227" s="217" t="n">
        <f aca="false">IF(Calculator!$E$16="YES",IF(A227&lt;Calculator!$G$16,0,MIN(MIN(MOD(A227/Calculator!$F$16,1),1-MOD(A227/Calculator!$F$16,1)),ABS(MOD(A227/Calculator!$F$16,1)-0.5))),1)</f>
        <v>1</v>
      </c>
      <c r="G227" s="217" t="n">
        <f aca="false">IF(Calculator!$E$17="YES",IF(A227&lt;Calculator!$G$17,0,MIN(MIN(MOD(A227/Calculator!$F$17,1),1-MOD(A227/Calculator!$F$17,1)),ABS(MOD(A227/Calculator!$F$17,1)-0.5))),1)</f>
        <v>0.185789473684211</v>
      </c>
      <c r="H227" s="217" t="n">
        <f aca="false">IF(Calculator!$E$18="YES",IF(A227&lt;Calculator!$G$18,0,MIN(MIN(MOD(A227/Calculator!$F$18,1),1-MOD(A227/Calculator!$F$18,1)),ABS(MOD(A227/Calculator!$F$18,1)-0.5))),1)</f>
        <v>1</v>
      </c>
      <c r="I227" s="217" t="n">
        <f aca="false">IF(Calculator!$E$19="YES",IF(A227&lt;Calculator!$G$19,0,MIN(MIN(MOD(A227/Calculator!$F$19,1),1-MOD(A227/Calculator!$F$19,1)),ABS(MOD(A227/Calculator!$F$19,1)-0.5))),1)</f>
        <v>1</v>
      </c>
      <c r="J227" s="217" t="n">
        <f aca="false">IF(Calculator!$E$20="YES",IF(A227&lt;Calculator!$G$20,0,MIN(MIN(MOD(A227/Calculator!$F$20,1),1-MOD(A227/Calculator!$F$20,1)),ABS(MOD(A227/Calculator!$F$20,1)-0.5))),1)</f>
        <v>1</v>
      </c>
      <c r="K227" s="217" t="n">
        <f aca="false">IF(Calculator!$E$21="YES",IF(A227&lt;Calculator!$G$21,0,MIN(MIN(MOD(A227/Calculator!$F$21,1),1-MOD(A227/Calculator!$F$21,1)),ABS(MOD(A227/Calculator!$F$21,1)-0.5))),1)</f>
        <v>0.0336842105263155</v>
      </c>
      <c r="L227" s="217" t="n">
        <f aca="false">IF(Calculator!$E$22="YES",IF(A227&lt;Calculator!$G$22,0,MIN(MIN(MOD(A227/Calculator!$F$22,1),1-MOD(A227/Calculator!$F$22,1)),ABS(MOD(A227/Calculator!$F$22,1)-0.5))),1)</f>
        <v>1</v>
      </c>
      <c r="M227" s="217" t="n">
        <f aca="false">MIN(B227:L227)</f>
        <v>0.0336842105263155</v>
      </c>
      <c r="N227" s="217" t="n">
        <f aca="false">SUMPRODUCT(($M$7:$M$557&gt;M227)*1)+SUMPRODUCT(($M$7:$M$557=M227)*(ROW($M$7:$M$557)&lt;ROW(M227)))+1</f>
        <v>348</v>
      </c>
      <c r="O227" s="217" t="str">
        <f aca="false">IF(M227&gt;=0.2,"★★★ EXCELLENT",IF(M227&gt;=0.12,"★★  GOOD",IF(M227&gt;=0.07,"★  FAIR",IF(M227&gt;=0.025,"⚠  MARGINAL","✗  AVOID"))))</f>
        <v>⚠  MARGINAL</v>
      </c>
    </row>
    <row r="228" customFormat="false" ht="15" hidden="false" customHeight="true" outlineLevel="0" collapsed="false">
      <c r="A228" s="218" t="n">
        <v>27.1</v>
      </c>
      <c r="B228" s="219" t="n">
        <f aca="false">IF(Calculator!$E$12="YES",IF(A228&lt;Calculator!$G$12,0,MIN(MIN(MOD(A228/Calculator!$F$12,1),1-MOD(A228/Calculator!$F$12,1)),ABS(MOD(A228/Calculator!$F$12,1)-0.5))),1)</f>
        <v>1</v>
      </c>
      <c r="C228" s="219" t="n">
        <f aca="false">IF(Calculator!$E$13="YES",IF(A228&lt;Calculator!$G$13,0,MIN(MIN(MOD(A228/Calculator!$F$13,1),1-MOD(A228/Calculator!$F$13,1)),ABS(MOD(A228/Calculator!$F$13,1)-0.5))),1)</f>
        <v>1</v>
      </c>
      <c r="D228" s="219" t="n">
        <f aca="false">IF(Calculator!$E$14="YES",IF(A228&lt;Calculator!$G$14,0,MIN(MIN(MOD(A228/Calculator!$F$14,1),1-MOD(A228/Calculator!$F$14,1)),ABS(MOD(A228/Calculator!$F$14,1)-0.5))),1)</f>
        <v>1</v>
      </c>
      <c r="E228" s="219" t="n">
        <f aca="false">IF(Calculator!$E$15="YES",IF(A228&lt;Calculator!$G$15,0,MIN(MIN(MOD(A228/Calculator!$F$15,1),1-MOD(A228/Calculator!$F$15,1)),ABS(MOD(A228/Calculator!$F$15,1)-0.5))),1)</f>
        <v>0.140245614035088</v>
      </c>
      <c r="F228" s="219" t="n">
        <f aca="false">IF(Calculator!$E$16="YES",IF(A228&lt;Calculator!$G$16,0,MIN(MIN(MOD(A228/Calculator!$F$16,1),1-MOD(A228/Calculator!$F$16,1)),ABS(MOD(A228/Calculator!$F$16,1)-0.5))),1)</f>
        <v>1</v>
      </c>
      <c r="G228" s="219" t="n">
        <f aca="false">IF(Calculator!$E$17="YES",IF(A228&lt;Calculator!$G$17,0,MIN(MIN(MOD(A228/Calculator!$F$17,1),1-MOD(A228/Calculator!$F$17,1)),ABS(MOD(A228/Calculator!$F$17,1)-0.5))),1)</f>
        <v>0.195736842105263</v>
      </c>
      <c r="H228" s="219" t="n">
        <f aca="false">IF(Calculator!$E$18="YES",IF(A228&lt;Calculator!$G$18,0,MIN(MIN(MOD(A228/Calculator!$F$18,1),1-MOD(A228/Calculator!$F$18,1)),ABS(MOD(A228/Calculator!$F$18,1)-0.5))),1)</f>
        <v>1</v>
      </c>
      <c r="I228" s="219" t="n">
        <f aca="false">IF(Calculator!$E$19="YES",IF(A228&lt;Calculator!$G$19,0,MIN(MIN(MOD(A228/Calculator!$F$19,1),1-MOD(A228/Calculator!$F$19,1)),ABS(MOD(A228/Calculator!$F$19,1)-0.5))),1)</f>
        <v>1</v>
      </c>
      <c r="J228" s="219" t="n">
        <f aca="false">IF(Calculator!$E$20="YES",IF(A228&lt;Calculator!$G$20,0,MIN(MIN(MOD(A228/Calculator!$F$20,1),1-MOD(A228/Calculator!$F$20,1)),ABS(MOD(A228/Calculator!$F$20,1)-0.5))),1)</f>
        <v>1</v>
      </c>
      <c r="K228" s="219" t="n">
        <f aca="false">IF(Calculator!$E$21="YES",IF(A228&lt;Calculator!$G$21,0,MIN(MIN(MOD(A228/Calculator!$F$21,1),1-MOD(A228/Calculator!$F$21,1)),ABS(MOD(A228/Calculator!$F$21,1)-0.5))),1)</f>
        <v>0.0134385964912278</v>
      </c>
      <c r="L228" s="219" t="n">
        <f aca="false">IF(Calculator!$E$22="YES",IF(A228&lt;Calculator!$G$22,0,MIN(MIN(MOD(A228/Calculator!$F$22,1),1-MOD(A228/Calculator!$F$22,1)),ABS(MOD(A228/Calculator!$F$22,1)-0.5))),1)</f>
        <v>1</v>
      </c>
      <c r="M228" s="219" t="n">
        <f aca="false">MIN(B228:L228)</f>
        <v>0.0134385964912278</v>
      </c>
      <c r="N228" s="219" t="n">
        <f aca="false">SUMPRODUCT(($M$7:$M$557&gt;M228)*1)+SUMPRODUCT(($M$7:$M$557=M228)*(ROW($M$7:$M$557)&lt;ROW(M228)))+1</f>
        <v>429</v>
      </c>
      <c r="O228" s="219" t="str">
        <f aca="false">IF(M228&gt;=0.2,"★★★ EXCELLENT",IF(M228&gt;=0.12,"★★  GOOD",IF(M228&gt;=0.07,"★  FAIR",IF(M228&gt;=0.025,"⚠  MARGINAL","✗  AVOID"))))</f>
        <v>✗  AVOID</v>
      </c>
    </row>
    <row r="229" customFormat="false" ht="15" hidden="false" customHeight="true" outlineLevel="0" collapsed="false">
      <c r="A229" s="216" t="n">
        <v>27.2</v>
      </c>
      <c r="B229" s="217" t="n">
        <f aca="false">IF(Calculator!$E$12="YES",IF(A229&lt;Calculator!$G$12,0,MIN(MIN(MOD(A229/Calculator!$F$12,1),1-MOD(A229/Calculator!$F$12,1)),ABS(MOD(A229/Calculator!$F$12,1)-0.5))),1)</f>
        <v>1</v>
      </c>
      <c r="C229" s="217" t="n">
        <f aca="false">IF(Calculator!$E$13="YES",IF(A229&lt;Calculator!$G$13,0,MIN(MIN(MOD(A229/Calculator!$F$13,1),1-MOD(A229/Calculator!$F$13,1)),ABS(MOD(A229/Calculator!$F$13,1)-0.5))),1)</f>
        <v>1</v>
      </c>
      <c r="D229" s="217" t="n">
        <f aca="false">IF(Calculator!$E$14="YES",IF(A229&lt;Calculator!$G$14,0,MIN(MIN(MOD(A229/Calculator!$F$14,1),1-MOD(A229/Calculator!$F$14,1)),ABS(MOD(A229/Calculator!$F$14,1)-0.5))),1)</f>
        <v>1</v>
      </c>
      <c r="E229" s="217" t="n">
        <f aca="false">IF(Calculator!$E$15="YES",IF(A229&lt;Calculator!$G$15,0,MIN(MIN(MOD(A229/Calculator!$F$15,1),1-MOD(A229/Calculator!$F$15,1)),ABS(MOD(A229/Calculator!$F$15,1)-0.5))),1)</f>
        <v>0.135228070175439</v>
      </c>
      <c r="F229" s="217" t="n">
        <f aca="false">IF(Calculator!$E$16="YES",IF(A229&lt;Calculator!$G$16,0,MIN(MIN(MOD(A229/Calculator!$F$16,1),1-MOD(A229/Calculator!$F$16,1)),ABS(MOD(A229/Calculator!$F$16,1)-0.5))),1)</f>
        <v>1</v>
      </c>
      <c r="G229" s="217" t="n">
        <f aca="false">IF(Calculator!$E$17="YES",IF(A229&lt;Calculator!$G$17,0,MIN(MIN(MOD(A229/Calculator!$F$17,1),1-MOD(A229/Calculator!$F$17,1)),ABS(MOD(A229/Calculator!$F$17,1)-0.5))),1)</f>
        <v>0.205684210526316</v>
      </c>
      <c r="H229" s="217" t="n">
        <f aca="false">IF(Calculator!$E$18="YES",IF(A229&lt;Calculator!$G$18,0,MIN(MIN(MOD(A229/Calculator!$F$18,1),1-MOD(A229/Calculator!$F$18,1)),ABS(MOD(A229/Calculator!$F$18,1)-0.5))),1)</f>
        <v>1</v>
      </c>
      <c r="I229" s="217" t="n">
        <f aca="false">IF(Calculator!$E$19="YES",IF(A229&lt;Calculator!$G$19,0,MIN(MIN(MOD(A229/Calculator!$F$19,1),1-MOD(A229/Calculator!$F$19,1)),ABS(MOD(A229/Calculator!$F$19,1)-0.5))),1)</f>
        <v>1</v>
      </c>
      <c r="J229" s="217" t="n">
        <f aca="false">IF(Calculator!$E$20="YES",IF(A229&lt;Calculator!$G$20,0,MIN(MIN(MOD(A229/Calculator!$F$20,1),1-MOD(A229/Calculator!$F$20,1)),ABS(MOD(A229/Calculator!$F$20,1)-0.5))),1)</f>
        <v>1</v>
      </c>
      <c r="K229" s="217" t="n">
        <f aca="false">IF(Calculator!$E$21="YES",IF(A229&lt;Calculator!$G$21,0,MIN(MIN(MOD(A229/Calculator!$F$21,1),1-MOD(A229/Calculator!$F$21,1)),ABS(MOD(A229/Calculator!$F$21,1)-0.5))),1)</f>
        <v>0.00680701754385904</v>
      </c>
      <c r="L229" s="217" t="n">
        <f aca="false">IF(Calculator!$E$22="YES",IF(A229&lt;Calculator!$G$22,0,MIN(MIN(MOD(A229/Calculator!$F$22,1),1-MOD(A229/Calculator!$F$22,1)),ABS(MOD(A229/Calculator!$F$22,1)-0.5))),1)</f>
        <v>1</v>
      </c>
      <c r="M229" s="217" t="n">
        <f aca="false">MIN(B229:L229)</f>
        <v>0.00680701754385904</v>
      </c>
      <c r="N229" s="217" t="n">
        <f aca="false">SUMPRODUCT(($M$7:$M$557&gt;M229)*1)+SUMPRODUCT(($M$7:$M$557=M229)*(ROW($M$7:$M$557)&lt;ROW(M229)))+1</f>
        <v>459</v>
      </c>
      <c r="O229" s="217" t="str">
        <f aca="false">IF(M229&gt;=0.2,"★★★ EXCELLENT",IF(M229&gt;=0.12,"★★  GOOD",IF(M229&gt;=0.07,"★  FAIR",IF(M229&gt;=0.025,"⚠  MARGINAL","✗  AVOID"))))</f>
        <v>✗  AVOID</v>
      </c>
    </row>
    <row r="230" customFormat="false" ht="15" hidden="false" customHeight="true" outlineLevel="0" collapsed="false">
      <c r="A230" s="218" t="n">
        <v>27.3</v>
      </c>
      <c r="B230" s="219" t="n">
        <f aca="false">IF(Calculator!$E$12="YES",IF(A230&lt;Calculator!$G$12,0,MIN(MIN(MOD(A230/Calculator!$F$12,1),1-MOD(A230/Calculator!$F$12,1)),ABS(MOD(A230/Calculator!$F$12,1)-0.5))),1)</f>
        <v>1</v>
      </c>
      <c r="C230" s="219" t="n">
        <f aca="false">IF(Calculator!$E$13="YES",IF(A230&lt;Calculator!$G$13,0,MIN(MIN(MOD(A230/Calculator!$F$13,1),1-MOD(A230/Calculator!$F$13,1)),ABS(MOD(A230/Calculator!$F$13,1)-0.5))),1)</f>
        <v>1</v>
      </c>
      <c r="D230" s="219" t="n">
        <f aca="false">IF(Calculator!$E$14="YES",IF(A230&lt;Calculator!$G$14,0,MIN(MIN(MOD(A230/Calculator!$F$14,1),1-MOD(A230/Calculator!$F$14,1)),ABS(MOD(A230/Calculator!$F$14,1)-0.5))),1)</f>
        <v>1</v>
      </c>
      <c r="E230" s="219" t="n">
        <f aca="false">IF(Calculator!$E$15="YES",IF(A230&lt;Calculator!$G$15,0,MIN(MIN(MOD(A230/Calculator!$F$15,1),1-MOD(A230/Calculator!$F$15,1)),ABS(MOD(A230/Calculator!$F$15,1)-0.5))),1)</f>
        <v>0.130210526315789</v>
      </c>
      <c r="F230" s="219" t="n">
        <f aca="false">IF(Calculator!$E$16="YES",IF(A230&lt;Calculator!$G$16,0,MIN(MIN(MOD(A230/Calculator!$F$16,1),1-MOD(A230/Calculator!$F$16,1)),ABS(MOD(A230/Calculator!$F$16,1)-0.5))),1)</f>
        <v>1</v>
      </c>
      <c r="G230" s="219" t="n">
        <f aca="false">IF(Calculator!$E$17="YES",IF(A230&lt;Calculator!$G$17,0,MIN(MIN(MOD(A230/Calculator!$F$17,1),1-MOD(A230/Calculator!$F$17,1)),ABS(MOD(A230/Calculator!$F$17,1)-0.5))),1)</f>
        <v>0.215631578947369</v>
      </c>
      <c r="H230" s="219" t="n">
        <f aca="false">IF(Calculator!$E$18="YES",IF(A230&lt;Calculator!$G$18,0,MIN(MIN(MOD(A230/Calculator!$F$18,1),1-MOD(A230/Calculator!$F$18,1)),ABS(MOD(A230/Calculator!$F$18,1)-0.5))),1)</f>
        <v>1</v>
      </c>
      <c r="I230" s="219" t="n">
        <f aca="false">IF(Calculator!$E$19="YES",IF(A230&lt;Calculator!$G$19,0,MIN(MIN(MOD(A230/Calculator!$F$19,1),1-MOD(A230/Calculator!$F$19,1)),ABS(MOD(A230/Calculator!$F$19,1)-0.5))),1)</f>
        <v>1</v>
      </c>
      <c r="J230" s="219" t="n">
        <f aca="false">IF(Calculator!$E$20="YES",IF(A230&lt;Calculator!$G$20,0,MIN(MIN(MOD(A230/Calculator!$F$20,1),1-MOD(A230/Calculator!$F$20,1)),ABS(MOD(A230/Calculator!$F$20,1)-0.5))),1)</f>
        <v>1</v>
      </c>
      <c r="K230" s="219" t="n">
        <f aca="false">IF(Calculator!$E$21="YES",IF(A230&lt;Calculator!$G$21,0,MIN(MIN(MOD(A230/Calculator!$F$21,1),1-MOD(A230/Calculator!$F$21,1)),ABS(MOD(A230/Calculator!$F$21,1)-0.5))),1)</f>
        <v>0.0270526315789477</v>
      </c>
      <c r="L230" s="219" t="n">
        <f aca="false">IF(Calculator!$E$22="YES",IF(A230&lt;Calculator!$G$22,0,MIN(MIN(MOD(A230/Calculator!$F$22,1),1-MOD(A230/Calculator!$F$22,1)),ABS(MOD(A230/Calculator!$F$22,1)-0.5))),1)</f>
        <v>1</v>
      </c>
      <c r="M230" s="219" t="n">
        <f aca="false">MIN(B230:L230)</f>
        <v>0.0270526315789477</v>
      </c>
      <c r="N230" s="219" t="n">
        <f aca="false">SUMPRODUCT(($M$7:$M$557&gt;M230)*1)+SUMPRODUCT(($M$7:$M$557=M230)*(ROW($M$7:$M$557)&lt;ROW(M230)))+1</f>
        <v>374</v>
      </c>
      <c r="O230" s="219" t="str">
        <f aca="false">IF(M230&gt;=0.2,"★★★ EXCELLENT",IF(M230&gt;=0.12,"★★  GOOD",IF(M230&gt;=0.07,"★  FAIR",IF(M230&gt;=0.025,"⚠  MARGINAL","✗  AVOID"))))</f>
        <v>⚠  MARGINAL</v>
      </c>
    </row>
    <row r="231" customFormat="false" ht="15" hidden="false" customHeight="true" outlineLevel="0" collapsed="false">
      <c r="A231" s="216" t="n">
        <v>27.4</v>
      </c>
      <c r="B231" s="217" t="n">
        <f aca="false">IF(Calculator!$E$12="YES",IF(A231&lt;Calculator!$G$12,0,MIN(MIN(MOD(A231/Calculator!$F$12,1),1-MOD(A231/Calculator!$F$12,1)),ABS(MOD(A231/Calculator!$F$12,1)-0.5))),1)</f>
        <v>1</v>
      </c>
      <c r="C231" s="217" t="n">
        <f aca="false">IF(Calculator!$E$13="YES",IF(A231&lt;Calculator!$G$13,0,MIN(MIN(MOD(A231/Calculator!$F$13,1),1-MOD(A231/Calculator!$F$13,1)),ABS(MOD(A231/Calculator!$F$13,1)-0.5))),1)</f>
        <v>1</v>
      </c>
      <c r="D231" s="217" t="n">
        <f aca="false">IF(Calculator!$E$14="YES",IF(A231&lt;Calculator!$G$14,0,MIN(MIN(MOD(A231/Calculator!$F$14,1),1-MOD(A231/Calculator!$F$14,1)),ABS(MOD(A231/Calculator!$F$14,1)-0.5))),1)</f>
        <v>1</v>
      </c>
      <c r="E231" s="217" t="n">
        <f aca="false">IF(Calculator!$E$15="YES",IF(A231&lt;Calculator!$G$15,0,MIN(MIN(MOD(A231/Calculator!$F$15,1),1-MOD(A231/Calculator!$F$15,1)),ABS(MOD(A231/Calculator!$F$15,1)-0.5))),1)</f>
        <v>0.12519298245614</v>
      </c>
      <c r="F231" s="217" t="n">
        <f aca="false">IF(Calculator!$E$16="YES",IF(A231&lt;Calculator!$G$16,0,MIN(MIN(MOD(A231/Calculator!$F$16,1),1-MOD(A231/Calculator!$F$16,1)),ABS(MOD(A231/Calculator!$F$16,1)-0.5))),1)</f>
        <v>1</v>
      </c>
      <c r="G231" s="217" t="n">
        <f aca="false">IF(Calculator!$E$17="YES",IF(A231&lt;Calculator!$G$17,0,MIN(MIN(MOD(A231/Calculator!$F$17,1),1-MOD(A231/Calculator!$F$17,1)),ABS(MOD(A231/Calculator!$F$17,1)-0.5))),1)</f>
        <v>0.225578947368421</v>
      </c>
      <c r="H231" s="217" t="n">
        <f aca="false">IF(Calculator!$E$18="YES",IF(A231&lt;Calculator!$G$18,0,MIN(MIN(MOD(A231/Calculator!$F$18,1),1-MOD(A231/Calculator!$F$18,1)),ABS(MOD(A231/Calculator!$F$18,1)-0.5))),1)</f>
        <v>1</v>
      </c>
      <c r="I231" s="217" t="n">
        <f aca="false">IF(Calculator!$E$19="YES",IF(A231&lt;Calculator!$G$19,0,MIN(MIN(MOD(A231/Calculator!$F$19,1),1-MOD(A231/Calculator!$F$19,1)),ABS(MOD(A231/Calculator!$F$19,1)-0.5))),1)</f>
        <v>1</v>
      </c>
      <c r="J231" s="217" t="n">
        <f aca="false">IF(Calculator!$E$20="YES",IF(A231&lt;Calculator!$G$20,0,MIN(MIN(MOD(A231/Calculator!$F$20,1),1-MOD(A231/Calculator!$F$20,1)),ABS(MOD(A231/Calculator!$F$20,1)-0.5))),1)</f>
        <v>1</v>
      </c>
      <c r="K231" s="217" t="n">
        <f aca="false">IF(Calculator!$E$21="YES",IF(A231&lt;Calculator!$G$21,0,MIN(MIN(MOD(A231/Calculator!$F$21,1),1-MOD(A231/Calculator!$F$21,1)),ABS(MOD(A231/Calculator!$F$21,1)-0.5))),1)</f>
        <v>0.0472982456140345</v>
      </c>
      <c r="L231" s="217" t="n">
        <f aca="false">IF(Calculator!$E$22="YES",IF(A231&lt;Calculator!$G$22,0,MIN(MIN(MOD(A231/Calculator!$F$22,1),1-MOD(A231/Calculator!$F$22,1)),ABS(MOD(A231/Calculator!$F$22,1)-0.5))),1)</f>
        <v>1</v>
      </c>
      <c r="M231" s="217" t="n">
        <f aca="false">MIN(B231:L231)</f>
        <v>0.0472982456140345</v>
      </c>
      <c r="N231" s="217" t="n">
        <f aca="false">SUMPRODUCT(($M$7:$M$557&gt;M231)*1)+SUMPRODUCT(($M$7:$M$557=M231)*(ROW($M$7:$M$557)&lt;ROW(M231)))+1</f>
        <v>294</v>
      </c>
      <c r="O231" s="217" t="str">
        <f aca="false">IF(M231&gt;=0.2,"★★★ EXCELLENT",IF(M231&gt;=0.12,"★★  GOOD",IF(M231&gt;=0.07,"★  FAIR",IF(M231&gt;=0.025,"⚠  MARGINAL","✗  AVOID"))))</f>
        <v>⚠  MARGINAL</v>
      </c>
    </row>
    <row r="232" customFormat="false" ht="15" hidden="false" customHeight="true" outlineLevel="0" collapsed="false">
      <c r="A232" s="218" t="n">
        <v>27.5</v>
      </c>
      <c r="B232" s="219" t="n">
        <f aca="false">IF(Calculator!$E$12="YES",IF(A232&lt;Calculator!$G$12,0,MIN(MIN(MOD(A232/Calculator!$F$12,1),1-MOD(A232/Calculator!$F$12,1)),ABS(MOD(A232/Calculator!$F$12,1)-0.5))),1)</f>
        <v>1</v>
      </c>
      <c r="C232" s="219" t="n">
        <f aca="false">IF(Calculator!$E$13="YES",IF(A232&lt;Calculator!$G$13,0,MIN(MIN(MOD(A232/Calculator!$F$13,1),1-MOD(A232/Calculator!$F$13,1)),ABS(MOD(A232/Calculator!$F$13,1)-0.5))),1)</f>
        <v>1</v>
      </c>
      <c r="D232" s="219" t="n">
        <f aca="false">IF(Calculator!$E$14="YES",IF(A232&lt;Calculator!$G$14,0,MIN(MIN(MOD(A232/Calculator!$F$14,1),1-MOD(A232/Calculator!$F$14,1)),ABS(MOD(A232/Calculator!$F$14,1)-0.5))),1)</f>
        <v>1</v>
      </c>
      <c r="E232" s="219" t="n">
        <f aca="false">IF(Calculator!$E$15="YES",IF(A232&lt;Calculator!$G$15,0,MIN(MIN(MOD(A232/Calculator!$F$15,1),1-MOD(A232/Calculator!$F$15,1)),ABS(MOD(A232/Calculator!$F$15,1)-0.5))),1)</f>
        <v>0.120175438596491</v>
      </c>
      <c r="F232" s="219" t="n">
        <f aca="false">IF(Calculator!$E$16="YES",IF(A232&lt;Calculator!$G$16,0,MIN(MIN(MOD(A232/Calculator!$F$16,1),1-MOD(A232/Calculator!$F$16,1)),ABS(MOD(A232/Calculator!$F$16,1)-0.5))),1)</f>
        <v>1</v>
      </c>
      <c r="G232" s="219" t="n">
        <f aca="false">IF(Calculator!$E$17="YES",IF(A232&lt;Calculator!$G$17,0,MIN(MIN(MOD(A232/Calculator!$F$17,1),1-MOD(A232/Calculator!$F$17,1)),ABS(MOD(A232/Calculator!$F$17,1)-0.5))),1)</f>
        <v>0.235526315789474</v>
      </c>
      <c r="H232" s="219" t="n">
        <f aca="false">IF(Calculator!$E$18="YES",IF(A232&lt;Calculator!$G$18,0,MIN(MIN(MOD(A232/Calculator!$F$18,1),1-MOD(A232/Calculator!$F$18,1)),ABS(MOD(A232/Calculator!$F$18,1)-0.5))),1)</f>
        <v>1</v>
      </c>
      <c r="I232" s="219" t="n">
        <f aca="false">IF(Calculator!$E$19="YES",IF(A232&lt;Calculator!$G$19,0,MIN(MIN(MOD(A232/Calculator!$F$19,1),1-MOD(A232/Calculator!$F$19,1)),ABS(MOD(A232/Calculator!$F$19,1)-0.5))),1)</f>
        <v>1</v>
      </c>
      <c r="J232" s="219" t="n">
        <f aca="false">IF(Calculator!$E$20="YES",IF(A232&lt;Calculator!$G$20,0,MIN(MIN(MOD(A232/Calculator!$F$20,1),1-MOD(A232/Calculator!$F$20,1)),ABS(MOD(A232/Calculator!$F$20,1)-0.5))),1)</f>
        <v>1</v>
      </c>
      <c r="K232" s="219" t="n">
        <f aca="false">IF(Calculator!$E$21="YES",IF(A232&lt;Calculator!$G$21,0,MIN(MIN(MOD(A232/Calculator!$F$21,1),1-MOD(A232/Calculator!$F$21,1)),ABS(MOD(A232/Calculator!$F$21,1)-0.5))),1)</f>
        <v>0.0675438596491231</v>
      </c>
      <c r="L232" s="219" t="n">
        <f aca="false">IF(Calculator!$E$22="YES",IF(A232&lt;Calculator!$G$22,0,MIN(MIN(MOD(A232/Calculator!$F$22,1),1-MOD(A232/Calculator!$F$22,1)),ABS(MOD(A232/Calculator!$F$22,1)-0.5))),1)</f>
        <v>1</v>
      </c>
      <c r="M232" s="219" t="n">
        <f aca="false">MIN(B232:L232)</f>
        <v>0.0675438596491231</v>
      </c>
      <c r="N232" s="219" t="n">
        <f aca="false">SUMPRODUCT(($M$7:$M$557&gt;M232)*1)+SUMPRODUCT(($M$7:$M$557=M232)*(ROW($M$7:$M$557)&lt;ROW(M232)))+1</f>
        <v>215</v>
      </c>
      <c r="O232" s="219" t="str">
        <f aca="false">IF(M232&gt;=0.2,"★★★ EXCELLENT",IF(M232&gt;=0.12,"★★  GOOD",IF(M232&gt;=0.07,"★  FAIR",IF(M232&gt;=0.025,"⚠  MARGINAL","✗  AVOID"))))</f>
        <v>⚠  MARGINAL</v>
      </c>
    </row>
    <row r="233" customFormat="false" ht="15" hidden="false" customHeight="true" outlineLevel="0" collapsed="false">
      <c r="A233" s="216" t="n">
        <v>27.6</v>
      </c>
      <c r="B233" s="217" t="n">
        <f aca="false">IF(Calculator!$E$12="YES",IF(A233&lt;Calculator!$G$12,0,MIN(MIN(MOD(A233/Calculator!$F$12,1),1-MOD(A233/Calculator!$F$12,1)),ABS(MOD(A233/Calculator!$F$12,1)-0.5))),1)</f>
        <v>1</v>
      </c>
      <c r="C233" s="217" t="n">
        <f aca="false">IF(Calculator!$E$13="YES",IF(A233&lt;Calculator!$G$13,0,MIN(MIN(MOD(A233/Calculator!$F$13,1),1-MOD(A233/Calculator!$F$13,1)),ABS(MOD(A233/Calculator!$F$13,1)-0.5))),1)</f>
        <v>1</v>
      </c>
      <c r="D233" s="217" t="n">
        <f aca="false">IF(Calculator!$E$14="YES",IF(A233&lt;Calculator!$G$14,0,MIN(MIN(MOD(A233/Calculator!$F$14,1),1-MOD(A233/Calculator!$F$14,1)),ABS(MOD(A233/Calculator!$F$14,1)-0.5))),1)</f>
        <v>1</v>
      </c>
      <c r="E233" s="217" t="n">
        <f aca="false">IF(Calculator!$E$15="YES",IF(A233&lt;Calculator!$G$15,0,MIN(MIN(MOD(A233/Calculator!$F$15,1),1-MOD(A233/Calculator!$F$15,1)),ABS(MOD(A233/Calculator!$F$15,1)-0.5))),1)</f>
        <v>0.115157894736842</v>
      </c>
      <c r="F233" s="217" t="n">
        <f aca="false">IF(Calculator!$E$16="YES",IF(A233&lt;Calculator!$G$16,0,MIN(MIN(MOD(A233/Calculator!$F$16,1),1-MOD(A233/Calculator!$F$16,1)),ABS(MOD(A233/Calculator!$F$16,1)-0.5))),1)</f>
        <v>1</v>
      </c>
      <c r="G233" s="217" t="n">
        <f aca="false">IF(Calculator!$E$17="YES",IF(A233&lt;Calculator!$G$17,0,MIN(MIN(MOD(A233/Calculator!$F$17,1),1-MOD(A233/Calculator!$F$17,1)),ABS(MOD(A233/Calculator!$F$17,1)-0.5))),1)</f>
        <v>0.245473684210527</v>
      </c>
      <c r="H233" s="217" t="n">
        <f aca="false">IF(Calculator!$E$18="YES",IF(A233&lt;Calculator!$G$18,0,MIN(MIN(MOD(A233/Calculator!$F$18,1),1-MOD(A233/Calculator!$F$18,1)),ABS(MOD(A233/Calculator!$F$18,1)-0.5))),1)</f>
        <v>1</v>
      </c>
      <c r="I233" s="217" t="n">
        <f aca="false">IF(Calculator!$E$19="YES",IF(A233&lt;Calculator!$G$19,0,MIN(MIN(MOD(A233/Calculator!$F$19,1),1-MOD(A233/Calculator!$F$19,1)),ABS(MOD(A233/Calculator!$F$19,1)-0.5))),1)</f>
        <v>1</v>
      </c>
      <c r="J233" s="217" t="n">
        <f aca="false">IF(Calculator!$E$20="YES",IF(A233&lt;Calculator!$G$20,0,MIN(MIN(MOD(A233/Calculator!$F$20,1),1-MOD(A233/Calculator!$F$20,1)),ABS(MOD(A233/Calculator!$F$20,1)-0.5))),1)</f>
        <v>1</v>
      </c>
      <c r="K233" s="217" t="n">
        <f aca="false">IF(Calculator!$E$21="YES",IF(A233&lt;Calculator!$G$21,0,MIN(MIN(MOD(A233/Calculator!$F$21,1),1-MOD(A233/Calculator!$F$21,1)),ABS(MOD(A233/Calculator!$F$21,1)-0.5))),1)</f>
        <v>0.0877894736842109</v>
      </c>
      <c r="L233" s="217" t="n">
        <f aca="false">IF(Calculator!$E$22="YES",IF(A233&lt;Calculator!$G$22,0,MIN(MIN(MOD(A233/Calculator!$F$22,1),1-MOD(A233/Calculator!$F$22,1)),ABS(MOD(A233/Calculator!$F$22,1)-0.5))),1)</f>
        <v>1</v>
      </c>
      <c r="M233" s="217" t="n">
        <f aca="false">MIN(B233:L233)</f>
        <v>0.0877894736842109</v>
      </c>
      <c r="N233" s="217" t="n">
        <f aca="false">SUMPRODUCT(($M$7:$M$557&gt;M233)*1)+SUMPRODUCT(($M$7:$M$557=M233)*(ROW($M$7:$M$557)&lt;ROW(M233)))+1</f>
        <v>140</v>
      </c>
      <c r="O233" s="217" t="str">
        <f aca="false">IF(M233&gt;=0.2,"★★★ EXCELLENT",IF(M233&gt;=0.12,"★★  GOOD",IF(M233&gt;=0.07,"★  FAIR",IF(M233&gt;=0.025,"⚠  MARGINAL","✗  AVOID"))))</f>
        <v>★  FAIR</v>
      </c>
    </row>
    <row r="234" customFormat="false" ht="15" hidden="false" customHeight="true" outlineLevel="0" collapsed="false">
      <c r="A234" s="218" t="n">
        <v>27.7</v>
      </c>
      <c r="B234" s="219" t="n">
        <f aca="false">IF(Calculator!$E$12="YES",IF(A234&lt;Calculator!$G$12,0,MIN(MIN(MOD(A234/Calculator!$F$12,1),1-MOD(A234/Calculator!$F$12,1)),ABS(MOD(A234/Calculator!$F$12,1)-0.5))),1)</f>
        <v>1</v>
      </c>
      <c r="C234" s="219" t="n">
        <f aca="false">IF(Calculator!$E$13="YES",IF(A234&lt;Calculator!$G$13,0,MIN(MIN(MOD(A234/Calculator!$F$13,1),1-MOD(A234/Calculator!$F$13,1)),ABS(MOD(A234/Calculator!$F$13,1)-0.5))),1)</f>
        <v>1</v>
      </c>
      <c r="D234" s="219" t="n">
        <f aca="false">IF(Calculator!$E$14="YES",IF(A234&lt;Calculator!$G$14,0,MIN(MIN(MOD(A234/Calculator!$F$14,1),1-MOD(A234/Calculator!$F$14,1)),ABS(MOD(A234/Calculator!$F$14,1)-0.5))),1)</f>
        <v>1</v>
      </c>
      <c r="E234" s="219" t="n">
        <f aca="false">IF(Calculator!$E$15="YES",IF(A234&lt;Calculator!$G$15,0,MIN(MIN(MOD(A234/Calculator!$F$15,1),1-MOD(A234/Calculator!$F$15,1)),ABS(MOD(A234/Calculator!$F$15,1)-0.5))),1)</f>
        <v>0.110140350877193</v>
      </c>
      <c r="F234" s="219" t="n">
        <f aca="false">IF(Calculator!$E$16="YES",IF(A234&lt;Calculator!$G$16,0,MIN(MIN(MOD(A234/Calculator!$F$16,1),1-MOD(A234/Calculator!$F$16,1)),ABS(MOD(A234/Calculator!$F$16,1)-0.5))),1)</f>
        <v>1</v>
      </c>
      <c r="G234" s="219" t="n">
        <f aca="false">IF(Calculator!$E$17="YES",IF(A234&lt;Calculator!$G$17,0,MIN(MIN(MOD(A234/Calculator!$F$17,1),1-MOD(A234/Calculator!$F$17,1)),ABS(MOD(A234/Calculator!$F$17,1)-0.5))),1)</f>
        <v>0.244578947368421</v>
      </c>
      <c r="H234" s="219" t="n">
        <f aca="false">IF(Calculator!$E$18="YES",IF(A234&lt;Calculator!$G$18,0,MIN(MIN(MOD(A234/Calculator!$F$18,1),1-MOD(A234/Calculator!$F$18,1)),ABS(MOD(A234/Calculator!$F$18,1)-0.5))),1)</f>
        <v>1</v>
      </c>
      <c r="I234" s="219" t="n">
        <f aca="false">IF(Calculator!$E$19="YES",IF(A234&lt;Calculator!$G$19,0,MIN(MIN(MOD(A234/Calculator!$F$19,1),1-MOD(A234/Calculator!$F$19,1)),ABS(MOD(A234/Calculator!$F$19,1)-0.5))),1)</f>
        <v>1</v>
      </c>
      <c r="J234" s="219" t="n">
        <f aca="false">IF(Calculator!$E$20="YES",IF(A234&lt;Calculator!$G$20,0,MIN(MIN(MOD(A234/Calculator!$F$20,1),1-MOD(A234/Calculator!$F$20,1)),ABS(MOD(A234/Calculator!$F$20,1)-0.5))),1)</f>
        <v>1</v>
      </c>
      <c r="K234" s="219" t="n">
        <f aca="false">IF(Calculator!$E$21="YES",IF(A234&lt;Calculator!$G$21,0,MIN(MIN(MOD(A234/Calculator!$F$21,1),1-MOD(A234/Calculator!$F$21,1)),ABS(MOD(A234/Calculator!$F$21,1)-0.5))),1)</f>
        <v>0.108035087719298</v>
      </c>
      <c r="L234" s="219" t="n">
        <f aca="false">IF(Calculator!$E$22="YES",IF(A234&lt;Calculator!$G$22,0,MIN(MIN(MOD(A234/Calculator!$F$22,1),1-MOD(A234/Calculator!$F$22,1)),ABS(MOD(A234/Calculator!$F$22,1)-0.5))),1)</f>
        <v>1</v>
      </c>
      <c r="M234" s="219" t="n">
        <f aca="false">MIN(B234:L234)</f>
        <v>0.108035087719298</v>
      </c>
      <c r="N234" s="219" t="n">
        <f aca="false">SUMPRODUCT(($M$7:$M$557&gt;M234)*1)+SUMPRODUCT(($M$7:$M$557=M234)*(ROW($M$7:$M$557)&lt;ROW(M234)))+1</f>
        <v>87</v>
      </c>
      <c r="O234" s="219" t="str">
        <f aca="false">IF(M234&gt;=0.2,"★★★ EXCELLENT",IF(M234&gt;=0.12,"★★  GOOD",IF(M234&gt;=0.07,"★  FAIR",IF(M234&gt;=0.025,"⚠  MARGINAL","✗  AVOID"))))</f>
        <v>★  FAIR</v>
      </c>
    </row>
    <row r="235" customFormat="false" ht="15" hidden="false" customHeight="true" outlineLevel="0" collapsed="false">
      <c r="A235" s="216" t="n">
        <v>27.8</v>
      </c>
      <c r="B235" s="217" t="n">
        <f aca="false">IF(Calculator!$E$12="YES",IF(A235&lt;Calculator!$G$12,0,MIN(MIN(MOD(A235/Calculator!$F$12,1),1-MOD(A235/Calculator!$F$12,1)),ABS(MOD(A235/Calculator!$F$12,1)-0.5))),1)</f>
        <v>1</v>
      </c>
      <c r="C235" s="217" t="n">
        <f aca="false">IF(Calculator!$E$13="YES",IF(A235&lt;Calculator!$G$13,0,MIN(MIN(MOD(A235/Calculator!$F$13,1),1-MOD(A235/Calculator!$F$13,1)),ABS(MOD(A235/Calculator!$F$13,1)-0.5))),1)</f>
        <v>1</v>
      </c>
      <c r="D235" s="217" t="n">
        <f aca="false">IF(Calculator!$E$14="YES",IF(A235&lt;Calculator!$G$14,0,MIN(MIN(MOD(A235/Calculator!$F$14,1),1-MOD(A235/Calculator!$F$14,1)),ABS(MOD(A235/Calculator!$F$14,1)-0.5))),1)</f>
        <v>1</v>
      </c>
      <c r="E235" s="217" t="n">
        <f aca="false">IF(Calculator!$E$15="YES",IF(A235&lt;Calculator!$G$15,0,MIN(MIN(MOD(A235/Calculator!$F$15,1),1-MOD(A235/Calculator!$F$15,1)),ABS(MOD(A235/Calculator!$F$15,1)-0.5))),1)</f>
        <v>0.105122807017544</v>
      </c>
      <c r="F235" s="217" t="n">
        <f aca="false">IF(Calculator!$E$16="YES",IF(A235&lt;Calculator!$G$16,0,MIN(MIN(MOD(A235/Calculator!$F$16,1),1-MOD(A235/Calculator!$F$16,1)),ABS(MOD(A235/Calculator!$F$16,1)-0.5))),1)</f>
        <v>1</v>
      </c>
      <c r="G235" s="217" t="n">
        <f aca="false">IF(Calculator!$E$17="YES",IF(A235&lt;Calculator!$G$17,0,MIN(MIN(MOD(A235/Calculator!$F$17,1),1-MOD(A235/Calculator!$F$17,1)),ABS(MOD(A235/Calculator!$F$17,1)-0.5))),1)</f>
        <v>0.234631578947368</v>
      </c>
      <c r="H235" s="217" t="n">
        <f aca="false">IF(Calculator!$E$18="YES",IF(A235&lt;Calculator!$G$18,0,MIN(MIN(MOD(A235/Calculator!$F$18,1),1-MOD(A235/Calculator!$F$18,1)),ABS(MOD(A235/Calculator!$F$18,1)-0.5))),1)</f>
        <v>1</v>
      </c>
      <c r="I235" s="217" t="n">
        <f aca="false">IF(Calculator!$E$19="YES",IF(A235&lt;Calculator!$G$19,0,MIN(MIN(MOD(A235/Calculator!$F$19,1),1-MOD(A235/Calculator!$F$19,1)),ABS(MOD(A235/Calculator!$F$19,1)-0.5))),1)</f>
        <v>1</v>
      </c>
      <c r="J235" s="217" t="n">
        <f aca="false">IF(Calculator!$E$20="YES",IF(A235&lt;Calculator!$G$20,0,MIN(MIN(MOD(A235/Calculator!$F$20,1),1-MOD(A235/Calculator!$F$20,1)),ABS(MOD(A235/Calculator!$F$20,1)-0.5))),1)</f>
        <v>1</v>
      </c>
      <c r="K235" s="217" t="n">
        <f aca="false">IF(Calculator!$E$21="YES",IF(A235&lt;Calculator!$G$21,0,MIN(MIN(MOD(A235/Calculator!$F$21,1),1-MOD(A235/Calculator!$F$21,1)),ABS(MOD(A235/Calculator!$F$21,1)-0.5))),1)</f>
        <v>0.128280701754386</v>
      </c>
      <c r="L235" s="217" t="n">
        <f aca="false">IF(Calculator!$E$22="YES",IF(A235&lt;Calculator!$G$22,0,MIN(MIN(MOD(A235/Calculator!$F$22,1),1-MOD(A235/Calculator!$F$22,1)),ABS(MOD(A235/Calculator!$F$22,1)-0.5))),1)</f>
        <v>1</v>
      </c>
      <c r="M235" s="217" t="n">
        <f aca="false">MIN(B235:L235)</f>
        <v>0.105122807017544</v>
      </c>
      <c r="N235" s="217" t="n">
        <f aca="false">SUMPRODUCT(($M$7:$M$557&gt;M235)*1)+SUMPRODUCT(($M$7:$M$557=M235)*(ROW($M$7:$M$557)&lt;ROW(M235)))+1</f>
        <v>94</v>
      </c>
      <c r="O235" s="217" t="str">
        <f aca="false">IF(M235&gt;=0.2,"★★★ EXCELLENT",IF(M235&gt;=0.12,"★★  GOOD",IF(M235&gt;=0.07,"★  FAIR",IF(M235&gt;=0.025,"⚠  MARGINAL","✗  AVOID"))))</f>
        <v>★  FAIR</v>
      </c>
    </row>
    <row r="236" customFormat="false" ht="15" hidden="false" customHeight="true" outlineLevel="0" collapsed="false">
      <c r="A236" s="218" t="n">
        <v>27.9</v>
      </c>
      <c r="B236" s="219" t="n">
        <f aca="false">IF(Calculator!$E$12="YES",IF(A236&lt;Calculator!$G$12,0,MIN(MIN(MOD(A236/Calculator!$F$12,1),1-MOD(A236/Calculator!$F$12,1)),ABS(MOD(A236/Calculator!$F$12,1)-0.5))),1)</f>
        <v>1</v>
      </c>
      <c r="C236" s="219" t="n">
        <f aca="false">IF(Calculator!$E$13="YES",IF(A236&lt;Calculator!$G$13,0,MIN(MIN(MOD(A236/Calculator!$F$13,1),1-MOD(A236/Calculator!$F$13,1)),ABS(MOD(A236/Calculator!$F$13,1)-0.5))),1)</f>
        <v>1</v>
      </c>
      <c r="D236" s="219" t="n">
        <f aca="false">IF(Calculator!$E$14="YES",IF(A236&lt;Calculator!$G$14,0,MIN(MIN(MOD(A236/Calculator!$F$14,1),1-MOD(A236/Calculator!$F$14,1)),ABS(MOD(A236/Calculator!$F$14,1)-0.5))),1)</f>
        <v>1</v>
      </c>
      <c r="E236" s="219" t="n">
        <f aca="false">IF(Calculator!$E$15="YES",IF(A236&lt;Calculator!$G$15,0,MIN(MIN(MOD(A236/Calculator!$F$15,1),1-MOD(A236/Calculator!$F$15,1)),ABS(MOD(A236/Calculator!$F$15,1)-0.5))),1)</f>
        <v>0.100105263157895</v>
      </c>
      <c r="F236" s="219" t="n">
        <f aca="false">IF(Calculator!$E$16="YES",IF(A236&lt;Calculator!$G$16,0,MIN(MIN(MOD(A236/Calculator!$F$16,1),1-MOD(A236/Calculator!$F$16,1)),ABS(MOD(A236/Calculator!$F$16,1)-0.5))),1)</f>
        <v>1</v>
      </c>
      <c r="G236" s="219" t="n">
        <f aca="false">IF(Calculator!$E$17="YES",IF(A236&lt;Calculator!$G$17,0,MIN(MIN(MOD(A236/Calculator!$F$17,1),1-MOD(A236/Calculator!$F$17,1)),ABS(MOD(A236/Calculator!$F$17,1)-0.5))),1)</f>
        <v>0.224684210526316</v>
      </c>
      <c r="H236" s="219" t="n">
        <f aca="false">IF(Calculator!$E$18="YES",IF(A236&lt;Calculator!$G$18,0,MIN(MIN(MOD(A236/Calculator!$F$18,1),1-MOD(A236/Calculator!$F$18,1)),ABS(MOD(A236/Calculator!$F$18,1)-0.5))),1)</f>
        <v>1</v>
      </c>
      <c r="I236" s="219" t="n">
        <f aca="false">IF(Calculator!$E$19="YES",IF(A236&lt;Calculator!$G$19,0,MIN(MIN(MOD(A236/Calculator!$F$19,1),1-MOD(A236/Calculator!$F$19,1)),ABS(MOD(A236/Calculator!$F$19,1)-0.5))),1)</f>
        <v>1</v>
      </c>
      <c r="J236" s="219" t="n">
        <f aca="false">IF(Calculator!$E$20="YES",IF(A236&lt;Calculator!$G$20,0,MIN(MIN(MOD(A236/Calculator!$F$20,1),1-MOD(A236/Calculator!$F$20,1)),ABS(MOD(A236/Calculator!$F$20,1)-0.5))),1)</f>
        <v>1</v>
      </c>
      <c r="K236" s="219" t="n">
        <f aca="false">IF(Calculator!$E$21="YES",IF(A236&lt;Calculator!$G$21,0,MIN(MIN(MOD(A236/Calculator!$F$21,1),1-MOD(A236/Calculator!$F$21,1)),ABS(MOD(A236/Calculator!$F$21,1)-0.5))),1)</f>
        <v>0.148526315789473</v>
      </c>
      <c r="L236" s="219" t="n">
        <f aca="false">IF(Calculator!$E$22="YES",IF(A236&lt;Calculator!$G$22,0,MIN(MIN(MOD(A236/Calculator!$F$22,1),1-MOD(A236/Calculator!$F$22,1)),ABS(MOD(A236/Calculator!$F$22,1)-0.5))),1)</f>
        <v>1</v>
      </c>
      <c r="M236" s="219" t="n">
        <f aca="false">MIN(B236:L236)</f>
        <v>0.100105263157895</v>
      </c>
      <c r="N236" s="219" t="n">
        <f aca="false">SUMPRODUCT(($M$7:$M$557&gt;M236)*1)+SUMPRODUCT(($M$7:$M$557=M236)*(ROW($M$7:$M$557)&lt;ROW(M236)))+1</f>
        <v>106</v>
      </c>
      <c r="O236" s="219" t="str">
        <f aca="false">IF(M236&gt;=0.2,"★★★ EXCELLENT",IF(M236&gt;=0.12,"★★  GOOD",IF(M236&gt;=0.07,"★  FAIR",IF(M236&gt;=0.025,"⚠  MARGINAL","✗  AVOID"))))</f>
        <v>★  FAIR</v>
      </c>
    </row>
    <row r="237" customFormat="false" ht="15" hidden="false" customHeight="true" outlineLevel="0" collapsed="false">
      <c r="A237" s="216" t="n">
        <v>28</v>
      </c>
      <c r="B237" s="217" t="n">
        <f aca="false">IF(Calculator!$E$12="YES",IF(A237&lt;Calculator!$G$12,0,MIN(MIN(MOD(A237/Calculator!$F$12,1),1-MOD(A237/Calculator!$F$12,1)),ABS(MOD(A237/Calculator!$F$12,1)-0.5))),1)</f>
        <v>1</v>
      </c>
      <c r="C237" s="217" t="n">
        <f aca="false">IF(Calculator!$E$13="YES",IF(A237&lt;Calculator!$G$13,0,MIN(MIN(MOD(A237/Calculator!$F$13,1),1-MOD(A237/Calculator!$F$13,1)),ABS(MOD(A237/Calculator!$F$13,1)-0.5))),1)</f>
        <v>1</v>
      </c>
      <c r="D237" s="217" t="n">
        <f aca="false">IF(Calculator!$E$14="YES",IF(A237&lt;Calculator!$G$14,0,MIN(MIN(MOD(A237/Calculator!$F$14,1),1-MOD(A237/Calculator!$F$14,1)),ABS(MOD(A237/Calculator!$F$14,1)-0.5))),1)</f>
        <v>1</v>
      </c>
      <c r="E237" s="217" t="n">
        <f aca="false">IF(Calculator!$E$15="YES",IF(A237&lt;Calculator!$G$15,0,MIN(MIN(MOD(A237/Calculator!$F$15,1),1-MOD(A237/Calculator!$F$15,1)),ABS(MOD(A237/Calculator!$F$15,1)-0.5))),1)</f>
        <v>0.0950877192982456</v>
      </c>
      <c r="F237" s="217" t="n">
        <f aca="false">IF(Calculator!$E$16="YES",IF(A237&lt;Calculator!$G$16,0,MIN(MIN(MOD(A237/Calculator!$F$16,1),1-MOD(A237/Calculator!$F$16,1)),ABS(MOD(A237/Calculator!$F$16,1)-0.5))),1)</f>
        <v>1</v>
      </c>
      <c r="G237" s="217" t="n">
        <f aca="false">IF(Calculator!$E$17="YES",IF(A237&lt;Calculator!$G$17,0,MIN(MIN(MOD(A237/Calculator!$F$17,1),1-MOD(A237/Calculator!$F$17,1)),ABS(MOD(A237/Calculator!$F$17,1)-0.5))),1)</f>
        <v>0.214736842105263</v>
      </c>
      <c r="H237" s="217" t="n">
        <f aca="false">IF(Calculator!$E$18="YES",IF(A237&lt;Calculator!$G$18,0,MIN(MIN(MOD(A237/Calculator!$F$18,1),1-MOD(A237/Calculator!$F$18,1)),ABS(MOD(A237/Calculator!$F$18,1)-0.5))),1)</f>
        <v>1</v>
      </c>
      <c r="I237" s="217" t="n">
        <f aca="false">IF(Calculator!$E$19="YES",IF(A237&lt;Calculator!$G$19,0,MIN(MIN(MOD(A237/Calculator!$F$19,1),1-MOD(A237/Calculator!$F$19,1)),ABS(MOD(A237/Calculator!$F$19,1)-0.5))),1)</f>
        <v>1</v>
      </c>
      <c r="J237" s="217" t="n">
        <f aca="false">IF(Calculator!$E$20="YES",IF(A237&lt;Calculator!$G$20,0,MIN(MIN(MOD(A237/Calculator!$F$20,1),1-MOD(A237/Calculator!$F$20,1)),ABS(MOD(A237/Calculator!$F$20,1)-0.5))),1)</f>
        <v>1</v>
      </c>
      <c r="K237" s="217" t="n">
        <f aca="false">IF(Calculator!$E$21="YES",IF(A237&lt;Calculator!$G$21,0,MIN(MIN(MOD(A237/Calculator!$F$21,1),1-MOD(A237/Calculator!$F$21,1)),ABS(MOD(A237/Calculator!$F$21,1)-0.5))),1)</f>
        <v>0.168771929824561</v>
      </c>
      <c r="L237" s="217" t="n">
        <f aca="false">IF(Calculator!$E$22="YES",IF(A237&lt;Calculator!$G$22,0,MIN(MIN(MOD(A237/Calculator!$F$22,1),1-MOD(A237/Calculator!$F$22,1)),ABS(MOD(A237/Calculator!$F$22,1)-0.5))),1)</f>
        <v>1</v>
      </c>
      <c r="M237" s="217" t="n">
        <f aca="false">MIN(B237:L237)</f>
        <v>0.0950877192982456</v>
      </c>
      <c r="N237" s="217" t="n">
        <f aca="false">SUMPRODUCT(($M$7:$M$557&gt;M237)*1)+SUMPRODUCT(($M$7:$M$557=M237)*(ROW($M$7:$M$557)&lt;ROW(M237)))+1</f>
        <v>119</v>
      </c>
      <c r="O237" s="217" t="str">
        <f aca="false">IF(M237&gt;=0.2,"★★★ EXCELLENT",IF(M237&gt;=0.12,"★★  GOOD",IF(M237&gt;=0.07,"★  FAIR",IF(M237&gt;=0.025,"⚠  MARGINAL","✗  AVOID"))))</f>
        <v>★  FAIR</v>
      </c>
    </row>
    <row r="238" customFormat="false" ht="15" hidden="false" customHeight="true" outlineLevel="0" collapsed="false">
      <c r="A238" s="218" t="n">
        <v>28.1</v>
      </c>
      <c r="B238" s="219" t="n">
        <f aca="false">IF(Calculator!$E$12="YES",IF(A238&lt;Calculator!$G$12,0,MIN(MIN(MOD(A238/Calculator!$F$12,1),1-MOD(A238/Calculator!$F$12,1)),ABS(MOD(A238/Calculator!$F$12,1)-0.5))),1)</f>
        <v>1</v>
      </c>
      <c r="C238" s="219" t="n">
        <f aca="false">IF(Calculator!$E$13="YES",IF(A238&lt;Calculator!$G$13,0,MIN(MIN(MOD(A238/Calculator!$F$13,1),1-MOD(A238/Calculator!$F$13,1)),ABS(MOD(A238/Calculator!$F$13,1)-0.5))),1)</f>
        <v>1</v>
      </c>
      <c r="D238" s="219" t="n">
        <f aca="false">IF(Calculator!$E$14="YES",IF(A238&lt;Calculator!$G$14,0,MIN(MIN(MOD(A238/Calculator!$F$14,1),1-MOD(A238/Calculator!$F$14,1)),ABS(MOD(A238/Calculator!$F$14,1)-0.5))),1)</f>
        <v>1</v>
      </c>
      <c r="E238" s="219" t="n">
        <f aca="false">IF(Calculator!$E$15="YES",IF(A238&lt;Calculator!$G$15,0,MIN(MIN(MOD(A238/Calculator!$F$15,1),1-MOD(A238/Calculator!$F$15,1)),ABS(MOD(A238/Calculator!$F$15,1)-0.5))),1)</f>
        <v>0.0900701754385964</v>
      </c>
      <c r="F238" s="219" t="n">
        <f aca="false">IF(Calculator!$E$16="YES",IF(A238&lt;Calculator!$G$16,0,MIN(MIN(MOD(A238/Calculator!$F$16,1),1-MOD(A238/Calculator!$F$16,1)),ABS(MOD(A238/Calculator!$F$16,1)-0.5))),1)</f>
        <v>1</v>
      </c>
      <c r="G238" s="219" t="n">
        <f aca="false">IF(Calculator!$E$17="YES",IF(A238&lt;Calculator!$G$17,0,MIN(MIN(MOD(A238/Calculator!$F$17,1),1-MOD(A238/Calculator!$F$17,1)),ABS(MOD(A238/Calculator!$F$17,1)-0.5))),1)</f>
        <v>0.20478947368421</v>
      </c>
      <c r="H238" s="219" t="n">
        <f aca="false">IF(Calculator!$E$18="YES",IF(A238&lt;Calculator!$G$18,0,MIN(MIN(MOD(A238/Calculator!$F$18,1),1-MOD(A238/Calculator!$F$18,1)),ABS(MOD(A238/Calculator!$F$18,1)-0.5))),1)</f>
        <v>1</v>
      </c>
      <c r="I238" s="219" t="n">
        <f aca="false">IF(Calculator!$E$19="YES",IF(A238&lt;Calculator!$G$19,0,MIN(MIN(MOD(A238/Calculator!$F$19,1),1-MOD(A238/Calculator!$F$19,1)),ABS(MOD(A238/Calculator!$F$19,1)-0.5))),1)</f>
        <v>1</v>
      </c>
      <c r="J238" s="219" t="n">
        <f aca="false">IF(Calculator!$E$20="YES",IF(A238&lt;Calculator!$G$20,0,MIN(MIN(MOD(A238/Calculator!$F$20,1),1-MOD(A238/Calculator!$F$20,1)),ABS(MOD(A238/Calculator!$F$20,1)-0.5))),1)</f>
        <v>1</v>
      </c>
      <c r="K238" s="219" t="n">
        <f aca="false">IF(Calculator!$E$21="YES",IF(A238&lt;Calculator!$G$21,0,MIN(MIN(MOD(A238/Calculator!$F$21,1),1-MOD(A238/Calculator!$F$21,1)),ABS(MOD(A238/Calculator!$F$21,1)-0.5))),1)</f>
        <v>0.18901754385965</v>
      </c>
      <c r="L238" s="219" t="n">
        <f aca="false">IF(Calculator!$E$22="YES",IF(A238&lt;Calculator!$G$22,0,MIN(MIN(MOD(A238/Calculator!$F$22,1),1-MOD(A238/Calculator!$F$22,1)),ABS(MOD(A238/Calculator!$F$22,1)-0.5))),1)</f>
        <v>1</v>
      </c>
      <c r="M238" s="219" t="n">
        <f aca="false">MIN(B238:L238)</f>
        <v>0.0900701754385964</v>
      </c>
      <c r="N238" s="219" t="n">
        <f aca="false">SUMPRODUCT(($M$7:$M$557&gt;M238)*1)+SUMPRODUCT(($M$7:$M$557=M238)*(ROW($M$7:$M$557)&lt;ROW(M238)))+1</f>
        <v>135</v>
      </c>
      <c r="O238" s="219" t="str">
        <f aca="false">IF(M238&gt;=0.2,"★★★ EXCELLENT",IF(M238&gt;=0.12,"★★  GOOD",IF(M238&gt;=0.07,"★  FAIR",IF(M238&gt;=0.025,"⚠  MARGINAL","✗  AVOID"))))</f>
        <v>★  FAIR</v>
      </c>
    </row>
    <row r="239" customFormat="false" ht="15" hidden="false" customHeight="true" outlineLevel="0" collapsed="false">
      <c r="A239" s="216" t="n">
        <v>28.2</v>
      </c>
      <c r="B239" s="217" t="n">
        <f aca="false">IF(Calculator!$E$12="YES",IF(A239&lt;Calculator!$G$12,0,MIN(MIN(MOD(A239/Calculator!$F$12,1),1-MOD(A239/Calculator!$F$12,1)),ABS(MOD(A239/Calculator!$F$12,1)-0.5))),1)</f>
        <v>1</v>
      </c>
      <c r="C239" s="217" t="n">
        <f aca="false">IF(Calculator!$E$13="YES",IF(A239&lt;Calculator!$G$13,0,MIN(MIN(MOD(A239/Calculator!$F$13,1),1-MOD(A239/Calculator!$F$13,1)),ABS(MOD(A239/Calculator!$F$13,1)-0.5))),1)</f>
        <v>1</v>
      </c>
      <c r="D239" s="217" t="n">
        <f aca="false">IF(Calculator!$E$14="YES",IF(A239&lt;Calculator!$G$14,0,MIN(MIN(MOD(A239/Calculator!$F$14,1),1-MOD(A239/Calculator!$F$14,1)),ABS(MOD(A239/Calculator!$F$14,1)-0.5))),1)</f>
        <v>1</v>
      </c>
      <c r="E239" s="217" t="n">
        <f aca="false">IF(Calculator!$E$15="YES",IF(A239&lt;Calculator!$G$15,0,MIN(MIN(MOD(A239/Calculator!$F$15,1),1-MOD(A239/Calculator!$F$15,1)),ABS(MOD(A239/Calculator!$F$15,1)-0.5))),1)</f>
        <v>0.0850526315789475</v>
      </c>
      <c r="F239" s="217" t="n">
        <f aca="false">IF(Calculator!$E$16="YES",IF(A239&lt;Calculator!$G$16,0,MIN(MIN(MOD(A239/Calculator!$F$16,1),1-MOD(A239/Calculator!$F$16,1)),ABS(MOD(A239/Calculator!$F$16,1)-0.5))),1)</f>
        <v>1</v>
      </c>
      <c r="G239" s="217" t="n">
        <f aca="false">IF(Calculator!$E$17="YES",IF(A239&lt;Calculator!$G$17,0,MIN(MIN(MOD(A239/Calculator!$F$17,1),1-MOD(A239/Calculator!$F$17,1)),ABS(MOD(A239/Calculator!$F$17,1)-0.5))),1)</f>
        <v>0.194842105263158</v>
      </c>
      <c r="H239" s="217" t="n">
        <f aca="false">IF(Calculator!$E$18="YES",IF(A239&lt;Calculator!$G$18,0,MIN(MIN(MOD(A239/Calculator!$F$18,1),1-MOD(A239/Calculator!$F$18,1)),ABS(MOD(A239/Calculator!$F$18,1)-0.5))),1)</f>
        <v>1</v>
      </c>
      <c r="I239" s="217" t="n">
        <f aca="false">IF(Calculator!$E$19="YES",IF(A239&lt;Calculator!$G$19,0,MIN(MIN(MOD(A239/Calculator!$F$19,1),1-MOD(A239/Calculator!$F$19,1)),ABS(MOD(A239/Calculator!$F$19,1)-0.5))),1)</f>
        <v>1</v>
      </c>
      <c r="J239" s="217" t="n">
        <f aca="false">IF(Calculator!$E$20="YES",IF(A239&lt;Calculator!$G$20,0,MIN(MIN(MOD(A239/Calculator!$F$20,1),1-MOD(A239/Calculator!$F$20,1)),ABS(MOD(A239/Calculator!$F$20,1)-0.5))),1)</f>
        <v>1</v>
      </c>
      <c r="K239" s="217" t="n">
        <f aca="false">IF(Calculator!$E$21="YES",IF(A239&lt;Calculator!$G$21,0,MIN(MIN(MOD(A239/Calculator!$F$21,1),1-MOD(A239/Calculator!$F$21,1)),ABS(MOD(A239/Calculator!$F$21,1)-0.5))),1)</f>
        <v>0.209263157894736</v>
      </c>
      <c r="L239" s="217" t="n">
        <f aca="false">IF(Calculator!$E$22="YES",IF(A239&lt;Calculator!$G$22,0,MIN(MIN(MOD(A239/Calculator!$F$22,1),1-MOD(A239/Calculator!$F$22,1)),ABS(MOD(A239/Calculator!$F$22,1)-0.5))),1)</f>
        <v>1</v>
      </c>
      <c r="M239" s="217" t="n">
        <f aca="false">MIN(B239:L239)</f>
        <v>0.0850526315789475</v>
      </c>
      <c r="N239" s="217" t="n">
        <f aca="false">SUMPRODUCT(($M$7:$M$557&gt;M239)*1)+SUMPRODUCT(($M$7:$M$557=M239)*(ROW($M$7:$M$557)&lt;ROW(M239)))+1</f>
        <v>151</v>
      </c>
      <c r="O239" s="217" t="str">
        <f aca="false">IF(M239&gt;=0.2,"★★★ EXCELLENT",IF(M239&gt;=0.12,"★★  GOOD",IF(M239&gt;=0.07,"★  FAIR",IF(M239&gt;=0.025,"⚠  MARGINAL","✗  AVOID"))))</f>
        <v>★  FAIR</v>
      </c>
    </row>
    <row r="240" customFormat="false" ht="15" hidden="false" customHeight="true" outlineLevel="0" collapsed="false">
      <c r="A240" s="218" t="n">
        <v>28.3</v>
      </c>
      <c r="B240" s="219" t="n">
        <f aca="false">IF(Calculator!$E$12="YES",IF(A240&lt;Calculator!$G$12,0,MIN(MIN(MOD(A240/Calculator!$F$12,1),1-MOD(A240/Calculator!$F$12,1)),ABS(MOD(A240/Calculator!$F$12,1)-0.5))),1)</f>
        <v>1</v>
      </c>
      <c r="C240" s="219" t="n">
        <f aca="false">IF(Calculator!$E$13="YES",IF(A240&lt;Calculator!$G$13,0,MIN(MIN(MOD(A240/Calculator!$F$13,1),1-MOD(A240/Calculator!$F$13,1)),ABS(MOD(A240/Calculator!$F$13,1)-0.5))),1)</f>
        <v>1</v>
      </c>
      <c r="D240" s="219" t="n">
        <f aca="false">IF(Calculator!$E$14="YES",IF(A240&lt;Calculator!$G$14,0,MIN(MIN(MOD(A240/Calculator!$F$14,1),1-MOD(A240/Calculator!$F$14,1)),ABS(MOD(A240/Calculator!$F$14,1)-0.5))),1)</f>
        <v>1</v>
      </c>
      <c r="E240" s="219" t="n">
        <f aca="false">IF(Calculator!$E$15="YES",IF(A240&lt;Calculator!$G$15,0,MIN(MIN(MOD(A240/Calculator!$F$15,1),1-MOD(A240/Calculator!$F$15,1)),ABS(MOD(A240/Calculator!$F$15,1)-0.5))),1)</f>
        <v>0.0800350877192981</v>
      </c>
      <c r="F240" s="219" t="n">
        <f aca="false">IF(Calculator!$E$16="YES",IF(A240&lt;Calculator!$G$16,0,MIN(MIN(MOD(A240/Calculator!$F$16,1),1-MOD(A240/Calculator!$F$16,1)),ABS(MOD(A240/Calculator!$F$16,1)-0.5))),1)</f>
        <v>1</v>
      </c>
      <c r="G240" s="219" t="n">
        <f aca="false">IF(Calculator!$E$17="YES",IF(A240&lt;Calculator!$G$17,0,MIN(MIN(MOD(A240/Calculator!$F$17,1),1-MOD(A240/Calculator!$F$17,1)),ABS(MOD(A240/Calculator!$F$17,1)-0.5))),1)</f>
        <v>0.184894736842105</v>
      </c>
      <c r="H240" s="219" t="n">
        <f aca="false">IF(Calculator!$E$18="YES",IF(A240&lt;Calculator!$G$18,0,MIN(MIN(MOD(A240/Calculator!$F$18,1),1-MOD(A240/Calculator!$F$18,1)),ABS(MOD(A240/Calculator!$F$18,1)-0.5))),1)</f>
        <v>1</v>
      </c>
      <c r="I240" s="219" t="n">
        <f aca="false">IF(Calculator!$E$19="YES",IF(A240&lt;Calculator!$G$19,0,MIN(MIN(MOD(A240/Calculator!$F$19,1),1-MOD(A240/Calculator!$F$19,1)),ABS(MOD(A240/Calculator!$F$19,1)-0.5))),1)</f>
        <v>1</v>
      </c>
      <c r="J240" s="219" t="n">
        <f aca="false">IF(Calculator!$E$20="YES",IF(A240&lt;Calculator!$G$20,0,MIN(MIN(MOD(A240/Calculator!$F$20,1),1-MOD(A240/Calculator!$F$20,1)),ABS(MOD(A240/Calculator!$F$20,1)-0.5))),1)</f>
        <v>1</v>
      </c>
      <c r="K240" s="219" t="n">
        <f aca="false">IF(Calculator!$E$21="YES",IF(A240&lt;Calculator!$G$21,0,MIN(MIN(MOD(A240/Calculator!$F$21,1),1-MOD(A240/Calculator!$F$21,1)),ABS(MOD(A240/Calculator!$F$21,1)-0.5))),1)</f>
        <v>0.229508771929825</v>
      </c>
      <c r="L240" s="219" t="n">
        <f aca="false">IF(Calculator!$E$22="YES",IF(A240&lt;Calculator!$G$22,0,MIN(MIN(MOD(A240/Calculator!$F$22,1),1-MOD(A240/Calculator!$F$22,1)),ABS(MOD(A240/Calculator!$F$22,1)-0.5))),1)</f>
        <v>1</v>
      </c>
      <c r="M240" s="219" t="n">
        <f aca="false">MIN(B240:L240)</f>
        <v>0.0800350877192981</v>
      </c>
      <c r="N240" s="219" t="n">
        <f aca="false">SUMPRODUCT(($M$7:$M$557&gt;M240)*1)+SUMPRODUCT(($M$7:$M$557=M240)*(ROW($M$7:$M$557)&lt;ROW(M240)))+1</f>
        <v>169</v>
      </c>
      <c r="O240" s="219" t="str">
        <f aca="false">IF(M240&gt;=0.2,"★★★ EXCELLENT",IF(M240&gt;=0.12,"★★  GOOD",IF(M240&gt;=0.07,"★  FAIR",IF(M240&gt;=0.025,"⚠  MARGINAL","✗  AVOID"))))</f>
        <v>★  FAIR</v>
      </c>
    </row>
    <row r="241" customFormat="false" ht="15" hidden="false" customHeight="true" outlineLevel="0" collapsed="false">
      <c r="A241" s="216" t="n">
        <v>28.4</v>
      </c>
      <c r="B241" s="217" t="n">
        <f aca="false">IF(Calculator!$E$12="YES",IF(A241&lt;Calculator!$G$12,0,MIN(MIN(MOD(A241/Calculator!$F$12,1),1-MOD(A241/Calculator!$F$12,1)),ABS(MOD(A241/Calculator!$F$12,1)-0.5))),1)</f>
        <v>1</v>
      </c>
      <c r="C241" s="217" t="n">
        <f aca="false">IF(Calculator!$E$13="YES",IF(A241&lt;Calculator!$G$13,0,MIN(MIN(MOD(A241/Calculator!$F$13,1),1-MOD(A241/Calculator!$F$13,1)),ABS(MOD(A241/Calculator!$F$13,1)-0.5))),1)</f>
        <v>1</v>
      </c>
      <c r="D241" s="217" t="n">
        <f aca="false">IF(Calculator!$E$14="YES",IF(A241&lt;Calculator!$G$14,0,MIN(MIN(MOD(A241/Calculator!$F$14,1),1-MOD(A241/Calculator!$F$14,1)),ABS(MOD(A241/Calculator!$F$14,1)-0.5))),1)</f>
        <v>1</v>
      </c>
      <c r="E241" s="217" t="n">
        <f aca="false">IF(Calculator!$E$15="YES",IF(A241&lt;Calculator!$G$15,0,MIN(MIN(MOD(A241/Calculator!$F$15,1),1-MOD(A241/Calculator!$F$15,1)),ABS(MOD(A241/Calculator!$F$15,1)-0.5))),1)</f>
        <v>0.0750175438596492</v>
      </c>
      <c r="F241" s="217" t="n">
        <f aca="false">IF(Calculator!$E$16="YES",IF(A241&lt;Calculator!$G$16,0,MIN(MIN(MOD(A241/Calculator!$F$16,1),1-MOD(A241/Calculator!$F$16,1)),ABS(MOD(A241/Calculator!$F$16,1)-0.5))),1)</f>
        <v>1</v>
      </c>
      <c r="G241" s="217" t="n">
        <f aca="false">IF(Calculator!$E$17="YES",IF(A241&lt;Calculator!$G$17,0,MIN(MIN(MOD(A241/Calculator!$F$17,1),1-MOD(A241/Calculator!$F$17,1)),ABS(MOD(A241/Calculator!$F$17,1)-0.5))),1)</f>
        <v>0.174947368421053</v>
      </c>
      <c r="H241" s="217" t="n">
        <f aca="false">IF(Calculator!$E$18="YES",IF(A241&lt;Calculator!$G$18,0,MIN(MIN(MOD(A241/Calculator!$F$18,1),1-MOD(A241/Calculator!$F$18,1)),ABS(MOD(A241/Calculator!$F$18,1)-0.5))),1)</f>
        <v>1</v>
      </c>
      <c r="I241" s="217" t="n">
        <f aca="false">IF(Calculator!$E$19="YES",IF(A241&lt;Calculator!$G$19,0,MIN(MIN(MOD(A241/Calculator!$F$19,1),1-MOD(A241/Calculator!$F$19,1)),ABS(MOD(A241/Calculator!$F$19,1)-0.5))),1)</f>
        <v>1</v>
      </c>
      <c r="J241" s="217" t="n">
        <f aca="false">IF(Calculator!$E$20="YES",IF(A241&lt;Calculator!$G$20,0,MIN(MIN(MOD(A241/Calculator!$F$20,1),1-MOD(A241/Calculator!$F$20,1)),ABS(MOD(A241/Calculator!$F$20,1)-0.5))),1)</f>
        <v>1</v>
      </c>
      <c r="K241" s="217" t="n">
        <f aca="false">IF(Calculator!$E$21="YES",IF(A241&lt;Calculator!$G$21,0,MIN(MIN(MOD(A241/Calculator!$F$21,1),1-MOD(A241/Calculator!$F$21,1)),ABS(MOD(A241/Calculator!$F$21,1)-0.5))),1)</f>
        <v>0.249754385964912</v>
      </c>
      <c r="L241" s="217" t="n">
        <f aca="false">IF(Calculator!$E$22="YES",IF(A241&lt;Calculator!$G$22,0,MIN(MIN(MOD(A241/Calculator!$F$22,1),1-MOD(A241/Calculator!$F$22,1)),ABS(MOD(A241/Calculator!$F$22,1)-0.5))),1)</f>
        <v>1</v>
      </c>
      <c r="M241" s="217" t="n">
        <f aca="false">MIN(B241:L241)</f>
        <v>0.0750175438596492</v>
      </c>
      <c r="N241" s="217" t="n">
        <f aca="false">SUMPRODUCT(($M$7:$M$557&gt;M241)*1)+SUMPRODUCT(($M$7:$M$557=M241)*(ROW($M$7:$M$557)&lt;ROW(M241)))+1</f>
        <v>188</v>
      </c>
      <c r="O241" s="217" t="str">
        <f aca="false">IF(M241&gt;=0.2,"★★★ EXCELLENT",IF(M241&gt;=0.12,"★★  GOOD",IF(M241&gt;=0.07,"★  FAIR",IF(M241&gt;=0.025,"⚠  MARGINAL","✗  AVOID"))))</f>
        <v>★  FAIR</v>
      </c>
    </row>
    <row r="242" customFormat="false" ht="15" hidden="false" customHeight="true" outlineLevel="0" collapsed="false">
      <c r="A242" s="218" t="n">
        <v>28.5</v>
      </c>
      <c r="B242" s="219" t="n">
        <f aca="false">IF(Calculator!$E$12="YES",IF(A242&lt;Calculator!$G$12,0,MIN(MIN(MOD(A242/Calculator!$F$12,1),1-MOD(A242/Calculator!$F$12,1)),ABS(MOD(A242/Calculator!$F$12,1)-0.5))),1)</f>
        <v>1</v>
      </c>
      <c r="C242" s="219" t="n">
        <f aca="false">IF(Calculator!$E$13="YES",IF(A242&lt;Calculator!$G$13,0,MIN(MIN(MOD(A242/Calculator!$F$13,1),1-MOD(A242/Calculator!$F$13,1)),ABS(MOD(A242/Calculator!$F$13,1)-0.5))),1)</f>
        <v>1</v>
      </c>
      <c r="D242" s="219" t="n">
        <f aca="false">IF(Calculator!$E$14="YES",IF(A242&lt;Calculator!$G$14,0,MIN(MIN(MOD(A242/Calculator!$F$14,1),1-MOD(A242/Calculator!$F$14,1)),ABS(MOD(A242/Calculator!$F$14,1)-0.5))),1)</f>
        <v>1</v>
      </c>
      <c r="E242" s="219" t="n">
        <f aca="false">IF(Calculator!$E$15="YES",IF(A242&lt;Calculator!$G$15,0,MIN(MIN(MOD(A242/Calculator!$F$15,1),1-MOD(A242/Calculator!$F$15,1)),ABS(MOD(A242/Calculator!$F$15,1)-0.5))),1)</f>
        <v>0.0700000000000001</v>
      </c>
      <c r="F242" s="219" t="n">
        <f aca="false">IF(Calculator!$E$16="YES",IF(A242&lt;Calculator!$G$16,0,MIN(MIN(MOD(A242/Calculator!$F$16,1),1-MOD(A242/Calculator!$F$16,1)),ABS(MOD(A242/Calculator!$F$16,1)-0.5))),1)</f>
        <v>1</v>
      </c>
      <c r="G242" s="219" t="n">
        <f aca="false">IF(Calculator!$E$17="YES",IF(A242&lt;Calculator!$G$17,0,MIN(MIN(MOD(A242/Calculator!$F$17,1),1-MOD(A242/Calculator!$F$17,1)),ABS(MOD(A242/Calculator!$F$17,1)-0.5))),1)</f>
        <v>0.165</v>
      </c>
      <c r="H242" s="219" t="n">
        <f aca="false">IF(Calculator!$E$18="YES",IF(A242&lt;Calculator!$G$18,0,MIN(MIN(MOD(A242/Calculator!$F$18,1),1-MOD(A242/Calculator!$F$18,1)),ABS(MOD(A242/Calculator!$F$18,1)-0.5))),1)</f>
        <v>1</v>
      </c>
      <c r="I242" s="219" t="n">
        <f aca="false">IF(Calculator!$E$19="YES",IF(A242&lt;Calculator!$G$19,0,MIN(MIN(MOD(A242/Calculator!$F$19,1),1-MOD(A242/Calculator!$F$19,1)),ABS(MOD(A242/Calculator!$F$19,1)-0.5))),1)</f>
        <v>1</v>
      </c>
      <c r="J242" s="219" t="n">
        <f aca="false">IF(Calculator!$E$20="YES",IF(A242&lt;Calculator!$G$20,0,MIN(MIN(MOD(A242/Calculator!$F$20,1),1-MOD(A242/Calculator!$F$20,1)),ABS(MOD(A242/Calculator!$F$20,1)-0.5))),1)</f>
        <v>1</v>
      </c>
      <c r="K242" s="219" t="n">
        <f aca="false">IF(Calculator!$E$21="YES",IF(A242&lt;Calculator!$G$21,0,MIN(MIN(MOD(A242/Calculator!$F$21,1),1-MOD(A242/Calculator!$F$21,1)),ABS(MOD(A242/Calculator!$F$21,1)-0.5))),1)</f>
        <v>0.23</v>
      </c>
      <c r="L242" s="219" t="n">
        <f aca="false">IF(Calculator!$E$22="YES",IF(A242&lt;Calculator!$G$22,0,MIN(MIN(MOD(A242/Calculator!$F$22,1),1-MOD(A242/Calculator!$F$22,1)),ABS(MOD(A242/Calculator!$F$22,1)-0.5))),1)</f>
        <v>1</v>
      </c>
      <c r="M242" s="219" t="n">
        <f aca="false">MIN(B242:L242)</f>
        <v>0.0700000000000001</v>
      </c>
      <c r="N242" s="219" t="n">
        <f aca="false">SUMPRODUCT(($M$7:$M$557&gt;M242)*1)+SUMPRODUCT(($M$7:$M$557=M242)*(ROW($M$7:$M$557)&lt;ROW(M242)))+1</f>
        <v>207</v>
      </c>
      <c r="O242" s="219" t="str">
        <f aca="false">IF(M242&gt;=0.2,"★★★ EXCELLENT",IF(M242&gt;=0.12,"★★  GOOD",IF(M242&gt;=0.07,"★  FAIR",IF(M242&gt;=0.025,"⚠  MARGINAL","✗  AVOID"))))</f>
        <v>★  FAIR</v>
      </c>
    </row>
    <row r="243" customFormat="false" ht="15" hidden="false" customHeight="true" outlineLevel="0" collapsed="false">
      <c r="A243" s="216" t="n">
        <v>28.6</v>
      </c>
      <c r="B243" s="217" t="n">
        <f aca="false">IF(Calculator!$E$12="YES",IF(A243&lt;Calculator!$G$12,0,MIN(MIN(MOD(A243/Calculator!$F$12,1),1-MOD(A243/Calculator!$F$12,1)),ABS(MOD(A243/Calculator!$F$12,1)-0.5))),1)</f>
        <v>1</v>
      </c>
      <c r="C243" s="217" t="n">
        <f aca="false">IF(Calculator!$E$13="YES",IF(A243&lt;Calculator!$G$13,0,MIN(MIN(MOD(A243/Calculator!$F$13,1),1-MOD(A243/Calculator!$F$13,1)),ABS(MOD(A243/Calculator!$F$13,1)-0.5))),1)</f>
        <v>1</v>
      </c>
      <c r="D243" s="217" t="n">
        <f aca="false">IF(Calculator!$E$14="YES",IF(A243&lt;Calculator!$G$14,0,MIN(MIN(MOD(A243/Calculator!$F$14,1),1-MOD(A243/Calculator!$F$14,1)),ABS(MOD(A243/Calculator!$F$14,1)-0.5))),1)</f>
        <v>1</v>
      </c>
      <c r="E243" s="217" t="n">
        <f aca="false">IF(Calculator!$E$15="YES",IF(A243&lt;Calculator!$G$15,0,MIN(MIN(MOD(A243/Calculator!$F$15,1),1-MOD(A243/Calculator!$F$15,1)),ABS(MOD(A243/Calculator!$F$15,1)-0.5))),1)</f>
        <v>0.0649824561403507</v>
      </c>
      <c r="F243" s="217" t="n">
        <f aca="false">IF(Calculator!$E$16="YES",IF(A243&lt;Calculator!$G$16,0,MIN(MIN(MOD(A243/Calculator!$F$16,1),1-MOD(A243/Calculator!$F$16,1)),ABS(MOD(A243/Calculator!$F$16,1)-0.5))),1)</f>
        <v>1</v>
      </c>
      <c r="G243" s="217" t="n">
        <f aca="false">IF(Calculator!$E$17="YES",IF(A243&lt;Calculator!$G$17,0,MIN(MIN(MOD(A243/Calculator!$F$17,1),1-MOD(A243/Calculator!$F$17,1)),ABS(MOD(A243/Calculator!$F$17,1)-0.5))),1)</f>
        <v>0.155052631578947</v>
      </c>
      <c r="H243" s="217" t="n">
        <f aca="false">IF(Calculator!$E$18="YES",IF(A243&lt;Calculator!$G$18,0,MIN(MIN(MOD(A243/Calculator!$F$18,1),1-MOD(A243/Calculator!$F$18,1)),ABS(MOD(A243/Calculator!$F$18,1)-0.5))),1)</f>
        <v>1</v>
      </c>
      <c r="I243" s="217" t="n">
        <f aca="false">IF(Calculator!$E$19="YES",IF(A243&lt;Calculator!$G$19,0,MIN(MIN(MOD(A243/Calculator!$F$19,1),1-MOD(A243/Calculator!$F$19,1)),ABS(MOD(A243/Calculator!$F$19,1)-0.5))),1)</f>
        <v>1</v>
      </c>
      <c r="J243" s="217" t="n">
        <f aca="false">IF(Calculator!$E$20="YES",IF(A243&lt;Calculator!$G$20,0,MIN(MIN(MOD(A243/Calculator!$F$20,1),1-MOD(A243/Calculator!$F$20,1)),ABS(MOD(A243/Calculator!$F$20,1)-0.5))),1)</f>
        <v>1</v>
      </c>
      <c r="K243" s="217" t="n">
        <f aca="false">IF(Calculator!$E$21="YES",IF(A243&lt;Calculator!$G$21,0,MIN(MIN(MOD(A243/Calculator!$F$21,1),1-MOD(A243/Calculator!$F$21,1)),ABS(MOD(A243/Calculator!$F$21,1)-0.5))),1)</f>
        <v>0.209754385964912</v>
      </c>
      <c r="L243" s="217" t="n">
        <f aca="false">IF(Calculator!$E$22="YES",IF(A243&lt;Calculator!$G$22,0,MIN(MIN(MOD(A243/Calculator!$F$22,1),1-MOD(A243/Calculator!$F$22,1)),ABS(MOD(A243/Calculator!$F$22,1)-0.5))),1)</f>
        <v>1</v>
      </c>
      <c r="M243" s="217" t="n">
        <f aca="false">MIN(B243:L243)</f>
        <v>0.0649824561403507</v>
      </c>
      <c r="N243" s="217" t="n">
        <f aca="false">SUMPRODUCT(($M$7:$M$557&gt;M243)*1)+SUMPRODUCT(($M$7:$M$557=M243)*(ROW($M$7:$M$557)&lt;ROW(M243)))+1</f>
        <v>226</v>
      </c>
      <c r="O243" s="217" t="str">
        <f aca="false">IF(M243&gt;=0.2,"★★★ EXCELLENT",IF(M243&gt;=0.12,"★★  GOOD",IF(M243&gt;=0.07,"★  FAIR",IF(M243&gt;=0.025,"⚠  MARGINAL","✗  AVOID"))))</f>
        <v>⚠  MARGINAL</v>
      </c>
    </row>
    <row r="244" customFormat="false" ht="15" hidden="false" customHeight="true" outlineLevel="0" collapsed="false">
      <c r="A244" s="218" t="n">
        <v>28.7</v>
      </c>
      <c r="B244" s="219" t="n">
        <f aca="false">IF(Calculator!$E$12="YES",IF(A244&lt;Calculator!$G$12,0,MIN(MIN(MOD(A244/Calculator!$F$12,1),1-MOD(A244/Calculator!$F$12,1)),ABS(MOD(A244/Calculator!$F$12,1)-0.5))),1)</f>
        <v>1</v>
      </c>
      <c r="C244" s="219" t="n">
        <f aca="false">IF(Calculator!$E$13="YES",IF(A244&lt;Calculator!$G$13,0,MIN(MIN(MOD(A244/Calculator!$F$13,1),1-MOD(A244/Calculator!$F$13,1)),ABS(MOD(A244/Calculator!$F$13,1)-0.5))),1)</f>
        <v>1</v>
      </c>
      <c r="D244" s="219" t="n">
        <f aca="false">IF(Calculator!$E$14="YES",IF(A244&lt;Calculator!$G$14,0,MIN(MIN(MOD(A244/Calculator!$F$14,1),1-MOD(A244/Calculator!$F$14,1)),ABS(MOD(A244/Calculator!$F$14,1)-0.5))),1)</f>
        <v>1</v>
      </c>
      <c r="E244" s="219" t="n">
        <f aca="false">IF(Calculator!$E$15="YES",IF(A244&lt;Calculator!$G$15,0,MIN(MIN(MOD(A244/Calculator!$F$15,1),1-MOD(A244/Calculator!$F$15,1)),ABS(MOD(A244/Calculator!$F$15,1)-0.5))),1)</f>
        <v>0.0599649122807018</v>
      </c>
      <c r="F244" s="219" t="n">
        <f aca="false">IF(Calculator!$E$16="YES",IF(A244&lt;Calculator!$G$16,0,MIN(MIN(MOD(A244/Calculator!$F$16,1),1-MOD(A244/Calculator!$F$16,1)),ABS(MOD(A244/Calculator!$F$16,1)-0.5))),1)</f>
        <v>1</v>
      </c>
      <c r="G244" s="219" t="n">
        <f aca="false">IF(Calculator!$E$17="YES",IF(A244&lt;Calculator!$G$17,0,MIN(MIN(MOD(A244/Calculator!$F$17,1),1-MOD(A244/Calculator!$F$17,1)),ABS(MOD(A244/Calculator!$F$17,1)-0.5))),1)</f>
        <v>0.145105263157895</v>
      </c>
      <c r="H244" s="219" t="n">
        <f aca="false">IF(Calculator!$E$18="YES",IF(A244&lt;Calculator!$G$18,0,MIN(MIN(MOD(A244/Calculator!$F$18,1),1-MOD(A244/Calculator!$F$18,1)),ABS(MOD(A244/Calculator!$F$18,1)-0.5))),1)</f>
        <v>1</v>
      </c>
      <c r="I244" s="219" t="n">
        <f aca="false">IF(Calculator!$E$19="YES",IF(A244&lt;Calculator!$G$19,0,MIN(MIN(MOD(A244/Calculator!$F$19,1),1-MOD(A244/Calculator!$F$19,1)),ABS(MOD(A244/Calculator!$F$19,1)-0.5))),1)</f>
        <v>1</v>
      </c>
      <c r="J244" s="219" t="n">
        <f aca="false">IF(Calculator!$E$20="YES",IF(A244&lt;Calculator!$G$20,0,MIN(MIN(MOD(A244/Calculator!$F$20,1),1-MOD(A244/Calculator!$F$20,1)),ABS(MOD(A244/Calculator!$F$20,1)-0.5))),1)</f>
        <v>1</v>
      </c>
      <c r="K244" s="219" t="n">
        <f aca="false">IF(Calculator!$E$21="YES",IF(A244&lt;Calculator!$G$21,0,MIN(MIN(MOD(A244/Calculator!$F$21,1),1-MOD(A244/Calculator!$F$21,1)),ABS(MOD(A244/Calculator!$F$21,1)-0.5))),1)</f>
        <v>0.189508771929825</v>
      </c>
      <c r="L244" s="219" t="n">
        <f aca="false">IF(Calculator!$E$22="YES",IF(A244&lt;Calculator!$G$22,0,MIN(MIN(MOD(A244/Calculator!$F$22,1),1-MOD(A244/Calculator!$F$22,1)),ABS(MOD(A244/Calculator!$F$22,1)-0.5))),1)</f>
        <v>1</v>
      </c>
      <c r="M244" s="219" t="n">
        <f aca="false">MIN(B244:L244)</f>
        <v>0.0599649122807018</v>
      </c>
      <c r="N244" s="219" t="n">
        <f aca="false">SUMPRODUCT(($M$7:$M$557&gt;M244)*1)+SUMPRODUCT(($M$7:$M$557=M244)*(ROW($M$7:$M$557)&lt;ROW(M244)))+1</f>
        <v>245</v>
      </c>
      <c r="O244" s="219" t="str">
        <f aca="false">IF(M244&gt;=0.2,"★★★ EXCELLENT",IF(M244&gt;=0.12,"★★  GOOD",IF(M244&gt;=0.07,"★  FAIR",IF(M244&gt;=0.025,"⚠  MARGINAL","✗  AVOID"))))</f>
        <v>⚠  MARGINAL</v>
      </c>
    </row>
    <row r="245" customFormat="false" ht="15" hidden="false" customHeight="true" outlineLevel="0" collapsed="false">
      <c r="A245" s="216" t="n">
        <v>28.8</v>
      </c>
      <c r="B245" s="217" t="n">
        <f aca="false">IF(Calculator!$E$12="YES",IF(A245&lt;Calculator!$G$12,0,MIN(MIN(MOD(A245/Calculator!$F$12,1),1-MOD(A245/Calculator!$F$12,1)),ABS(MOD(A245/Calculator!$F$12,1)-0.5))),1)</f>
        <v>1</v>
      </c>
      <c r="C245" s="217" t="n">
        <f aca="false">IF(Calculator!$E$13="YES",IF(A245&lt;Calculator!$G$13,0,MIN(MIN(MOD(A245/Calculator!$F$13,1),1-MOD(A245/Calculator!$F$13,1)),ABS(MOD(A245/Calculator!$F$13,1)-0.5))),1)</f>
        <v>1</v>
      </c>
      <c r="D245" s="217" t="n">
        <f aca="false">IF(Calculator!$E$14="YES",IF(A245&lt;Calculator!$G$14,0,MIN(MIN(MOD(A245/Calculator!$F$14,1),1-MOD(A245/Calculator!$F$14,1)),ABS(MOD(A245/Calculator!$F$14,1)-0.5))),1)</f>
        <v>1</v>
      </c>
      <c r="E245" s="217" t="n">
        <f aca="false">IF(Calculator!$E$15="YES",IF(A245&lt;Calculator!$G$15,0,MIN(MIN(MOD(A245/Calculator!$F$15,1),1-MOD(A245/Calculator!$F$15,1)),ABS(MOD(A245/Calculator!$F$15,1)-0.5))),1)</f>
        <v>0.0549473684210526</v>
      </c>
      <c r="F245" s="217" t="n">
        <f aca="false">IF(Calculator!$E$16="YES",IF(A245&lt;Calculator!$G$16,0,MIN(MIN(MOD(A245/Calculator!$F$16,1),1-MOD(A245/Calculator!$F$16,1)),ABS(MOD(A245/Calculator!$F$16,1)-0.5))),1)</f>
        <v>1</v>
      </c>
      <c r="G245" s="217" t="n">
        <f aca="false">IF(Calculator!$E$17="YES",IF(A245&lt;Calculator!$G$17,0,MIN(MIN(MOD(A245/Calculator!$F$17,1),1-MOD(A245/Calculator!$F$17,1)),ABS(MOD(A245/Calculator!$F$17,1)-0.5))),1)</f>
        <v>0.135157894736842</v>
      </c>
      <c r="H245" s="217" t="n">
        <f aca="false">IF(Calculator!$E$18="YES",IF(A245&lt;Calculator!$G$18,0,MIN(MIN(MOD(A245/Calculator!$F$18,1),1-MOD(A245/Calculator!$F$18,1)),ABS(MOD(A245/Calculator!$F$18,1)-0.5))),1)</f>
        <v>1</v>
      </c>
      <c r="I245" s="217" t="n">
        <f aca="false">IF(Calculator!$E$19="YES",IF(A245&lt;Calculator!$G$19,0,MIN(MIN(MOD(A245/Calculator!$F$19,1),1-MOD(A245/Calculator!$F$19,1)),ABS(MOD(A245/Calculator!$F$19,1)-0.5))),1)</f>
        <v>1</v>
      </c>
      <c r="J245" s="217" t="n">
        <f aca="false">IF(Calculator!$E$20="YES",IF(A245&lt;Calculator!$G$20,0,MIN(MIN(MOD(A245/Calculator!$F$20,1),1-MOD(A245/Calculator!$F$20,1)),ABS(MOD(A245/Calculator!$F$20,1)-0.5))),1)</f>
        <v>1</v>
      </c>
      <c r="K245" s="217" t="n">
        <f aca="false">IF(Calculator!$E$21="YES",IF(A245&lt;Calculator!$G$21,0,MIN(MIN(MOD(A245/Calculator!$F$21,1),1-MOD(A245/Calculator!$F$21,1)),ABS(MOD(A245/Calculator!$F$21,1)-0.5))),1)</f>
        <v>0.169263157894736</v>
      </c>
      <c r="L245" s="217" t="n">
        <f aca="false">IF(Calculator!$E$22="YES",IF(A245&lt;Calculator!$G$22,0,MIN(MIN(MOD(A245/Calculator!$F$22,1),1-MOD(A245/Calculator!$F$22,1)),ABS(MOD(A245/Calculator!$F$22,1)-0.5))),1)</f>
        <v>1</v>
      </c>
      <c r="M245" s="217" t="n">
        <f aca="false">MIN(B245:L245)</f>
        <v>0.0549473684210526</v>
      </c>
      <c r="N245" s="217" t="n">
        <f aca="false">SUMPRODUCT(($M$7:$M$557&gt;M245)*1)+SUMPRODUCT(($M$7:$M$557=M245)*(ROW($M$7:$M$557)&lt;ROW(M245)))+1</f>
        <v>265</v>
      </c>
      <c r="O245" s="217" t="str">
        <f aca="false">IF(M245&gt;=0.2,"★★★ EXCELLENT",IF(M245&gt;=0.12,"★★  GOOD",IF(M245&gt;=0.07,"★  FAIR",IF(M245&gt;=0.025,"⚠  MARGINAL","✗  AVOID"))))</f>
        <v>⚠  MARGINAL</v>
      </c>
    </row>
    <row r="246" customFormat="false" ht="15" hidden="false" customHeight="true" outlineLevel="0" collapsed="false">
      <c r="A246" s="218" t="n">
        <v>28.9</v>
      </c>
      <c r="B246" s="219" t="n">
        <f aca="false">IF(Calculator!$E$12="YES",IF(A246&lt;Calculator!$G$12,0,MIN(MIN(MOD(A246/Calculator!$F$12,1),1-MOD(A246/Calculator!$F$12,1)),ABS(MOD(A246/Calculator!$F$12,1)-0.5))),1)</f>
        <v>1</v>
      </c>
      <c r="C246" s="219" t="n">
        <f aca="false">IF(Calculator!$E$13="YES",IF(A246&lt;Calculator!$G$13,0,MIN(MIN(MOD(A246/Calculator!$F$13,1),1-MOD(A246/Calculator!$F$13,1)),ABS(MOD(A246/Calculator!$F$13,1)-0.5))),1)</f>
        <v>1</v>
      </c>
      <c r="D246" s="219" t="n">
        <f aca="false">IF(Calculator!$E$14="YES",IF(A246&lt;Calculator!$G$14,0,MIN(MIN(MOD(A246/Calculator!$F$14,1),1-MOD(A246/Calculator!$F$14,1)),ABS(MOD(A246/Calculator!$F$14,1)-0.5))),1)</f>
        <v>1</v>
      </c>
      <c r="E246" s="219" t="n">
        <f aca="false">IF(Calculator!$E$15="YES",IF(A246&lt;Calculator!$G$15,0,MIN(MIN(MOD(A246/Calculator!$F$15,1),1-MOD(A246/Calculator!$F$15,1)),ABS(MOD(A246/Calculator!$F$15,1)-0.5))),1)</f>
        <v>0.0499298245614035</v>
      </c>
      <c r="F246" s="219" t="n">
        <f aca="false">IF(Calculator!$E$16="YES",IF(A246&lt;Calculator!$G$16,0,MIN(MIN(MOD(A246/Calculator!$F$16,1),1-MOD(A246/Calculator!$F$16,1)),ABS(MOD(A246/Calculator!$F$16,1)-0.5))),1)</f>
        <v>1</v>
      </c>
      <c r="G246" s="219" t="n">
        <f aca="false">IF(Calculator!$E$17="YES",IF(A246&lt;Calculator!$G$17,0,MIN(MIN(MOD(A246/Calculator!$F$17,1),1-MOD(A246/Calculator!$F$17,1)),ABS(MOD(A246/Calculator!$F$17,1)-0.5))),1)</f>
        <v>0.125210526315789</v>
      </c>
      <c r="H246" s="219" t="n">
        <f aca="false">IF(Calculator!$E$18="YES",IF(A246&lt;Calculator!$G$18,0,MIN(MIN(MOD(A246/Calculator!$F$18,1),1-MOD(A246/Calculator!$F$18,1)),ABS(MOD(A246/Calculator!$F$18,1)-0.5))),1)</f>
        <v>1</v>
      </c>
      <c r="I246" s="219" t="n">
        <f aca="false">IF(Calculator!$E$19="YES",IF(A246&lt;Calculator!$G$19,0,MIN(MIN(MOD(A246/Calculator!$F$19,1),1-MOD(A246/Calculator!$F$19,1)),ABS(MOD(A246/Calculator!$F$19,1)-0.5))),1)</f>
        <v>1</v>
      </c>
      <c r="J246" s="219" t="n">
        <f aca="false">IF(Calculator!$E$20="YES",IF(A246&lt;Calculator!$G$20,0,MIN(MIN(MOD(A246/Calculator!$F$20,1),1-MOD(A246/Calculator!$F$20,1)),ABS(MOD(A246/Calculator!$F$20,1)-0.5))),1)</f>
        <v>1</v>
      </c>
      <c r="K246" s="219" t="n">
        <f aca="false">IF(Calculator!$E$21="YES",IF(A246&lt;Calculator!$G$21,0,MIN(MIN(MOD(A246/Calculator!$F$21,1),1-MOD(A246/Calculator!$F$21,1)),ABS(MOD(A246/Calculator!$F$21,1)-0.5))),1)</f>
        <v>0.14901754385965</v>
      </c>
      <c r="L246" s="219" t="n">
        <f aca="false">IF(Calculator!$E$22="YES",IF(A246&lt;Calculator!$G$22,0,MIN(MIN(MOD(A246/Calculator!$F$22,1),1-MOD(A246/Calculator!$F$22,1)),ABS(MOD(A246/Calculator!$F$22,1)-0.5))),1)</f>
        <v>1</v>
      </c>
      <c r="M246" s="219" t="n">
        <f aca="false">MIN(B246:L246)</f>
        <v>0.0499298245614035</v>
      </c>
      <c r="N246" s="219" t="n">
        <f aca="false">SUMPRODUCT(($M$7:$M$557&gt;M246)*1)+SUMPRODUCT(($M$7:$M$557=M246)*(ROW($M$7:$M$557)&lt;ROW(M246)))+1</f>
        <v>285</v>
      </c>
      <c r="O246" s="219" t="str">
        <f aca="false">IF(M246&gt;=0.2,"★★★ EXCELLENT",IF(M246&gt;=0.12,"★★  GOOD",IF(M246&gt;=0.07,"★  FAIR",IF(M246&gt;=0.025,"⚠  MARGINAL","✗  AVOID"))))</f>
        <v>⚠  MARGINAL</v>
      </c>
    </row>
    <row r="247" customFormat="false" ht="15" hidden="false" customHeight="true" outlineLevel="0" collapsed="false">
      <c r="A247" s="216" t="n">
        <v>29</v>
      </c>
      <c r="B247" s="217" t="n">
        <f aca="false">IF(Calculator!$E$12="YES",IF(A247&lt;Calculator!$G$12,0,MIN(MIN(MOD(A247/Calculator!$F$12,1),1-MOD(A247/Calculator!$F$12,1)),ABS(MOD(A247/Calculator!$F$12,1)-0.5))),1)</f>
        <v>1</v>
      </c>
      <c r="C247" s="217" t="n">
        <f aca="false">IF(Calculator!$E$13="YES",IF(A247&lt;Calculator!$G$13,0,MIN(MIN(MOD(A247/Calculator!$F$13,1),1-MOD(A247/Calculator!$F$13,1)),ABS(MOD(A247/Calculator!$F$13,1)-0.5))),1)</f>
        <v>1</v>
      </c>
      <c r="D247" s="217" t="n">
        <f aca="false">IF(Calculator!$E$14="YES",IF(A247&lt;Calculator!$G$14,0,MIN(MIN(MOD(A247/Calculator!$F$14,1),1-MOD(A247/Calculator!$F$14,1)),ABS(MOD(A247/Calculator!$F$14,1)-0.5))),1)</f>
        <v>1</v>
      </c>
      <c r="E247" s="217" t="n">
        <f aca="false">IF(Calculator!$E$15="YES",IF(A247&lt;Calculator!$G$15,0,MIN(MIN(MOD(A247/Calculator!$F$15,1),1-MOD(A247/Calculator!$F$15,1)),ABS(MOD(A247/Calculator!$F$15,1)-0.5))),1)</f>
        <v>0.0449122807017544</v>
      </c>
      <c r="F247" s="217" t="n">
        <f aca="false">IF(Calculator!$E$16="YES",IF(A247&lt;Calculator!$G$16,0,MIN(MIN(MOD(A247/Calculator!$F$16,1),1-MOD(A247/Calculator!$F$16,1)),ABS(MOD(A247/Calculator!$F$16,1)-0.5))),1)</f>
        <v>1</v>
      </c>
      <c r="G247" s="217" t="n">
        <f aca="false">IF(Calculator!$E$17="YES",IF(A247&lt;Calculator!$G$17,0,MIN(MIN(MOD(A247/Calculator!$F$17,1),1-MOD(A247/Calculator!$F$17,1)),ABS(MOD(A247/Calculator!$F$17,1)-0.5))),1)</f>
        <v>0.115263157894737</v>
      </c>
      <c r="H247" s="217" t="n">
        <f aca="false">IF(Calculator!$E$18="YES",IF(A247&lt;Calculator!$G$18,0,MIN(MIN(MOD(A247/Calculator!$F$18,1),1-MOD(A247/Calculator!$F$18,1)),ABS(MOD(A247/Calculator!$F$18,1)-0.5))),1)</f>
        <v>1</v>
      </c>
      <c r="I247" s="217" t="n">
        <f aca="false">IF(Calculator!$E$19="YES",IF(A247&lt;Calculator!$G$19,0,MIN(MIN(MOD(A247/Calculator!$F$19,1),1-MOD(A247/Calculator!$F$19,1)),ABS(MOD(A247/Calculator!$F$19,1)-0.5))),1)</f>
        <v>1</v>
      </c>
      <c r="J247" s="217" t="n">
        <f aca="false">IF(Calculator!$E$20="YES",IF(A247&lt;Calculator!$G$20,0,MIN(MIN(MOD(A247/Calculator!$F$20,1),1-MOD(A247/Calculator!$F$20,1)),ABS(MOD(A247/Calculator!$F$20,1)-0.5))),1)</f>
        <v>1</v>
      </c>
      <c r="K247" s="217" t="n">
        <f aca="false">IF(Calculator!$E$21="YES",IF(A247&lt;Calculator!$G$21,0,MIN(MIN(MOD(A247/Calculator!$F$21,1),1-MOD(A247/Calculator!$F$21,1)),ABS(MOD(A247/Calculator!$F$21,1)-0.5))),1)</f>
        <v>0.128771929824562</v>
      </c>
      <c r="L247" s="217" t="n">
        <f aca="false">IF(Calculator!$E$22="YES",IF(A247&lt;Calculator!$G$22,0,MIN(MIN(MOD(A247/Calculator!$F$22,1),1-MOD(A247/Calculator!$F$22,1)),ABS(MOD(A247/Calculator!$F$22,1)-0.5))),1)</f>
        <v>1</v>
      </c>
      <c r="M247" s="217" t="n">
        <f aca="false">MIN(B247:L247)</f>
        <v>0.0449122807017544</v>
      </c>
      <c r="N247" s="217" t="n">
        <f aca="false">SUMPRODUCT(($M$7:$M$557&gt;M247)*1)+SUMPRODUCT(($M$7:$M$557=M247)*(ROW($M$7:$M$557)&lt;ROW(M247)))+1</f>
        <v>305</v>
      </c>
      <c r="O247" s="217" t="str">
        <f aca="false">IF(M247&gt;=0.2,"★★★ EXCELLENT",IF(M247&gt;=0.12,"★★  GOOD",IF(M247&gt;=0.07,"★  FAIR",IF(M247&gt;=0.025,"⚠  MARGINAL","✗  AVOID"))))</f>
        <v>⚠  MARGINAL</v>
      </c>
    </row>
    <row r="248" customFormat="false" ht="15" hidden="false" customHeight="true" outlineLevel="0" collapsed="false">
      <c r="A248" s="218" t="n">
        <v>29.1</v>
      </c>
      <c r="B248" s="219" t="n">
        <f aca="false">IF(Calculator!$E$12="YES",IF(A248&lt;Calculator!$G$12,0,MIN(MIN(MOD(A248/Calculator!$F$12,1),1-MOD(A248/Calculator!$F$12,1)),ABS(MOD(A248/Calculator!$F$12,1)-0.5))),1)</f>
        <v>1</v>
      </c>
      <c r="C248" s="219" t="n">
        <f aca="false">IF(Calculator!$E$13="YES",IF(A248&lt;Calculator!$G$13,0,MIN(MIN(MOD(A248/Calculator!$F$13,1),1-MOD(A248/Calculator!$F$13,1)),ABS(MOD(A248/Calculator!$F$13,1)-0.5))),1)</f>
        <v>1</v>
      </c>
      <c r="D248" s="219" t="n">
        <f aca="false">IF(Calculator!$E$14="YES",IF(A248&lt;Calculator!$G$14,0,MIN(MIN(MOD(A248/Calculator!$F$14,1),1-MOD(A248/Calculator!$F$14,1)),ABS(MOD(A248/Calculator!$F$14,1)-0.5))),1)</f>
        <v>1</v>
      </c>
      <c r="E248" s="219" t="n">
        <f aca="false">IF(Calculator!$E$15="YES",IF(A248&lt;Calculator!$G$15,0,MIN(MIN(MOD(A248/Calculator!$F$15,1),1-MOD(A248/Calculator!$F$15,1)),ABS(MOD(A248/Calculator!$F$15,1)-0.5))),1)</f>
        <v>0.0398947368421052</v>
      </c>
      <c r="F248" s="219" t="n">
        <f aca="false">IF(Calculator!$E$16="YES",IF(A248&lt;Calculator!$G$16,0,MIN(MIN(MOD(A248/Calculator!$F$16,1),1-MOD(A248/Calculator!$F$16,1)),ABS(MOD(A248/Calculator!$F$16,1)-0.5))),1)</f>
        <v>1</v>
      </c>
      <c r="G248" s="219" t="n">
        <f aca="false">IF(Calculator!$E$17="YES",IF(A248&lt;Calculator!$G$17,0,MIN(MIN(MOD(A248/Calculator!$F$17,1),1-MOD(A248/Calculator!$F$17,1)),ABS(MOD(A248/Calculator!$F$17,1)-0.5))),1)</f>
        <v>0.105315789473684</v>
      </c>
      <c r="H248" s="219" t="n">
        <f aca="false">IF(Calculator!$E$18="YES",IF(A248&lt;Calculator!$G$18,0,MIN(MIN(MOD(A248/Calculator!$F$18,1),1-MOD(A248/Calculator!$F$18,1)),ABS(MOD(A248/Calculator!$F$18,1)-0.5))),1)</f>
        <v>1</v>
      </c>
      <c r="I248" s="219" t="n">
        <f aca="false">IF(Calculator!$E$19="YES",IF(A248&lt;Calculator!$G$19,0,MIN(MIN(MOD(A248/Calculator!$F$19,1),1-MOD(A248/Calculator!$F$19,1)),ABS(MOD(A248/Calculator!$F$19,1)-0.5))),1)</f>
        <v>1</v>
      </c>
      <c r="J248" s="219" t="n">
        <f aca="false">IF(Calculator!$E$20="YES",IF(A248&lt;Calculator!$G$20,0,MIN(MIN(MOD(A248/Calculator!$F$20,1),1-MOD(A248/Calculator!$F$20,1)),ABS(MOD(A248/Calculator!$F$20,1)-0.5))),1)</f>
        <v>1</v>
      </c>
      <c r="K248" s="219" t="n">
        <f aca="false">IF(Calculator!$E$21="YES",IF(A248&lt;Calculator!$G$21,0,MIN(MIN(MOD(A248/Calculator!$F$21,1),1-MOD(A248/Calculator!$F$21,1)),ABS(MOD(A248/Calculator!$F$21,1)-0.5))),1)</f>
        <v>0.108526315789473</v>
      </c>
      <c r="L248" s="219" t="n">
        <f aca="false">IF(Calculator!$E$22="YES",IF(A248&lt;Calculator!$G$22,0,MIN(MIN(MOD(A248/Calculator!$F$22,1),1-MOD(A248/Calculator!$F$22,1)),ABS(MOD(A248/Calculator!$F$22,1)-0.5))),1)</f>
        <v>1</v>
      </c>
      <c r="M248" s="219" t="n">
        <f aca="false">MIN(B248:L248)</f>
        <v>0.0398947368421052</v>
      </c>
      <c r="N248" s="219" t="n">
        <f aca="false">SUMPRODUCT(($M$7:$M$557&gt;M248)*1)+SUMPRODUCT(($M$7:$M$557=M248)*(ROW($M$7:$M$557)&lt;ROW(M248)))+1</f>
        <v>325</v>
      </c>
      <c r="O248" s="219" t="str">
        <f aca="false">IF(M248&gt;=0.2,"★★★ EXCELLENT",IF(M248&gt;=0.12,"★★  GOOD",IF(M248&gt;=0.07,"★  FAIR",IF(M248&gt;=0.025,"⚠  MARGINAL","✗  AVOID"))))</f>
        <v>⚠  MARGINAL</v>
      </c>
    </row>
    <row r="249" customFormat="false" ht="15" hidden="false" customHeight="true" outlineLevel="0" collapsed="false">
      <c r="A249" s="216" t="n">
        <v>29.2</v>
      </c>
      <c r="B249" s="217" t="n">
        <f aca="false">IF(Calculator!$E$12="YES",IF(A249&lt;Calculator!$G$12,0,MIN(MIN(MOD(A249/Calculator!$F$12,1),1-MOD(A249/Calculator!$F$12,1)),ABS(MOD(A249/Calculator!$F$12,1)-0.5))),1)</f>
        <v>1</v>
      </c>
      <c r="C249" s="217" t="n">
        <f aca="false">IF(Calculator!$E$13="YES",IF(A249&lt;Calculator!$G$13,0,MIN(MIN(MOD(A249/Calculator!$F$13,1),1-MOD(A249/Calculator!$F$13,1)),ABS(MOD(A249/Calculator!$F$13,1)-0.5))),1)</f>
        <v>1</v>
      </c>
      <c r="D249" s="217" t="n">
        <f aca="false">IF(Calculator!$E$14="YES",IF(A249&lt;Calculator!$G$14,0,MIN(MIN(MOD(A249/Calculator!$F$14,1),1-MOD(A249/Calculator!$F$14,1)),ABS(MOD(A249/Calculator!$F$14,1)-0.5))),1)</f>
        <v>1</v>
      </c>
      <c r="E249" s="217" t="n">
        <f aca="false">IF(Calculator!$E$15="YES",IF(A249&lt;Calculator!$G$15,0,MIN(MIN(MOD(A249/Calculator!$F$15,1),1-MOD(A249/Calculator!$F$15,1)),ABS(MOD(A249/Calculator!$F$15,1)-0.5))),1)</f>
        <v>0.0348771929824561</v>
      </c>
      <c r="F249" s="217" t="n">
        <f aca="false">IF(Calculator!$E$16="YES",IF(A249&lt;Calculator!$G$16,0,MIN(MIN(MOD(A249/Calculator!$F$16,1),1-MOD(A249/Calculator!$F$16,1)),ABS(MOD(A249/Calculator!$F$16,1)-0.5))),1)</f>
        <v>1</v>
      </c>
      <c r="G249" s="217" t="n">
        <f aca="false">IF(Calculator!$E$17="YES",IF(A249&lt;Calculator!$G$17,0,MIN(MIN(MOD(A249/Calculator!$F$17,1),1-MOD(A249/Calculator!$F$17,1)),ABS(MOD(A249/Calculator!$F$17,1)-0.5))),1)</f>
        <v>0.0953684210526316</v>
      </c>
      <c r="H249" s="217" t="n">
        <f aca="false">IF(Calculator!$E$18="YES",IF(A249&lt;Calculator!$G$18,0,MIN(MIN(MOD(A249/Calculator!$F$18,1),1-MOD(A249/Calculator!$F$18,1)),ABS(MOD(A249/Calculator!$F$18,1)-0.5))),1)</f>
        <v>1</v>
      </c>
      <c r="I249" s="217" t="n">
        <f aca="false">IF(Calculator!$E$19="YES",IF(A249&lt;Calculator!$G$19,0,MIN(MIN(MOD(A249/Calculator!$F$19,1),1-MOD(A249/Calculator!$F$19,1)),ABS(MOD(A249/Calculator!$F$19,1)-0.5))),1)</f>
        <v>1</v>
      </c>
      <c r="J249" s="217" t="n">
        <f aca="false">IF(Calculator!$E$20="YES",IF(A249&lt;Calculator!$G$20,0,MIN(MIN(MOD(A249/Calculator!$F$20,1),1-MOD(A249/Calculator!$F$20,1)),ABS(MOD(A249/Calculator!$F$20,1)-0.5))),1)</f>
        <v>1</v>
      </c>
      <c r="K249" s="217" t="n">
        <f aca="false">IF(Calculator!$E$21="YES",IF(A249&lt;Calculator!$G$21,0,MIN(MIN(MOD(A249/Calculator!$F$21,1),1-MOD(A249/Calculator!$F$21,1)),ABS(MOD(A249/Calculator!$F$21,1)-0.5))),1)</f>
        <v>0.0882807017543863</v>
      </c>
      <c r="L249" s="217" t="n">
        <f aca="false">IF(Calculator!$E$22="YES",IF(A249&lt;Calculator!$G$22,0,MIN(MIN(MOD(A249/Calculator!$F$22,1),1-MOD(A249/Calculator!$F$22,1)),ABS(MOD(A249/Calculator!$F$22,1)-0.5))),1)</f>
        <v>1</v>
      </c>
      <c r="M249" s="217" t="n">
        <f aca="false">MIN(B249:L249)</f>
        <v>0.0348771929824561</v>
      </c>
      <c r="N249" s="217" t="n">
        <f aca="false">SUMPRODUCT(($M$7:$M$557&gt;M249)*1)+SUMPRODUCT(($M$7:$M$557=M249)*(ROW($M$7:$M$557)&lt;ROW(M249)))+1</f>
        <v>345</v>
      </c>
      <c r="O249" s="217" t="str">
        <f aca="false">IF(M249&gt;=0.2,"★★★ EXCELLENT",IF(M249&gt;=0.12,"★★  GOOD",IF(M249&gt;=0.07,"★  FAIR",IF(M249&gt;=0.025,"⚠  MARGINAL","✗  AVOID"))))</f>
        <v>⚠  MARGINAL</v>
      </c>
    </row>
    <row r="250" customFormat="false" ht="15" hidden="false" customHeight="true" outlineLevel="0" collapsed="false">
      <c r="A250" s="218" t="n">
        <v>29.3</v>
      </c>
      <c r="B250" s="219" t="n">
        <f aca="false">IF(Calculator!$E$12="YES",IF(A250&lt;Calculator!$G$12,0,MIN(MIN(MOD(A250/Calculator!$F$12,1),1-MOD(A250/Calculator!$F$12,1)),ABS(MOD(A250/Calculator!$F$12,1)-0.5))),1)</f>
        <v>1</v>
      </c>
      <c r="C250" s="219" t="n">
        <f aca="false">IF(Calculator!$E$13="YES",IF(A250&lt;Calculator!$G$13,0,MIN(MIN(MOD(A250/Calculator!$F$13,1),1-MOD(A250/Calculator!$F$13,1)),ABS(MOD(A250/Calculator!$F$13,1)-0.5))),1)</f>
        <v>1</v>
      </c>
      <c r="D250" s="219" t="n">
        <f aca="false">IF(Calculator!$E$14="YES",IF(A250&lt;Calculator!$G$14,0,MIN(MIN(MOD(A250/Calculator!$F$14,1),1-MOD(A250/Calculator!$F$14,1)),ABS(MOD(A250/Calculator!$F$14,1)-0.5))),1)</f>
        <v>1</v>
      </c>
      <c r="E250" s="219" t="n">
        <f aca="false">IF(Calculator!$E$15="YES",IF(A250&lt;Calculator!$G$15,0,MIN(MIN(MOD(A250/Calculator!$F$15,1),1-MOD(A250/Calculator!$F$15,1)),ABS(MOD(A250/Calculator!$F$15,1)-0.5))),1)</f>
        <v>0.0298596491228069</v>
      </c>
      <c r="F250" s="219" t="n">
        <f aca="false">IF(Calculator!$E$16="YES",IF(A250&lt;Calculator!$G$16,0,MIN(MIN(MOD(A250/Calculator!$F$16,1),1-MOD(A250/Calculator!$F$16,1)),ABS(MOD(A250/Calculator!$F$16,1)-0.5))),1)</f>
        <v>1</v>
      </c>
      <c r="G250" s="219" t="n">
        <f aca="false">IF(Calculator!$E$17="YES",IF(A250&lt;Calculator!$G$17,0,MIN(MIN(MOD(A250/Calculator!$F$17,1),1-MOD(A250/Calculator!$F$17,1)),ABS(MOD(A250/Calculator!$F$17,1)-0.5))),1)</f>
        <v>0.0854210526315788</v>
      </c>
      <c r="H250" s="219" t="n">
        <f aca="false">IF(Calculator!$E$18="YES",IF(A250&lt;Calculator!$G$18,0,MIN(MIN(MOD(A250/Calculator!$F$18,1),1-MOD(A250/Calculator!$F$18,1)),ABS(MOD(A250/Calculator!$F$18,1)-0.5))),1)</f>
        <v>1</v>
      </c>
      <c r="I250" s="219" t="n">
        <f aca="false">IF(Calculator!$E$19="YES",IF(A250&lt;Calculator!$G$19,0,MIN(MIN(MOD(A250/Calculator!$F$19,1),1-MOD(A250/Calculator!$F$19,1)),ABS(MOD(A250/Calculator!$F$19,1)-0.5))),1)</f>
        <v>1</v>
      </c>
      <c r="J250" s="219" t="n">
        <f aca="false">IF(Calculator!$E$20="YES",IF(A250&lt;Calculator!$G$20,0,MIN(MIN(MOD(A250/Calculator!$F$20,1),1-MOD(A250/Calculator!$F$20,1)),ABS(MOD(A250/Calculator!$F$20,1)-0.5))),1)</f>
        <v>1</v>
      </c>
      <c r="K250" s="219" t="n">
        <f aca="false">IF(Calculator!$E$21="YES",IF(A250&lt;Calculator!$G$21,0,MIN(MIN(MOD(A250/Calculator!$F$21,1),1-MOD(A250/Calculator!$F$21,1)),ABS(MOD(A250/Calculator!$F$21,1)-0.5))),1)</f>
        <v>0.0680350877192986</v>
      </c>
      <c r="L250" s="219" t="n">
        <f aca="false">IF(Calculator!$E$22="YES",IF(A250&lt;Calculator!$G$22,0,MIN(MIN(MOD(A250/Calculator!$F$22,1),1-MOD(A250/Calculator!$F$22,1)),ABS(MOD(A250/Calculator!$F$22,1)-0.5))),1)</f>
        <v>1</v>
      </c>
      <c r="M250" s="219" t="n">
        <f aca="false">MIN(B250:L250)</f>
        <v>0.0298596491228069</v>
      </c>
      <c r="N250" s="219" t="n">
        <f aca="false">SUMPRODUCT(($M$7:$M$557&gt;M250)*1)+SUMPRODUCT(($M$7:$M$557=M250)*(ROW($M$7:$M$557)&lt;ROW(M250)))+1</f>
        <v>365</v>
      </c>
      <c r="O250" s="219" t="str">
        <f aca="false">IF(M250&gt;=0.2,"★★★ EXCELLENT",IF(M250&gt;=0.12,"★★  GOOD",IF(M250&gt;=0.07,"★  FAIR",IF(M250&gt;=0.025,"⚠  MARGINAL","✗  AVOID"))))</f>
        <v>⚠  MARGINAL</v>
      </c>
    </row>
    <row r="251" customFormat="false" ht="15" hidden="false" customHeight="true" outlineLevel="0" collapsed="false">
      <c r="A251" s="216" t="n">
        <v>29.4</v>
      </c>
      <c r="B251" s="217" t="n">
        <f aca="false">IF(Calculator!$E$12="YES",IF(A251&lt;Calculator!$G$12,0,MIN(MIN(MOD(A251/Calculator!$F$12,1),1-MOD(A251/Calculator!$F$12,1)),ABS(MOD(A251/Calculator!$F$12,1)-0.5))),1)</f>
        <v>1</v>
      </c>
      <c r="C251" s="217" t="n">
        <f aca="false">IF(Calculator!$E$13="YES",IF(A251&lt;Calculator!$G$13,0,MIN(MIN(MOD(A251/Calculator!$F$13,1),1-MOD(A251/Calculator!$F$13,1)),ABS(MOD(A251/Calculator!$F$13,1)-0.5))),1)</f>
        <v>1</v>
      </c>
      <c r="D251" s="217" t="n">
        <f aca="false">IF(Calculator!$E$14="YES",IF(A251&lt;Calculator!$G$14,0,MIN(MIN(MOD(A251/Calculator!$F$14,1),1-MOD(A251/Calculator!$F$14,1)),ABS(MOD(A251/Calculator!$F$14,1)-0.5))),1)</f>
        <v>1</v>
      </c>
      <c r="E251" s="217" t="n">
        <f aca="false">IF(Calculator!$E$15="YES",IF(A251&lt;Calculator!$G$15,0,MIN(MIN(MOD(A251/Calculator!$F$15,1),1-MOD(A251/Calculator!$F$15,1)),ABS(MOD(A251/Calculator!$F$15,1)-0.5))),1)</f>
        <v>0.024842105263158</v>
      </c>
      <c r="F251" s="217" t="n">
        <f aca="false">IF(Calculator!$E$16="YES",IF(A251&lt;Calculator!$G$16,0,MIN(MIN(MOD(A251/Calculator!$F$16,1),1-MOD(A251/Calculator!$F$16,1)),ABS(MOD(A251/Calculator!$F$16,1)-0.5))),1)</f>
        <v>1</v>
      </c>
      <c r="G251" s="217" t="n">
        <f aca="false">IF(Calculator!$E$17="YES",IF(A251&lt;Calculator!$G$17,0,MIN(MIN(MOD(A251/Calculator!$F$17,1),1-MOD(A251/Calculator!$F$17,1)),ABS(MOD(A251/Calculator!$F$17,1)-0.5))),1)</f>
        <v>0.0754736842105261</v>
      </c>
      <c r="H251" s="217" t="n">
        <f aca="false">IF(Calculator!$E$18="YES",IF(A251&lt;Calculator!$G$18,0,MIN(MIN(MOD(A251/Calculator!$F$18,1),1-MOD(A251/Calculator!$F$18,1)),ABS(MOD(A251/Calculator!$F$18,1)-0.5))),1)</f>
        <v>1</v>
      </c>
      <c r="I251" s="217" t="n">
        <f aca="false">IF(Calculator!$E$19="YES",IF(A251&lt;Calculator!$G$19,0,MIN(MIN(MOD(A251/Calculator!$F$19,1),1-MOD(A251/Calculator!$F$19,1)),ABS(MOD(A251/Calculator!$F$19,1)-0.5))),1)</f>
        <v>1</v>
      </c>
      <c r="J251" s="217" t="n">
        <f aca="false">IF(Calculator!$E$20="YES",IF(A251&lt;Calculator!$G$20,0,MIN(MIN(MOD(A251/Calculator!$F$20,1),1-MOD(A251/Calculator!$F$20,1)),ABS(MOD(A251/Calculator!$F$20,1)-0.5))),1)</f>
        <v>1</v>
      </c>
      <c r="K251" s="217" t="n">
        <f aca="false">IF(Calculator!$E$21="YES",IF(A251&lt;Calculator!$G$21,0,MIN(MIN(MOD(A251/Calculator!$F$21,1),1-MOD(A251/Calculator!$F$21,1)),ABS(MOD(A251/Calculator!$F$21,1)-0.5))),1)</f>
        <v>0.0477894736842108</v>
      </c>
      <c r="L251" s="217" t="n">
        <f aca="false">IF(Calculator!$E$22="YES",IF(A251&lt;Calculator!$G$22,0,MIN(MIN(MOD(A251/Calculator!$F$22,1),1-MOD(A251/Calculator!$F$22,1)),ABS(MOD(A251/Calculator!$F$22,1)-0.5))),1)</f>
        <v>1</v>
      </c>
      <c r="M251" s="217" t="n">
        <f aca="false">MIN(B251:L251)</f>
        <v>0.024842105263158</v>
      </c>
      <c r="N251" s="217" t="n">
        <f aca="false">SUMPRODUCT(($M$7:$M$557&gt;M251)*1)+SUMPRODUCT(($M$7:$M$557=M251)*(ROW($M$7:$M$557)&lt;ROW(M251)))+1</f>
        <v>383</v>
      </c>
      <c r="O251" s="217" t="str">
        <f aca="false">IF(M251&gt;=0.2,"★★★ EXCELLENT",IF(M251&gt;=0.12,"★★  GOOD",IF(M251&gt;=0.07,"★  FAIR",IF(M251&gt;=0.025,"⚠  MARGINAL","✗  AVOID"))))</f>
        <v>✗  AVOID</v>
      </c>
    </row>
    <row r="252" customFormat="false" ht="15" hidden="false" customHeight="true" outlineLevel="0" collapsed="false">
      <c r="A252" s="218" t="n">
        <v>29.5</v>
      </c>
      <c r="B252" s="219" t="n">
        <f aca="false">IF(Calculator!$E$12="YES",IF(A252&lt;Calculator!$G$12,0,MIN(MIN(MOD(A252/Calculator!$F$12,1),1-MOD(A252/Calculator!$F$12,1)),ABS(MOD(A252/Calculator!$F$12,1)-0.5))),1)</f>
        <v>1</v>
      </c>
      <c r="C252" s="219" t="n">
        <f aca="false">IF(Calculator!$E$13="YES",IF(A252&lt;Calculator!$G$13,0,MIN(MIN(MOD(A252/Calculator!$F$13,1),1-MOD(A252/Calculator!$F$13,1)),ABS(MOD(A252/Calculator!$F$13,1)-0.5))),1)</f>
        <v>1</v>
      </c>
      <c r="D252" s="219" t="n">
        <f aca="false">IF(Calculator!$E$14="YES",IF(A252&lt;Calculator!$G$14,0,MIN(MIN(MOD(A252/Calculator!$F$14,1),1-MOD(A252/Calculator!$F$14,1)),ABS(MOD(A252/Calculator!$F$14,1)-0.5))),1)</f>
        <v>1</v>
      </c>
      <c r="E252" s="219" t="n">
        <f aca="false">IF(Calculator!$E$15="YES",IF(A252&lt;Calculator!$G$15,0,MIN(MIN(MOD(A252/Calculator!$F$15,1),1-MOD(A252/Calculator!$F$15,1)),ABS(MOD(A252/Calculator!$F$15,1)-0.5))),1)</f>
        <v>0.0198245614035089</v>
      </c>
      <c r="F252" s="219" t="n">
        <f aca="false">IF(Calculator!$E$16="YES",IF(A252&lt;Calculator!$G$16,0,MIN(MIN(MOD(A252/Calculator!$F$16,1),1-MOD(A252/Calculator!$F$16,1)),ABS(MOD(A252/Calculator!$F$16,1)-0.5))),1)</f>
        <v>1</v>
      </c>
      <c r="G252" s="219" t="n">
        <f aca="false">IF(Calculator!$E$17="YES",IF(A252&lt;Calculator!$G$17,0,MIN(MIN(MOD(A252/Calculator!$F$17,1),1-MOD(A252/Calculator!$F$17,1)),ABS(MOD(A252/Calculator!$F$17,1)-0.5))),1)</f>
        <v>0.0655263157894734</v>
      </c>
      <c r="H252" s="219" t="n">
        <f aca="false">IF(Calculator!$E$18="YES",IF(A252&lt;Calculator!$G$18,0,MIN(MIN(MOD(A252/Calculator!$F$18,1),1-MOD(A252/Calculator!$F$18,1)),ABS(MOD(A252/Calculator!$F$18,1)-0.5))),1)</f>
        <v>1</v>
      </c>
      <c r="I252" s="219" t="n">
        <f aca="false">IF(Calculator!$E$19="YES",IF(A252&lt;Calculator!$G$19,0,MIN(MIN(MOD(A252/Calculator!$F$19,1),1-MOD(A252/Calculator!$F$19,1)),ABS(MOD(A252/Calculator!$F$19,1)-0.5))),1)</f>
        <v>1</v>
      </c>
      <c r="J252" s="219" t="n">
        <f aca="false">IF(Calculator!$E$20="YES",IF(A252&lt;Calculator!$G$20,0,MIN(MIN(MOD(A252/Calculator!$F$20,1),1-MOD(A252/Calculator!$F$20,1)),ABS(MOD(A252/Calculator!$F$20,1)-0.5))),1)</f>
        <v>1</v>
      </c>
      <c r="K252" s="219" t="n">
        <f aca="false">IF(Calculator!$E$21="YES",IF(A252&lt;Calculator!$G$21,0,MIN(MIN(MOD(A252/Calculator!$F$21,1),1-MOD(A252/Calculator!$F$21,1)),ABS(MOD(A252/Calculator!$F$21,1)-0.5))),1)</f>
        <v>0.0275438596491231</v>
      </c>
      <c r="L252" s="219" t="n">
        <f aca="false">IF(Calculator!$E$22="YES",IF(A252&lt;Calculator!$G$22,0,MIN(MIN(MOD(A252/Calculator!$F$22,1),1-MOD(A252/Calculator!$F$22,1)),ABS(MOD(A252/Calculator!$F$22,1)-0.5))),1)</f>
        <v>1</v>
      </c>
      <c r="M252" s="219" t="n">
        <f aca="false">MIN(B252:L252)</f>
        <v>0.0198245614035089</v>
      </c>
      <c r="N252" s="219" t="n">
        <f aca="false">SUMPRODUCT(($M$7:$M$557&gt;M252)*1)+SUMPRODUCT(($M$7:$M$557=M252)*(ROW($M$7:$M$557)&lt;ROW(M252)))+1</f>
        <v>401</v>
      </c>
      <c r="O252" s="219" t="str">
        <f aca="false">IF(M252&gt;=0.2,"★★★ EXCELLENT",IF(M252&gt;=0.12,"★★  GOOD",IF(M252&gt;=0.07,"★  FAIR",IF(M252&gt;=0.025,"⚠  MARGINAL","✗  AVOID"))))</f>
        <v>✗  AVOID</v>
      </c>
    </row>
    <row r="253" customFormat="false" ht="15" hidden="false" customHeight="true" outlineLevel="0" collapsed="false">
      <c r="A253" s="216" t="n">
        <v>29.6</v>
      </c>
      <c r="B253" s="217" t="n">
        <f aca="false">IF(Calculator!$E$12="YES",IF(A253&lt;Calculator!$G$12,0,MIN(MIN(MOD(A253/Calculator!$F$12,1),1-MOD(A253/Calculator!$F$12,1)),ABS(MOD(A253/Calculator!$F$12,1)-0.5))),1)</f>
        <v>1</v>
      </c>
      <c r="C253" s="217" t="n">
        <f aca="false">IF(Calculator!$E$13="YES",IF(A253&lt;Calculator!$G$13,0,MIN(MIN(MOD(A253/Calculator!$F$13,1),1-MOD(A253/Calculator!$F$13,1)),ABS(MOD(A253/Calculator!$F$13,1)-0.5))),1)</f>
        <v>1</v>
      </c>
      <c r="D253" s="217" t="n">
        <f aca="false">IF(Calculator!$E$14="YES",IF(A253&lt;Calculator!$G$14,0,MIN(MIN(MOD(A253/Calculator!$F$14,1),1-MOD(A253/Calculator!$F$14,1)),ABS(MOD(A253/Calculator!$F$14,1)-0.5))),1)</f>
        <v>1</v>
      </c>
      <c r="E253" s="217" t="n">
        <f aca="false">IF(Calculator!$E$15="YES",IF(A253&lt;Calculator!$G$15,0,MIN(MIN(MOD(A253/Calculator!$F$15,1),1-MOD(A253/Calculator!$F$15,1)),ABS(MOD(A253/Calculator!$F$15,1)-0.5))),1)</f>
        <v>0.0148070175438595</v>
      </c>
      <c r="F253" s="217" t="n">
        <f aca="false">IF(Calculator!$E$16="YES",IF(A253&lt;Calculator!$G$16,0,MIN(MIN(MOD(A253/Calculator!$F$16,1),1-MOD(A253/Calculator!$F$16,1)),ABS(MOD(A253/Calculator!$F$16,1)-0.5))),1)</f>
        <v>1</v>
      </c>
      <c r="G253" s="217" t="n">
        <f aca="false">IF(Calculator!$E$17="YES",IF(A253&lt;Calculator!$G$17,0,MIN(MIN(MOD(A253/Calculator!$F$17,1),1-MOD(A253/Calculator!$F$17,1)),ABS(MOD(A253/Calculator!$F$17,1)-0.5))),1)</f>
        <v>0.0555789473684207</v>
      </c>
      <c r="H253" s="217" t="n">
        <f aca="false">IF(Calculator!$E$18="YES",IF(A253&lt;Calculator!$G$18,0,MIN(MIN(MOD(A253/Calculator!$F$18,1),1-MOD(A253/Calculator!$F$18,1)),ABS(MOD(A253/Calculator!$F$18,1)-0.5))),1)</f>
        <v>1</v>
      </c>
      <c r="I253" s="217" t="n">
        <f aca="false">IF(Calculator!$E$19="YES",IF(A253&lt;Calculator!$G$19,0,MIN(MIN(MOD(A253/Calculator!$F$19,1),1-MOD(A253/Calculator!$F$19,1)),ABS(MOD(A253/Calculator!$F$19,1)-0.5))),1)</f>
        <v>1</v>
      </c>
      <c r="J253" s="217" t="n">
        <f aca="false">IF(Calculator!$E$20="YES",IF(A253&lt;Calculator!$G$20,0,MIN(MIN(MOD(A253/Calculator!$F$20,1),1-MOD(A253/Calculator!$F$20,1)),ABS(MOD(A253/Calculator!$F$20,1)-0.5))),1)</f>
        <v>1</v>
      </c>
      <c r="K253" s="217" t="n">
        <f aca="false">IF(Calculator!$E$21="YES",IF(A253&lt;Calculator!$G$21,0,MIN(MIN(MOD(A253/Calculator!$F$21,1),1-MOD(A253/Calculator!$F$21,1)),ABS(MOD(A253/Calculator!$F$21,1)-0.5))),1)</f>
        <v>0.00729824561403447</v>
      </c>
      <c r="L253" s="217" t="n">
        <f aca="false">IF(Calculator!$E$22="YES",IF(A253&lt;Calculator!$G$22,0,MIN(MIN(MOD(A253/Calculator!$F$22,1),1-MOD(A253/Calculator!$F$22,1)),ABS(MOD(A253/Calculator!$F$22,1)-0.5))),1)</f>
        <v>1</v>
      </c>
      <c r="M253" s="217" t="n">
        <f aca="false">MIN(B253:L253)</f>
        <v>0.00729824561403447</v>
      </c>
      <c r="N253" s="217" t="n">
        <f aca="false">SUMPRODUCT(($M$7:$M$557&gt;M253)*1)+SUMPRODUCT(($M$7:$M$557=M253)*(ROW($M$7:$M$557)&lt;ROW(M253)))+1</f>
        <v>457</v>
      </c>
      <c r="O253" s="217" t="str">
        <f aca="false">IF(M253&gt;=0.2,"★★★ EXCELLENT",IF(M253&gt;=0.12,"★★  GOOD",IF(M253&gt;=0.07,"★  FAIR",IF(M253&gt;=0.025,"⚠  MARGINAL","✗  AVOID"))))</f>
        <v>✗  AVOID</v>
      </c>
    </row>
    <row r="254" customFormat="false" ht="15" hidden="false" customHeight="true" outlineLevel="0" collapsed="false">
      <c r="A254" s="218" t="n">
        <v>29.7</v>
      </c>
      <c r="B254" s="219" t="n">
        <f aca="false">IF(Calculator!$E$12="YES",IF(A254&lt;Calculator!$G$12,0,MIN(MIN(MOD(A254/Calculator!$F$12,1),1-MOD(A254/Calculator!$F$12,1)),ABS(MOD(A254/Calculator!$F$12,1)-0.5))),1)</f>
        <v>1</v>
      </c>
      <c r="C254" s="219" t="n">
        <f aca="false">IF(Calculator!$E$13="YES",IF(A254&lt;Calculator!$G$13,0,MIN(MIN(MOD(A254/Calculator!$F$13,1),1-MOD(A254/Calculator!$F$13,1)),ABS(MOD(A254/Calculator!$F$13,1)-0.5))),1)</f>
        <v>1</v>
      </c>
      <c r="D254" s="219" t="n">
        <f aca="false">IF(Calculator!$E$14="YES",IF(A254&lt;Calculator!$G$14,0,MIN(MIN(MOD(A254/Calculator!$F$14,1),1-MOD(A254/Calculator!$F$14,1)),ABS(MOD(A254/Calculator!$F$14,1)-0.5))),1)</f>
        <v>1</v>
      </c>
      <c r="E254" s="219" t="n">
        <f aca="false">IF(Calculator!$E$15="YES",IF(A254&lt;Calculator!$G$15,0,MIN(MIN(MOD(A254/Calculator!$F$15,1),1-MOD(A254/Calculator!$F$15,1)),ABS(MOD(A254/Calculator!$F$15,1)-0.5))),1)</f>
        <v>0.00978947368421057</v>
      </c>
      <c r="F254" s="219" t="n">
        <f aca="false">IF(Calculator!$E$16="YES",IF(A254&lt;Calculator!$G$16,0,MIN(MIN(MOD(A254/Calculator!$F$16,1),1-MOD(A254/Calculator!$F$16,1)),ABS(MOD(A254/Calculator!$F$16,1)-0.5))),1)</f>
        <v>1</v>
      </c>
      <c r="G254" s="219" t="n">
        <f aca="false">IF(Calculator!$E$17="YES",IF(A254&lt;Calculator!$G$17,0,MIN(MIN(MOD(A254/Calculator!$F$17,1),1-MOD(A254/Calculator!$F$17,1)),ABS(MOD(A254/Calculator!$F$17,1)-0.5))),1)</f>
        <v>0.0456315789473685</v>
      </c>
      <c r="H254" s="219" t="n">
        <f aca="false">IF(Calculator!$E$18="YES",IF(A254&lt;Calculator!$G$18,0,MIN(MIN(MOD(A254/Calculator!$F$18,1),1-MOD(A254/Calculator!$F$18,1)),ABS(MOD(A254/Calculator!$F$18,1)-0.5))),1)</f>
        <v>1</v>
      </c>
      <c r="I254" s="219" t="n">
        <f aca="false">IF(Calculator!$E$19="YES",IF(A254&lt;Calculator!$G$19,0,MIN(MIN(MOD(A254/Calculator!$F$19,1),1-MOD(A254/Calculator!$F$19,1)),ABS(MOD(A254/Calculator!$F$19,1)-0.5))),1)</f>
        <v>1</v>
      </c>
      <c r="J254" s="219" t="n">
        <f aca="false">IF(Calculator!$E$20="YES",IF(A254&lt;Calculator!$G$20,0,MIN(MIN(MOD(A254/Calculator!$F$20,1),1-MOD(A254/Calculator!$F$20,1)),ABS(MOD(A254/Calculator!$F$20,1)-0.5))),1)</f>
        <v>1</v>
      </c>
      <c r="K254" s="219" t="n">
        <f aca="false">IF(Calculator!$E$21="YES",IF(A254&lt;Calculator!$G$21,0,MIN(MIN(MOD(A254/Calculator!$F$21,1),1-MOD(A254/Calculator!$F$21,1)),ABS(MOD(A254/Calculator!$F$21,1)-0.5))),1)</f>
        <v>0.0129473684210524</v>
      </c>
      <c r="L254" s="219" t="n">
        <f aca="false">IF(Calculator!$E$22="YES",IF(A254&lt;Calculator!$G$22,0,MIN(MIN(MOD(A254/Calculator!$F$22,1),1-MOD(A254/Calculator!$F$22,1)),ABS(MOD(A254/Calculator!$F$22,1)-0.5))),1)</f>
        <v>1</v>
      </c>
      <c r="M254" s="219" t="n">
        <f aca="false">MIN(B254:L254)</f>
        <v>0.00978947368421057</v>
      </c>
      <c r="N254" s="219" t="n">
        <f aca="false">SUMPRODUCT(($M$7:$M$557&gt;M254)*1)+SUMPRODUCT(($M$7:$M$557=M254)*(ROW($M$7:$M$557)&lt;ROW(M254)))+1</f>
        <v>445</v>
      </c>
      <c r="O254" s="219" t="str">
        <f aca="false">IF(M254&gt;=0.2,"★★★ EXCELLENT",IF(M254&gt;=0.12,"★★  GOOD",IF(M254&gt;=0.07,"★  FAIR",IF(M254&gt;=0.025,"⚠  MARGINAL","✗  AVOID"))))</f>
        <v>✗  AVOID</v>
      </c>
    </row>
    <row r="255" customFormat="false" ht="15" hidden="false" customHeight="true" outlineLevel="0" collapsed="false">
      <c r="A255" s="216" t="n">
        <v>29.8</v>
      </c>
      <c r="B255" s="217" t="n">
        <f aca="false">IF(Calculator!$E$12="YES",IF(A255&lt;Calculator!$G$12,0,MIN(MIN(MOD(A255/Calculator!$F$12,1),1-MOD(A255/Calculator!$F$12,1)),ABS(MOD(A255/Calculator!$F$12,1)-0.5))),1)</f>
        <v>1</v>
      </c>
      <c r="C255" s="217" t="n">
        <f aca="false">IF(Calculator!$E$13="YES",IF(A255&lt;Calculator!$G$13,0,MIN(MIN(MOD(A255/Calculator!$F$13,1),1-MOD(A255/Calculator!$F$13,1)),ABS(MOD(A255/Calculator!$F$13,1)-0.5))),1)</f>
        <v>1</v>
      </c>
      <c r="D255" s="217" t="n">
        <f aca="false">IF(Calculator!$E$14="YES",IF(A255&lt;Calculator!$G$14,0,MIN(MIN(MOD(A255/Calculator!$F$14,1),1-MOD(A255/Calculator!$F$14,1)),ABS(MOD(A255/Calculator!$F$14,1)-0.5))),1)</f>
        <v>1</v>
      </c>
      <c r="E255" s="217" t="n">
        <f aca="false">IF(Calculator!$E$15="YES",IF(A255&lt;Calculator!$G$15,0,MIN(MIN(MOD(A255/Calculator!$F$15,1),1-MOD(A255/Calculator!$F$15,1)),ABS(MOD(A255/Calculator!$F$15,1)-0.5))),1)</f>
        <v>0.00477192982456143</v>
      </c>
      <c r="F255" s="217" t="n">
        <f aca="false">IF(Calculator!$E$16="YES",IF(A255&lt;Calculator!$G$16,0,MIN(MIN(MOD(A255/Calculator!$F$16,1),1-MOD(A255/Calculator!$F$16,1)),ABS(MOD(A255/Calculator!$F$16,1)-0.5))),1)</f>
        <v>1</v>
      </c>
      <c r="G255" s="217" t="n">
        <f aca="false">IF(Calculator!$E$17="YES",IF(A255&lt;Calculator!$G$17,0,MIN(MIN(MOD(A255/Calculator!$F$17,1),1-MOD(A255/Calculator!$F$17,1)),ABS(MOD(A255/Calculator!$F$17,1)-0.5))),1)</f>
        <v>0.0356842105263153</v>
      </c>
      <c r="H255" s="217" t="n">
        <f aca="false">IF(Calculator!$E$18="YES",IF(A255&lt;Calculator!$G$18,0,MIN(MIN(MOD(A255/Calculator!$F$18,1),1-MOD(A255/Calculator!$F$18,1)),ABS(MOD(A255/Calculator!$F$18,1)-0.5))),1)</f>
        <v>1</v>
      </c>
      <c r="I255" s="217" t="n">
        <f aca="false">IF(Calculator!$E$19="YES",IF(A255&lt;Calculator!$G$19,0,MIN(MIN(MOD(A255/Calculator!$F$19,1),1-MOD(A255/Calculator!$F$19,1)),ABS(MOD(A255/Calculator!$F$19,1)-0.5))),1)</f>
        <v>1</v>
      </c>
      <c r="J255" s="217" t="n">
        <f aca="false">IF(Calculator!$E$20="YES",IF(A255&lt;Calculator!$G$20,0,MIN(MIN(MOD(A255/Calculator!$F$20,1),1-MOD(A255/Calculator!$F$20,1)),ABS(MOD(A255/Calculator!$F$20,1)-0.5))),1)</f>
        <v>1</v>
      </c>
      <c r="K255" s="217" t="n">
        <f aca="false">IF(Calculator!$E$21="YES",IF(A255&lt;Calculator!$G$21,0,MIN(MIN(MOD(A255/Calculator!$F$21,1),1-MOD(A255/Calculator!$F$21,1)),ABS(MOD(A255/Calculator!$F$21,1)-0.5))),1)</f>
        <v>0.0331929824561401</v>
      </c>
      <c r="L255" s="217" t="n">
        <f aca="false">IF(Calculator!$E$22="YES",IF(A255&lt;Calculator!$G$22,0,MIN(MIN(MOD(A255/Calculator!$F$22,1),1-MOD(A255/Calculator!$F$22,1)),ABS(MOD(A255/Calculator!$F$22,1)-0.5))),1)</f>
        <v>1</v>
      </c>
      <c r="M255" s="217" t="n">
        <f aca="false">MIN(B255:L255)</f>
        <v>0.00477192982456143</v>
      </c>
      <c r="N255" s="217" t="n">
        <f aca="false">SUMPRODUCT(($M$7:$M$557&gt;M255)*1)+SUMPRODUCT(($M$7:$M$557=M255)*(ROW($M$7:$M$557)&lt;ROW(M255)))+1</f>
        <v>473</v>
      </c>
      <c r="O255" s="217" t="str">
        <f aca="false">IF(M255&gt;=0.2,"★★★ EXCELLENT",IF(M255&gt;=0.12,"★★  GOOD",IF(M255&gt;=0.07,"★  FAIR",IF(M255&gt;=0.025,"⚠  MARGINAL","✗  AVOID"))))</f>
        <v>✗  AVOID</v>
      </c>
    </row>
    <row r="256" customFormat="false" ht="15" hidden="false" customHeight="true" outlineLevel="0" collapsed="false">
      <c r="A256" s="218" t="n">
        <v>29.9</v>
      </c>
      <c r="B256" s="219" t="n">
        <f aca="false">IF(Calculator!$E$12="YES",IF(A256&lt;Calculator!$G$12,0,MIN(MIN(MOD(A256/Calculator!$F$12,1),1-MOD(A256/Calculator!$F$12,1)),ABS(MOD(A256/Calculator!$F$12,1)-0.5))),1)</f>
        <v>1</v>
      </c>
      <c r="C256" s="219" t="n">
        <f aca="false">IF(Calculator!$E$13="YES",IF(A256&lt;Calculator!$G$13,0,MIN(MIN(MOD(A256/Calculator!$F$13,1),1-MOD(A256/Calculator!$F$13,1)),ABS(MOD(A256/Calculator!$F$13,1)-0.5))),1)</f>
        <v>1</v>
      </c>
      <c r="D256" s="219" t="n">
        <f aca="false">IF(Calculator!$E$14="YES",IF(A256&lt;Calculator!$G$14,0,MIN(MIN(MOD(A256/Calculator!$F$14,1),1-MOD(A256/Calculator!$F$14,1)),ABS(MOD(A256/Calculator!$F$14,1)-0.5))),1)</f>
        <v>1</v>
      </c>
      <c r="E256" s="219" t="n">
        <f aca="false">IF(Calculator!$E$15="YES",IF(A256&lt;Calculator!$G$15,0,MIN(MIN(MOD(A256/Calculator!$F$15,1),1-MOD(A256/Calculator!$F$15,1)),ABS(MOD(A256/Calculator!$F$15,1)-0.5))),1)</f>
        <v>0.000245614035087716</v>
      </c>
      <c r="F256" s="219" t="n">
        <f aca="false">IF(Calculator!$E$16="YES",IF(A256&lt;Calculator!$G$16,0,MIN(MIN(MOD(A256/Calculator!$F$16,1),1-MOD(A256/Calculator!$F$16,1)),ABS(MOD(A256/Calculator!$F$16,1)-0.5))),1)</f>
        <v>1</v>
      </c>
      <c r="G256" s="219" t="n">
        <f aca="false">IF(Calculator!$E$17="YES",IF(A256&lt;Calculator!$G$17,0,MIN(MIN(MOD(A256/Calculator!$F$17,1),1-MOD(A256/Calculator!$F$17,1)),ABS(MOD(A256/Calculator!$F$17,1)-0.5))),1)</f>
        <v>0.0257368421052631</v>
      </c>
      <c r="H256" s="219" t="n">
        <f aca="false">IF(Calculator!$E$18="YES",IF(A256&lt;Calculator!$G$18,0,MIN(MIN(MOD(A256/Calculator!$F$18,1),1-MOD(A256/Calculator!$F$18,1)),ABS(MOD(A256/Calculator!$F$18,1)-0.5))),1)</f>
        <v>1</v>
      </c>
      <c r="I256" s="219" t="n">
        <f aca="false">IF(Calculator!$E$19="YES",IF(A256&lt;Calculator!$G$19,0,MIN(MIN(MOD(A256/Calculator!$F$19,1),1-MOD(A256/Calculator!$F$19,1)),ABS(MOD(A256/Calculator!$F$19,1)-0.5))),1)</f>
        <v>1</v>
      </c>
      <c r="J256" s="219" t="n">
        <f aca="false">IF(Calculator!$E$20="YES",IF(A256&lt;Calculator!$G$20,0,MIN(MIN(MOD(A256/Calculator!$F$20,1),1-MOD(A256/Calculator!$F$20,1)),ABS(MOD(A256/Calculator!$F$20,1)-0.5))),1)</f>
        <v>1</v>
      </c>
      <c r="K256" s="219" t="n">
        <f aca="false">IF(Calculator!$E$21="YES",IF(A256&lt;Calculator!$G$21,0,MIN(MIN(MOD(A256/Calculator!$F$21,1),1-MOD(A256/Calculator!$F$21,1)),ABS(MOD(A256/Calculator!$F$21,1)-0.5))),1)</f>
        <v>0.0534385964912278</v>
      </c>
      <c r="L256" s="219" t="n">
        <f aca="false">IF(Calculator!$E$22="YES",IF(A256&lt;Calculator!$G$22,0,MIN(MIN(MOD(A256/Calculator!$F$22,1),1-MOD(A256/Calculator!$F$22,1)),ABS(MOD(A256/Calculator!$F$22,1)-0.5))),1)</f>
        <v>1</v>
      </c>
      <c r="M256" s="219" t="n">
        <f aca="false">MIN(B256:L256)</f>
        <v>0.000245614035087716</v>
      </c>
      <c r="N256" s="219" t="n">
        <f aca="false">SUMPRODUCT(($M$7:$M$557&gt;M256)*1)+SUMPRODUCT(($M$7:$M$557=M256)*(ROW($M$7:$M$557)&lt;ROW(M256)))+1</f>
        <v>501</v>
      </c>
      <c r="O256" s="219" t="str">
        <f aca="false">IF(M256&gt;=0.2,"★★★ EXCELLENT",IF(M256&gt;=0.12,"★★  GOOD",IF(M256&gt;=0.07,"★  FAIR",IF(M256&gt;=0.025,"⚠  MARGINAL","✗  AVOID"))))</f>
        <v>✗  AVOID</v>
      </c>
    </row>
    <row r="257" customFormat="false" ht="15" hidden="false" customHeight="true" outlineLevel="0" collapsed="false">
      <c r="A257" s="216" t="n">
        <v>30</v>
      </c>
      <c r="B257" s="217" t="n">
        <f aca="false">IF(Calculator!$E$12="YES",IF(A257&lt;Calculator!$G$12,0,MIN(MIN(MOD(A257/Calculator!$F$12,1),1-MOD(A257/Calculator!$F$12,1)),ABS(MOD(A257/Calculator!$F$12,1)-0.5))),1)</f>
        <v>1</v>
      </c>
      <c r="C257" s="217" t="n">
        <f aca="false">IF(Calculator!$E$13="YES",IF(A257&lt;Calculator!$G$13,0,MIN(MIN(MOD(A257/Calculator!$F$13,1),1-MOD(A257/Calculator!$F$13,1)),ABS(MOD(A257/Calculator!$F$13,1)-0.5))),1)</f>
        <v>1</v>
      </c>
      <c r="D257" s="217" t="n">
        <f aca="false">IF(Calculator!$E$14="YES",IF(A257&lt;Calculator!$G$14,0,MIN(MIN(MOD(A257/Calculator!$F$14,1),1-MOD(A257/Calculator!$F$14,1)),ABS(MOD(A257/Calculator!$F$14,1)-0.5))),1)</f>
        <v>1</v>
      </c>
      <c r="E257" s="217" t="n">
        <f aca="false">IF(Calculator!$E$15="YES",IF(A257&lt;Calculator!$G$15,0,MIN(MIN(MOD(A257/Calculator!$F$15,1),1-MOD(A257/Calculator!$F$15,1)),ABS(MOD(A257/Calculator!$F$15,1)-0.5))),1)</f>
        <v>0.00526315789473686</v>
      </c>
      <c r="F257" s="217" t="n">
        <f aca="false">IF(Calculator!$E$16="YES",IF(A257&lt;Calculator!$G$16,0,MIN(MIN(MOD(A257/Calculator!$F$16,1),1-MOD(A257/Calculator!$F$16,1)),ABS(MOD(A257/Calculator!$F$16,1)-0.5))),1)</f>
        <v>1</v>
      </c>
      <c r="G257" s="217" t="n">
        <f aca="false">IF(Calculator!$E$17="YES",IF(A257&lt;Calculator!$G$17,0,MIN(MIN(MOD(A257/Calculator!$F$17,1),1-MOD(A257/Calculator!$F$17,1)),ABS(MOD(A257/Calculator!$F$17,1)-0.5))),1)</f>
        <v>0.0157894736842104</v>
      </c>
      <c r="H257" s="217" t="n">
        <f aca="false">IF(Calculator!$E$18="YES",IF(A257&lt;Calculator!$G$18,0,MIN(MIN(MOD(A257/Calculator!$F$18,1),1-MOD(A257/Calculator!$F$18,1)),ABS(MOD(A257/Calculator!$F$18,1)-0.5))),1)</f>
        <v>1</v>
      </c>
      <c r="I257" s="217" t="n">
        <f aca="false">IF(Calculator!$E$19="YES",IF(A257&lt;Calculator!$G$19,0,MIN(MIN(MOD(A257/Calculator!$F$19,1),1-MOD(A257/Calculator!$F$19,1)),ABS(MOD(A257/Calculator!$F$19,1)-0.5))),1)</f>
        <v>1</v>
      </c>
      <c r="J257" s="217" t="n">
        <f aca="false">IF(Calculator!$E$20="YES",IF(A257&lt;Calculator!$G$20,0,MIN(MIN(MOD(A257/Calculator!$F$20,1),1-MOD(A257/Calculator!$F$20,1)),ABS(MOD(A257/Calculator!$F$20,1)-0.5))),1)</f>
        <v>1</v>
      </c>
      <c r="K257" s="217" t="n">
        <f aca="false">IF(Calculator!$E$21="YES",IF(A257&lt;Calculator!$G$21,0,MIN(MIN(MOD(A257/Calculator!$F$21,1),1-MOD(A257/Calculator!$F$21,1)),ABS(MOD(A257/Calculator!$F$21,1)-0.5))),1)</f>
        <v>0.0736842105263156</v>
      </c>
      <c r="L257" s="217" t="n">
        <f aca="false">IF(Calculator!$E$22="YES",IF(A257&lt;Calculator!$G$22,0,MIN(MIN(MOD(A257/Calculator!$F$22,1),1-MOD(A257/Calculator!$F$22,1)),ABS(MOD(A257/Calculator!$F$22,1)-0.5))),1)</f>
        <v>1</v>
      </c>
      <c r="M257" s="217" t="n">
        <f aca="false">MIN(B257:L257)</f>
        <v>0.00526315789473686</v>
      </c>
      <c r="N257" s="217" t="n">
        <f aca="false">SUMPRODUCT(($M$7:$M$557&gt;M257)*1)+SUMPRODUCT(($M$7:$M$557=M257)*(ROW($M$7:$M$557)&lt;ROW(M257)))+1</f>
        <v>470</v>
      </c>
      <c r="O257" s="217" t="str">
        <f aca="false">IF(M257&gt;=0.2,"★★★ EXCELLENT",IF(M257&gt;=0.12,"★★  GOOD",IF(M257&gt;=0.07,"★  FAIR",IF(M257&gt;=0.025,"⚠  MARGINAL","✗  AVOID"))))</f>
        <v>✗  AVOID</v>
      </c>
    </row>
    <row r="258" customFormat="false" ht="15" hidden="false" customHeight="true" outlineLevel="0" collapsed="false">
      <c r="A258" s="218" t="n">
        <v>30.1</v>
      </c>
      <c r="B258" s="219" t="n">
        <f aca="false">IF(Calculator!$E$12="YES",IF(A258&lt;Calculator!$G$12,0,MIN(MIN(MOD(A258/Calculator!$F$12,1),1-MOD(A258/Calculator!$F$12,1)),ABS(MOD(A258/Calculator!$F$12,1)-0.5))),1)</f>
        <v>1</v>
      </c>
      <c r="C258" s="219" t="n">
        <f aca="false">IF(Calculator!$E$13="YES",IF(A258&lt;Calculator!$G$13,0,MIN(MIN(MOD(A258/Calculator!$F$13,1),1-MOD(A258/Calculator!$F$13,1)),ABS(MOD(A258/Calculator!$F$13,1)-0.5))),1)</f>
        <v>1</v>
      </c>
      <c r="D258" s="219" t="n">
        <f aca="false">IF(Calculator!$E$14="YES",IF(A258&lt;Calculator!$G$14,0,MIN(MIN(MOD(A258/Calculator!$F$14,1),1-MOD(A258/Calculator!$F$14,1)),ABS(MOD(A258/Calculator!$F$14,1)-0.5))),1)</f>
        <v>1</v>
      </c>
      <c r="E258" s="219" t="n">
        <f aca="false">IF(Calculator!$E$15="YES",IF(A258&lt;Calculator!$G$15,0,MIN(MIN(MOD(A258/Calculator!$F$15,1),1-MOD(A258/Calculator!$F$15,1)),ABS(MOD(A258/Calculator!$F$15,1)-0.5))),1)</f>
        <v>0.010280701754386</v>
      </c>
      <c r="F258" s="219" t="n">
        <f aca="false">IF(Calculator!$E$16="YES",IF(A258&lt;Calculator!$G$16,0,MIN(MIN(MOD(A258/Calculator!$F$16,1),1-MOD(A258/Calculator!$F$16,1)),ABS(MOD(A258/Calculator!$F$16,1)-0.5))),1)</f>
        <v>1</v>
      </c>
      <c r="G258" s="219" t="n">
        <f aca="false">IF(Calculator!$E$17="YES",IF(A258&lt;Calculator!$G$17,0,MIN(MIN(MOD(A258/Calculator!$F$17,1),1-MOD(A258/Calculator!$F$17,1)),ABS(MOD(A258/Calculator!$F$17,1)-0.5))),1)</f>
        <v>0.00584210526315765</v>
      </c>
      <c r="H258" s="219" t="n">
        <f aca="false">IF(Calculator!$E$18="YES",IF(A258&lt;Calculator!$G$18,0,MIN(MIN(MOD(A258/Calculator!$F$18,1),1-MOD(A258/Calculator!$F$18,1)),ABS(MOD(A258/Calculator!$F$18,1)-0.5))),1)</f>
        <v>1</v>
      </c>
      <c r="I258" s="219" t="n">
        <f aca="false">IF(Calculator!$E$19="YES",IF(A258&lt;Calculator!$G$19,0,MIN(MIN(MOD(A258/Calculator!$F$19,1),1-MOD(A258/Calculator!$F$19,1)),ABS(MOD(A258/Calculator!$F$19,1)-0.5))),1)</f>
        <v>1</v>
      </c>
      <c r="J258" s="219" t="n">
        <f aca="false">IF(Calculator!$E$20="YES",IF(A258&lt;Calculator!$G$20,0,MIN(MIN(MOD(A258/Calculator!$F$20,1),1-MOD(A258/Calculator!$F$20,1)),ABS(MOD(A258/Calculator!$F$20,1)-0.5))),1)</f>
        <v>1</v>
      </c>
      <c r="K258" s="219" t="n">
        <f aca="false">IF(Calculator!$E$21="YES",IF(A258&lt;Calculator!$G$21,0,MIN(MIN(MOD(A258/Calculator!$F$21,1),1-MOD(A258/Calculator!$F$21,1)),ABS(MOD(A258/Calculator!$F$21,1)-0.5))),1)</f>
        <v>0.0939298245614033</v>
      </c>
      <c r="L258" s="219" t="n">
        <f aca="false">IF(Calculator!$E$22="YES",IF(A258&lt;Calculator!$G$22,0,MIN(MIN(MOD(A258/Calculator!$F$22,1),1-MOD(A258/Calculator!$F$22,1)),ABS(MOD(A258/Calculator!$F$22,1)-0.5))),1)</f>
        <v>1</v>
      </c>
      <c r="M258" s="219" t="n">
        <f aca="false">MIN(B258:L258)</f>
        <v>0.00584210526315765</v>
      </c>
      <c r="N258" s="219" t="n">
        <f aca="false">SUMPRODUCT(($M$7:$M$557&gt;M258)*1)+SUMPRODUCT(($M$7:$M$557=M258)*(ROW($M$7:$M$557)&lt;ROW(M258)))+1</f>
        <v>466</v>
      </c>
      <c r="O258" s="219" t="str">
        <f aca="false">IF(M258&gt;=0.2,"★★★ EXCELLENT",IF(M258&gt;=0.12,"★★  GOOD",IF(M258&gt;=0.07,"★  FAIR",IF(M258&gt;=0.025,"⚠  MARGINAL","✗  AVOID"))))</f>
        <v>✗  AVOID</v>
      </c>
    </row>
    <row r="259" customFormat="false" ht="15" hidden="false" customHeight="true" outlineLevel="0" collapsed="false">
      <c r="A259" s="216" t="n">
        <v>30.2</v>
      </c>
      <c r="B259" s="217" t="n">
        <f aca="false">IF(Calculator!$E$12="YES",IF(A259&lt;Calculator!$G$12,0,MIN(MIN(MOD(A259/Calculator!$F$12,1),1-MOD(A259/Calculator!$F$12,1)),ABS(MOD(A259/Calculator!$F$12,1)-0.5))),1)</f>
        <v>1</v>
      </c>
      <c r="C259" s="217" t="n">
        <f aca="false">IF(Calculator!$E$13="YES",IF(A259&lt;Calculator!$G$13,0,MIN(MIN(MOD(A259/Calculator!$F$13,1),1-MOD(A259/Calculator!$F$13,1)),ABS(MOD(A259/Calculator!$F$13,1)-0.5))),1)</f>
        <v>1</v>
      </c>
      <c r="D259" s="217" t="n">
        <f aca="false">IF(Calculator!$E$14="YES",IF(A259&lt;Calculator!$G$14,0,MIN(MIN(MOD(A259/Calculator!$F$14,1),1-MOD(A259/Calculator!$F$14,1)),ABS(MOD(A259/Calculator!$F$14,1)-0.5))),1)</f>
        <v>1</v>
      </c>
      <c r="E259" s="217" t="n">
        <f aca="false">IF(Calculator!$E$15="YES",IF(A259&lt;Calculator!$G$15,0,MIN(MIN(MOD(A259/Calculator!$F$15,1),1-MOD(A259/Calculator!$F$15,1)),ABS(MOD(A259/Calculator!$F$15,1)-0.5))),1)</f>
        <v>0.0152982456140351</v>
      </c>
      <c r="F259" s="217" t="n">
        <f aca="false">IF(Calculator!$E$16="YES",IF(A259&lt;Calculator!$G$16,0,MIN(MIN(MOD(A259/Calculator!$F$16,1),1-MOD(A259/Calculator!$F$16,1)),ABS(MOD(A259/Calculator!$F$16,1)-0.5))),1)</f>
        <v>1</v>
      </c>
      <c r="G259" s="217" t="n">
        <f aca="false">IF(Calculator!$E$17="YES",IF(A259&lt;Calculator!$G$17,0,MIN(MIN(MOD(A259/Calculator!$F$17,1),1-MOD(A259/Calculator!$F$17,1)),ABS(MOD(A259/Calculator!$F$17,1)-0.5))),1)</f>
        <v>0.00410526315789506</v>
      </c>
      <c r="H259" s="217" t="n">
        <f aca="false">IF(Calculator!$E$18="YES",IF(A259&lt;Calculator!$G$18,0,MIN(MIN(MOD(A259/Calculator!$F$18,1),1-MOD(A259/Calculator!$F$18,1)),ABS(MOD(A259/Calculator!$F$18,1)-0.5))),1)</f>
        <v>1</v>
      </c>
      <c r="I259" s="217" t="n">
        <f aca="false">IF(Calculator!$E$19="YES",IF(A259&lt;Calculator!$G$19,0,MIN(MIN(MOD(A259/Calculator!$F$19,1),1-MOD(A259/Calculator!$F$19,1)),ABS(MOD(A259/Calculator!$F$19,1)-0.5))),1)</f>
        <v>1</v>
      </c>
      <c r="J259" s="217" t="n">
        <f aca="false">IF(Calculator!$E$20="YES",IF(A259&lt;Calculator!$G$20,0,MIN(MIN(MOD(A259/Calculator!$F$20,1),1-MOD(A259/Calculator!$F$20,1)),ABS(MOD(A259/Calculator!$F$20,1)-0.5))),1)</f>
        <v>1</v>
      </c>
      <c r="K259" s="217" t="n">
        <f aca="false">IF(Calculator!$E$21="YES",IF(A259&lt;Calculator!$G$21,0,MIN(MIN(MOD(A259/Calculator!$F$21,1),1-MOD(A259/Calculator!$F$21,1)),ABS(MOD(A259/Calculator!$F$21,1)-0.5))),1)</f>
        <v>0.114175438596491</v>
      </c>
      <c r="L259" s="217" t="n">
        <f aca="false">IF(Calculator!$E$22="YES",IF(A259&lt;Calculator!$G$22,0,MIN(MIN(MOD(A259/Calculator!$F$22,1),1-MOD(A259/Calculator!$F$22,1)),ABS(MOD(A259/Calculator!$F$22,1)-0.5))),1)</f>
        <v>1</v>
      </c>
      <c r="M259" s="217" t="n">
        <f aca="false">MIN(B259:L259)</f>
        <v>0.00410526315789506</v>
      </c>
      <c r="N259" s="217" t="n">
        <f aca="false">SUMPRODUCT(($M$7:$M$557&gt;M259)*1)+SUMPRODUCT(($M$7:$M$557=M259)*(ROW($M$7:$M$557)&lt;ROW(M259)))+1</f>
        <v>476</v>
      </c>
      <c r="O259" s="217" t="str">
        <f aca="false">IF(M259&gt;=0.2,"★★★ EXCELLENT",IF(M259&gt;=0.12,"★★  GOOD",IF(M259&gt;=0.07,"★  FAIR",IF(M259&gt;=0.025,"⚠  MARGINAL","✗  AVOID"))))</f>
        <v>✗  AVOID</v>
      </c>
    </row>
    <row r="260" customFormat="false" ht="15" hidden="false" customHeight="true" outlineLevel="0" collapsed="false">
      <c r="A260" s="218" t="n">
        <v>30.3</v>
      </c>
      <c r="B260" s="219" t="n">
        <f aca="false">IF(Calculator!$E$12="YES",IF(A260&lt;Calculator!$G$12,0,MIN(MIN(MOD(A260/Calculator!$F$12,1),1-MOD(A260/Calculator!$F$12,1)),ABS(MOD(A260/Calculator!$F$12,1)-0.5))),1)</f>
        <v>1</v>
      </c>
      <c r="C260" s="219" t="n">
        <f aca="false">IF(Calculator!$E$13="YES",IF(A260&lt;Calculator!$G$13,0,MIN(MIN(MOD(A260/Calculator!$F$13,1),1-MOD(A260/Calculator!$F$13,1)),ABS(MOD(A260/Calculator!$F$13,1)-0.5))),1)</f>
        <v>1</v>
      </c>
      <c r="D260" s="219" t="n">
        <f aca="false">IF(Calculator!$E$14="YES",IF(A260&lt;Calculator!$G$14,0,MIN(MIN(MOD(A260/Calculator!$F$14,1),1-MOD(A260/Calculator!$F$14,1)),ABS(MOD(A260/Calculator!$F$14,1)-0.5))),1)</f>
        <v>1</v>
      </c>
      <c r="E260" s="219" t="n">
        <f aca="false">IF(Calculator!$E$15="YES",IF(A260&lt;Calculator!$G$15,0,MIN(MIN(MOD(A260/Calculator!$F$15,1),1-MOD(A260/Calculator!$F$15,1)),ABS(MOD(A260/Calculator!$F$15,1)-0.5))),1)</f>
        <v>0.0203157894736843</v>
      </c>
      <c r="F260" s="219" t="n">
        <f aca="false">IF(Calculator!$E$16="YES",IF(A260&lt;Calculator!$G$16,0,MIN(MIN(MOD(A260/Calculator!$F$16,1),1-MOD(A260/Calculator!$F$16,1)),ABS(MOD(A260/Calculator!$F$16,1)-0.5))),1)</f>
        <v>1</v>
      </c>
      <c r="G260" s="219" t="n">
        <f aca="false">IF(Calculator!$E$17="YES",IF(A260&lt;Calculator!$G$17,0,MIN(MIN(MOD(A260/Calculator!$F$17,1),1-MOD(A260/Calculator!$F$17,1)),ABS(MOD(A260/Calculator!$F$17,1)-0.5))),1)</f>
        <v>0.0140526315789478</v>
      </c>
      <c r="H260" s="219" t="n">
        <f aca="false">IF(Calculator!$E$18="YES",IF(A260&lt;Calculator!$G$18,0,MIN(MIN(MOD(A260/Calculator!$F$18,1),1-MOD(A260/Calculator!$F$18,1)),ABS(MOD(A260/Calculator!$F$18,1)-0.5))),1)</f>
        <v>1</v>
      </c>
      <c r="I260" s="219" t="n">
        <f aca="false">IF(Calculator!$E$19="YES",IF(A260&lt;Calculator!$G$19,0,MIN(MIN(MOD(A260/Calculator!$F$19,1),1-MOD(A260/Calculator!$F$19,1)),ABS(MOD(A260/Calculator!$F$19,1)-0.5))),1)</f>
        <v>1</v>
      </c>
      <c r="J260" s="219" t="n">
        <f aca="false">IF(Calculator!$E$20="YES",IF(A260&lt;Calculator!$G$20,0,MIN(MIN(MOD(A260/Calculator!$F$20,1),1-MOD(A260/Calculator!$F$20,1)),ABS(MOD(A260/Calculator!$F$20,1)-0.5))),1)</f>
        <v>1</v>
      </c>
      <c r="K260" s="219" t="n">
        <f aca="false">IF(Calculator!$E$21="YES",IF(A260&lt;Calculator!$G$21,0,MIN(MIN(MOD(A260/Calculator!$F$21,1),1-MOD(A260/Calculator!$F$21,1)),ABS(MOD(A260/Calculator!$F$21,1)-0.5))),1)</f>
        <v>0.134421052631579</v>
      </c>
      <c r="L260" s="219" t="n">
        <f aca="false">IF(Calculator!$E$22="YES",IF(A260&lt;Calculator!$G$22,0,MIN(MIN(MOD(A260/Calculator!$F$22,1),1-MOD(A260/Calculator!$F$22,1)),ABS(MOD(A260/Calculator!$F$22,1)-0.5))),1)</f>
        <v>1</v>
      </c>
      <c r="M260" s="219" t="n">
        <f aca="false">MIN(B260:L260)</f>
        <v>0.0140526315789478</v>
      </c>
      <c r="N260" s="219" t="n">
        <f aca="false">SUMPRODUCT(($M$7:$M$557&gt;M260)*1)+SUMPRODUCT(($M$7:$M$557=M260)*(ROW($M$7:$M$557)&lt;ROW(M260)))+1</f>
        <v>424</v>
      </c>
      <c r="O260" s="219" t="str">
        <f aca="false">IF(M260&gt;=0.2,"★★★ EXCELLENT",IF(M260&gt;=0.12,"★★  GOOD",IF(M260&gt;=0.07,"★  FAIR",IF(M260&gt;=0.025,"⚠  MARGINAL","✗  AVOID"))))</f>
        <v>✗  AVOID</v>
      </c>
    </row>
    <row r="261" customFormat="false" ht="15" hidden="false" customHeight="true" outlineLevel="0" collapsed="false">
      <c r="A261" s="216" t="n">
        <v>30.4</v>
      </c>
      <c r="B261" s="217" t="n">
        <f aca="false">IF(Calculator!$E$12="YES",IF(A261&lt;Calculator!$G$12,0,MIN(MIN(MOD(A261/Calculator!$F$12,1),1-MOD(A261/Calculator!$F$12,1)),ABS(MOD(A261/Calculator!$F$12,1)-0.5))),1)</f>
        <v>1</v>
      </c>
      <c r="C261" s="217" t="n">
        <f aca="false">IF(Calculator!$E$13="YES",IF(A261&lt;Calculator!$G$13,0,MIN(MIN(MOD(A261/Calculator!$F$13,1),1-MOD(A261/Calculator!$F$13,1)),ABS(MOD(A261/Calculator!$F$13,1)-0.5))),1)</f>
        <v>1</v>
      </c>
      <c r="D261" s="217" t="n">
        <f aca="false">IF(Calculator!$E$14="YES",IF(A261&lt;Calculator!$G$14,0,MIN(MIN(MOD(A261/Calculator!$F$14,1),1-MOD(A261/Calculator!$F$14,1)),ABS(MOD(A261/Calculator!$F$14,1)-0.5))),1)</f>
        <v>1</v>
      </c>
      <c r="E261" s="217" t="n">
        <f aca="false">IF(Calculator!$E$15="YES",IF(A261&lt;Calculator!$G$15,0,MIN(MIN(MOD(A261/Calculator!$F$15,1),1-MOD(A261/Calculator!$F$15,1)),ABS(MOD(A261/Calculator!$F$15,1)-0.5))),1)</f>
        <v>0.0253333333333332</v>
      </c>
      <c r="F261" s="217" t="n">
        <f aca="false">IF(Calculator!$E$16="YES",IF(A261&lt;Calculator!$G$16,0,MIN(MIN(MOD(A261/Calculator!$F$16,1),1-MOD(A261/Calculator!$F$16,1)),ABS(MOD(A261/Calculator!$F$16,1)-0.5))),1)</f>
        <v>1</v>
      </c>
      <c r="G261" s="217" t="n">
        <f aca="false">IF(Calculator!$E$17="YES",IF(A261&lt;Calculator!$G$17,0,MIN(MIN(MOD(A261/Calculator!$F$17,1),1-MOD(A261/Calculator!$F$17,1)),ABS(MOD(A261/Calculator!$F$17,1)-0.5))),1)</f>
        <v>0.024</v>
      </c>
      <c r="H261" s="217" t="n">
        <f aca="false">IF(Calculator!$E$18="YES",IF(A261&lt;Calculator!$G$18,0,MIN(MIN(MOD(A261/Calculator!$F$18,1),1-MOD(A261/Calculator!$F$18,1)),ABS(MOD(A261/Calculator!$F$18,1)-0.5))),1)</f>
        <v>1</v>
      </c>
      <c r="I261" s="217" t="n">
        <f aca="false">IF(Calculator!$E$19="YES",IF(A261&lt;Calculator!$G$19,0,MIN(MIN(MOD(A261/Calculator!$F$19,1),1-MOD(A261/Calculator!$F$19,1)),ABS(MOD(A261/Calculator!$F$19,1)-0.5))),1)</f>
        <v>1</v>
      </c>
      <c r="J261" s="217" t="n">
        <f aca="false">IF(Calculator!$E$20="YES",IF(A261&lt;Calculator!$G$20,0,MIN(MIN(MOD(A261/Calculator!$F$20,1),1-MOD(A261/Calculator!$F$20,1)),ABS(MOD(A261/Calculator!$F$20,1)-0.5))),1)</f>
        <v>1</v>
      </c>
      <c r="K261" s="217" t="n">
        <f aca="false">IF(Calculator!$E$21="YES",IF(A261&lt;Calculator!$G$21,0,MIN(MIN(MOD(A261/Calculator!$F$21,1),1-MOD(A261/Calculator!$F$21,1)),ABS(MOD(A261/Calculator!$F$21,1)-0.5))),1)</f>
        <v>0.154666666666667</v>
      </c>
      <c r="L261" s="217" t="n">
        <f aca="false">IF(Calculator!$E$22="YES",IF(A261&lt;Calculator!$G$22,0,MIN(MIN(MOD(A261/Calculator!$F$22,1),1-MOD(A261/Calculator!$F$22,1)),ABS(MOD(A261/Calculator!$F$22,1)-0.5))),1)</f>
        <v>1</v>
      </c>
      <c r="M261" s="217" t="n">
        <f aca="false">MIN(B261:L261)</f>
        <v>0.024</v>
      </c>
      <c r="N261" s="217" t="n">
        <f aca="false">SUMPRODUCT(($M$7:$M$557&gt;M261)*1)+SUMPRODUCT(($M$7:$M$557=M261)*(ROW($M$7:$M$557)&lt;ROW(M261)))+1</f>
        <v>384</v>
      </c>
      <c r="O261" s="217" t="str">
        <f aca="false">IF(M261&gt;=0.2,"★★★ EXCELLENT",IF(M261&gt;=0.12,"★★  GOOD",IF(M261&gt;=0.07,"★  FAIR",IF(M261&gt;=0.025,"⚠  MARGINAL","✗  AVOID"))))</f>
        <v>✗  AVOID</v>
      </c>
    </row>
    <row r="262" customFormat="false" ht="15" hidden="false" customHeight="true" outlineLevel="0" collapsed="false">
      <c r="A262" s="218" t="n">
        <v>30.5</v>
      </c>
      <c r="B262" s="219" t="n">
        <f aca="false">IF(Calculator!$E$12="YES",IF(A262&lt;Calculator!$G$12,0,MIN(MIN(MOD(A262/Calculator!$F$12,1),1-MOD(A262/Calculator!$F$12,1)),ABS(MOD(A262/Calculator!$F$12,1)-0.5))),1)</f>
        <v>1</v>
      </c>
      <c r="C262" s="219" t="n">
        <f aca="false">IF(Calculator!$E$13="YES",IF(A262&lt;Calculator!$G$13,0,MIN(MIN(MOD(A262/Calculator!$F$13,1),1-MOD(A262/Calculator!$F$13,1)),ABS(MOD(A262/Calculator!$F$13,1)-0.5))),1)</f>
        <v>1</v>
      </c>
      <c r="D262" s="219" t="n">
        <f aca="false">IF(Calculator!$E$14="YES",IF(A262&lt;Calculator!$G$14,0,MIN(MIN(MOD(A262/Calculator!$F$14,1),1-MOD(A262/Calculator!$F$14,1)),ABS(MOD(A262/Calculator!$F$14,1)-0.5))),1)</f>
        <v>1</v>
      </c>
      <c r="E262" s="219" t="n">
        <f aca="false">IF(Calculator!$E$15="YES",IF(A262&lt;Calculator!$G$15,0,MIN(MIN(MOD(A262/Calculator!$F$15,1),1-MOD(A262/Calculator!$F$15,1)),ABS(MOD(A262/Calculator!$F$15,1)-0.5))),1)</f>
        <v>0.0303508771929826</v>
      </c>
      <c r="F262" s="219" t="n">
        <f aca="false">IF(Calculator!$E$16="YES",IF(A262&lt;Calculator!$G$16,0,MIN(MIN(MOD(A262/Calculator!$F$16,1),1-MOD(A262/Calculator!$F$16,1)),ABS(MOD(A262/Calculator!$F$16,1)-0.5))),1)</f>
        <v>1</v>
      </c>
      <c r="G262" s="219" t="n">
        <f aca="false">IF(Calculator!$E$17="YES",IF(A262&lt;Calculator!$G$17,0,MIN(MIN(MOD(A262/Calculator!$F$17,1),1-MOD(A262/Calculator!$F$17,1)),ABS(MOD(A262/Calculator!$F$17,1)-0.5))),1)</f>
        <v>0.0339473684210527</v>
      </c>
      <c r="H262" s="219" t="n">
        <f aca="false">IF(Calculator!$E$18="YES",IF(A262&lt;Calculator!$G$18,0,MIN(MIN(MOD(A262/Calculator!$F$18,1),1-MOD(A262/Calculator!$F$18,1)),ABS(MOD(A262/Calculator!$F$18,1)-0.5))),1)</f>
        <v>1</v>
      </c>
      <c r="I262" s="219" t="n">
        <f aca="false">IF(Calculator!$E$19="YES",IF(A262&lt;Calculator!$G$19,0,MIN(MIN(MOD(A262/Calculator!$F$19,1),1-MOD(A262/Calculator!$F$19,1)),ABS(MOD(A262/Calculator!$F$19,1)-0.5))),1)</f>
        <v>1</v>
      </c>
      <c r="J262" s="219" t="n">
        <f aca="false">IF(Calculator!$E$20="YES",IF(A262&lt;Calculator!$G$20,0,MIN(MIN(MOD(A262/Calculator!$F$20,1),1-MOD(A262/Calculator!$F$20,1)),ABS(MOD(A262/Calculator!$F$20,1)-0.5))),1)</f>
        <v>1</v>
      </c>
      <c r="K262" s="219" t="n">
        <f aca="false">IF(Calculator!$E$21="YES",IF(A262&lt;Calculator!$G$21,0,MIN(MIN(MOD(A262/Calculator!$F$21,1),1-MOD(A262/Calculator!$F$21,1)),ABS(MOD(A262/Calculator!$F$21,1)-0.5))),1)</f>
        <v>0.174912280701754</v>
      </c>
      <c r="L262" s="219" t="n">
        <f aca="false">IF(Calculator!$E$22="YES",IF(A262&lt;Calculator!$G$22,0,MIN(MIN(MOD(A262/Calculator!$F$22,1),1-MOD(A262/Calculator!$F$22,1)),ABS(MOD(A262/Calculator!$F$22,1)-0.5))),1)</f>
        <v>1</v>
      </c>
      <c r="M262" s="219" t="n">
        <f aca="false">MIN(B262:L262)</f>
        <v>0.0303508771929826</v>
      </c>
      <c r="N262" s="219" t="n">
        <f aca="false">SUMPRODUCT(($M$7:$M$557&gt;M262)*1)+SUMPRODUCT(($M$7:$M$557=M262)*(ROW($M$7:$M$557)&lt;ROW(M262)))+1</f>
        <v>363</v>
      </c>
      <c r="O262" s="219" t="str">
        <f aca="false">IF(M262&gt;=0.2,"★★★ EXCELLENT",IF(M262&gt;=0.12,"★★  GOOD",IF(M262&gt;=0.07,"★  FAIR",IF(M262&gt;=0.025,"⚠  MARGINAL","✗  AVOID"))))</f>
        <v>⚠  MARGINAL</v>
      </c>
    </row>
    <row r="263" customFormat="false" ht="15" hidden="false" customHeight="true" outlineLevel="0" collapsed="false">
      <c r="A263" s="216" t="n">
        <v>30.6</v>
      </c>
      <c r="B263" s="217" t="n">
        <f aca="false">IF(Calculator!$E$12="YES",IF(A263&lt;Calculator!$G$12,0,MIN(MIN(MOD(A263/Calculator!$F$12,1),1-MOD(A263/Calculator!$F$12,1)),ABS(MOD(A263/Calculator!$F$12,1)-0.5))),1)</f>
        <v>1</v>
      </c>
      <c r="C263" s="217" t="n">
        <f aca="false">IF(Calculator!$E$13="YES",IF(A263&lt;Calculator!$G$13,0,MIN(MIN(MOD(A263/Calculator!$F$13,1),1-MOD(A263/Calculator!$F$13,1)),ABS(MOD(A263/Calculator!$F$13,1)-0.5))),1)</f>
        <v>1</v>
      </c>
      <c r="D263" s="217" t="n">
        <f aca="false">IF(Calculator!$E$14="YES",IF(A263&lt;Calculator!$G$14,0,MIN(MIN(MOD(A263/Calculator!$F$14,1),1-MOD(A263/Calculator!$F$14,1)),ABS(MOD(A263/Calculator!$F$14,1)-0.5))),1)</f>
        <v>1</v>
      </c>
      <c r="E263" s="217" t="n">
        <f aca="false">IF(Calculator!$E$15="YES",IF(A263&lt;Calculator!$G$15,0,MIN(MIN(MOD(A263/Calculator!$F$15,1),1-MOD(A263/Calculator!$F$15,1)),ABS(MOD(A263/Calculator!$F$15,1)-0.5))),1)</f>
        <v>0.0353684210526317</v>
      </c>
      <c r="F263" s="217" t="n">
        <f aca="false">IF(Calculator!$E$16="YES",IF(A263&lt;Calculator!$G$16,0,MIN(MIN(MOD(A263/Calculator!$F$16,1),1-MOD(A263/Calculator!$F$16,1)),ABS(MOD(A263/Calculator!$F$16,1)-0.5))),1)</f>
        <v>1</v>
      </c>
      <c r="G263" s="217" t="n">
        <f aca="false">IF(Calculator!$E$17="YES",IF(A263&lt;Calculator!$G$17,0,MIN(MIN(MOD(A263/Calculator!$F$17,1),1-MOD(A263/Calculator!$F$17,1)),ABS(MOD(A263/Calculator!$F$17,1)-0.5))),1)</f>
        <v>0.0438947368421054</v>
      </c>
      <c r="H263" s="217" t="n">
        <f aca="false">IF(Calculator!$E$18="YES",IF(A263&lt;Calculator!$G$18,0,MIN(MIN(MOD(A263/Calculator!$F$18,1),1-MOD(A263/Calculator!$F$18,1)),ABS(MOD(A263/Calculator!$F$18,1)-0.5))),1)</f>
        <v>1</v>
      </c>
      <c r="I263" s="217" t="n">
        <f aca="false">IF(Calculator!$E$19="YES",IF(A263&lt;Calculator!$G$19,0,MIN(MIN(MOD(A263/Calculator!$F$19,1),1-MOD(A263/Calculator!$F$19,1)),ABS(MOD(A263/Calculator!$F$19,1)-0.5))),1)</f>
        <v>1</v>
      </c>
      <c r="J263" s="217" t="n">
        <f aca="false">IF(Calculator!$E$20="YES",IF(A263&lt;Calculator!$G$20,0,MIN(MIN(MOD(A263/Calculator!$F$20,1),1-MOD(A263/Calculator!$F$20,1)),ABS(MOD(A263/Calculator!$F$20,1)-0.5))),1)</f>
        <v>1</v>
      </c>
      <c r="K263" s="217" t="n">
        <f aca="false">IF(Calculator!$E$21="YES",IF(A263&lt;Calculator!$G$21,0,MIN(MIN(MOD(A263/Calculator!$F$21,1),1-MOD(A263/Calculator!$F$21,1)),ABS(MOD(A263/Calculator!$F$21,1)-0.5))),1)</f>
        <v>0.195157894736842</v>
      </c>
      <c r="L263" s="217" t="n">
        <f aca="false">IF(Calculator!$E$22="YES",IF(A263&lt;Calculator!$G$22,0,MIN(MIN(MOD(A263/Calculator!$F$22,1),1-MOD(A263/Calculator!$F$22,1)),ABS(MOD(A263/Calculator!$F$22,1)-0.5))),1)</f>
        <v>1</v>
      </c>
      <c r="M263" s="217" t="n">
        <f aca="false">MIN(B263:L263)</f>
        <v>0.0353684210526317</v>
      </c>
      <c r="N263" s="217" t="n">
        <f aca="false">SUMPRODUCT(($M$7:$M$557&gt;M263)*1)+SUMPRODUCT(($M$7:$M$557=M263)*(ROW($M$7:$M$557)&lt;ROW(M263)))+1</f>
        <v>343</v>
      </c>
      <c r="O263" s="217" t="str">
        <f aca="false">IF(M263&gt;=0.2,"★★★ EXCELLENT",IF(M263&gt;=0.12,"★★  GOOD",IF(M263&gt;=0.07,"★  FAIR",IF(M263&gt;=0.025,"⚠  MARGINAL","✗  AVOID"))))</f>
        <v>⚠  MARGINAL</v>
      </c>
    </row>
    <row r="264" customFormat="false" ht="15" hidden="false" customHeight="true" outlineLevel="0" collapsed="false">
      <c r="A264" s="218" t="n">
        <v>30.7</v>
      </c>
      <c r="B264" s="219" t="n">
        <f aca="false">IF(Calculator!$E$12="YES",IF(A264&lt;Calculator!$G$12,0,MIN(MIN(MOD(A264/Calculator!$F$12,1),1-MOD(A264/Calculator!$F$12,1)),ABS(MOD(A264/Calculator!$F$12,1)-0.5))),1)</f>
        <v>1</v>
      </c>
      <c r="C264" s="219" t="n">
        <f aca="false">IF(Calculator!$E$13="YES",IF(A264&lt;Calculator!$G$13,0,MIN(MIN(MOD(A264/Calculator!$F$13,1),1-MOD(A264/Calculator!$F$13,1)),ABS(MOD(A264/Calculator!$F$13,1)-0.5))),1)</f>
        <v>1</v>
      </c>
      <c r="D264" s="219" t="n">
        <f aca="false">IF(Calculator!$E$14="YES",IF(A264&lt;Calculator!$G$14,0,MIN(MIN(MOD(A264/Calculator!$F$14,1),1-MOD(A264/Calculator!$F$14,1)),ABS(MOD(A264/Calculator!$F$14,1)-0.5))),1)</f>
        <v>1</v>
      </c>
      <c r="E264" s="219" t="n">
        <f aca="false">IF(Calculator!$E$15="YES",IF(A264&lt;Calculator!$G$15,0,MIN(MIN(MOD(A264/Calculator!$F$15,1),1-MOD(A264/Calculator!$F$15,1)),ABS(MOD(A264/Calculator!$F$15,1)-0.5))),1)</f>
        <v>0.0403859649122806</v>
      </c>
      <c r="F264" s="219" t="n">
        <f aca="false">IF(Calculator!$E$16="YES",IF(A264&lt;Calculator!$G$16,0,MIN(MIN(MOD(A264/Calculator!$F$16,1),1-MOD(A264/Calculator!$F$16,1)),ABS(MOD(A264/Calculator!$F$16,1)-0.5))),1)</f>
        <v>1</v>
      </c>
      <c r="G264" s="219" t="n">
        <f aca="false">IF(Calculator!$E$17="YES",IF(A264&lt;Calculator!$G$17,0,MIN(MIN(MOD(A264/Calculator!$F$17,1),1-MOD(A264/Calculator!$F$17,1)),ABS(MOD(A264/Calculator!$F$17,1)-0.5))),1)</f>
        <v>0.0538421052631581</v>
      </c>
      <c r="H264" s="219" t="n">
        <f aca="false">IF(Calculator!$E$18="YES",IF(A264&lt;Calculator!$G$18,0,MIN(MIN(MOD(A264/Calculator!$F$18,1),1-MOD(A264/Calculator!$F$18,1)),ABS(MOD(A264/Calculator!$F$18,1)-0.5))),1)</f>
        <v>1</v>
      </c>
      <c r="I264" s="219" t="n">
        <f aca="false">IF(Calculator!$E$19="YES",IF(A264&lt;Calculator!$G$19,0,MIN(MIN(MOD(A264/Calculator!$F$19,1),1-MOD(A264/Calculator!$F$19,1)),ABS(MOD(A264/Calculator!$F$19,1)-0.5))),1)</f>
        <v>1</v>
      </c>
      <c r="J264" s="219" t="n">
        <f aca="false">IF(Calculator!$E$20="YES",IF(A264&lt;Calculator!$G$20,0,MIN(MIN(MOD(A264/Calculator!$F$20,1),1-MOD(A264/Calculator!$F$20,1)),ABS(MOD(A264/Calculator!$F$20,1)-0.5))),1)</f>
        <v>1</v>
      </c>
      <c r="K264" s="219" t="n">
        <f aca="false">IF(Calculator!$E$21="YES",IF(A264&lt;Calculator!$G$21,0,MIN(MIN(MOD(A264/Calculator!$F$21,1),1-MOD(A264/Calculator!$F$21,1)),ABS(MOD(A264/Calculator!$F$21,1)-0.5))),1)</f>
        <v>0.21540350877193</v>
      </c>
      <c r="L264" s="219" t="n">
        <f aca="false">IF(Calculator!$E$22="YES",IF(A264&lt;Calculator!$G$22,0,MIN(MIN(MOD(A264/Calculator!$F$22,1),1-MOD(A264/Calculator!$F$22,1)),ABS(MOD(A264/Calculator!$F$22,1)-0.5))),1)</f>
        <v>1</v>
      </c>
      <c r="M264" s="219" t="n">
        <f aca="false">MIN(B264:L264)</f>
        <v>0.0403859649122806</v>
      </c>
      <c r="N264" s="219" t="n">
        <f aca="false">SUMPRODUCT(($M$7:$M$557&gt;M264)*1)+SUMPRODUCT(($M$7:$M$557=M264)*(ROW($M$7:$M$557)&lt;ROW(M264)))+1</f>
        <v>323</v>
      </c>
      <c r="O264" s="219" t="str">
        <f aca="false">IF(M264&gt;=0.2,"★★★ EXCELLENT",IF(M264&gt;=0.12,"★★  GOOD",IF(M264&gt;=0.07,"★  FAIR",IF(M264&gt;=0.025,"⚠  MARGINAL","✗  AVOID"))))</f>
        <v>⚠  MARGINAL</v>
      </c>
    </row>
    <row r="265" customFormat="false" ht="15" hidden="false" customHeight="true" outlineLevel="0" collapsed="false">
      <c r="A265" s="216" t="n">
        <v>30.8</v>
      </c>
      <c r="B265" s="217" t="n">
        <f aca="false">IF(Calculator!$E$12="YES",IF(A265&lt;Calculator!$G$12,0,MIN(MIN(MOD(A265/Calculator!$F$12,1),1-MOD(A265/Calculator!$F$12,1)),ABS(MOD(A265/Calculator!$F$12,1)-0.5))),1)</f>
        <v>1</v>
      </c>
      <c r="C265" s="217" t="n">
        <f aca="false">IF(Calculator!$E$13="YES",IF(A265&lt;Calculator!$G$13,0,MIN(MIN(MOD(A265/Calculator!$F$13,1),1-MOD(A265/Calculator!$F$13,1)),ABS(MOD(A265/Calculator!$F$13,1)-0.5))),1)</f>
        <v>1</v>
      </c>
      <c r="D265" s="217" t="n">
        <f aca="false">IF(Calculator!$E$14="YES",IF(A265&lt;Calculator!$G$14,0,MIN(MIN(MOD(A265/Calculator!$F$14,1),1-MOD(A265/Calculator!$F$14,1)),ABS(MOD(A265/Calculator!$F$14,1)-0.5))),1)</f>
        <v>1</v>
      </c>
      <c r="E265" s="217" t="n">
        <f aca="false">IF(Calculator!$E$15="YES",IF(A265&lt;Calculator!$G$15,0,MIN(MIN(MOD(A265/Calculator!$F$15,1),1-MOD(A265/Calculator!$F$15,1)),ABS(MOD(A265/Calculator!$F$15,1)-0.5))),1)</f>
        <v>0.0454035087719298</v>
      </c>
      <c r="F265" s="217" t="n">
        <f aca="false">IF(Calculator!$E$16="YES",IF(A265&lt;Calculator!$G$16,0,MIN(MIN(MOD(A265/Calculator!$F$16,1),1-MOD(A265/Calculator!$F$16,1)),ABS(MOD(A265/Calculator!$F$16,1)-0.5))),1)</f>
        <v>1</v>
      </c>
      <c r="G265" s="217" t="n">
        <f aca="false">IF(Calculator!$E$17="YES",IF(A265&lt;Calculator!$G$17,0,MIN(MIN(MOD(A265/Calculator!$F$17,1),1-MOD(A265/Calculator!$F$17,1)),ABS(MOD(A265/Calculator!$F$17,1)-0.5))),1)</f>
        <v>0.0637894736842108</v>
      </c>
      <c r="H265" s="217" t="n">
        <f aca="false">IF(Calculator!$E$18="YES",IF(A265&lt;Calculator!$G$18,0,MIN(MIN(MOD(A265/Calculator!$F$18,1),1-MOD(A265/Calculator!$F$18,1)),ABS(MOD(A265/Calculator!$F$18,1)-0.5))),1)</f>
        <v>1</v>
      </c>
      <c r="I265" s="217" t="n">
        <f aca="false">IF(Calculator!$E$19="YES",IF(A265&lt;Calculator!$G$19,0,MIN(MIN(MOD(A265/Calculator!$F$19,1),1-MOD(A265/Calculator!$F$19,1)),ABS(MOD(A265/Calculator!$F$19,1)-0.5))),1)</f>
        <v>1</v>
      </c>
      <c r="J265" s="217" t="n">
        <f aca="false">IF(Calculator!$E$20="YES",IF(A265&lt;Calculator!$G$20,0,MIN(MIN(MOD(A265/Calculator!$F$20,1),1-MOD(A265/Calculator!$F$20,1)),ABS(MOD(A265/Calculator!$F$20,1)-0.5))),1)</f>
        <v>1</v>
      </c>
      <c r="K265" s="217" t="n">
        <f aca="false">IF(Calculator!$E$21="YES",IF(A265&lt;Calculator!$G$21,0,MIN(MIN(MOD(A265/Calculator!$F$21,1),1-MOD(A265/Calculator!$F$21,1)),ABS(MOD(A265/Calculator!$F$21,1)-0.5))),1)</f>
        <v>0.235649122807017</v>
      </c>
      <c r="L265" s="217" t="n">
        <f aca="false">IF(Calculator!$E$22="YES",IF(A265&lt;Calculator!$G$22,0,MIN(MIN(MOD(A265/Calculator!$F$22,1),1-MOD(A265/Calculator!$F$22,1)),ABS(MOD(A265/Calculator!$F$22,1)-0.5))),1)</f>
        <v>1</v>
      </c>
      <c r="M265" s="217" t="n">
        <f aca="false">MIN(B265:L265)</f>
        <v>0.0454035087719298</v>
      </c>
      <c r="N265" s="217" t="n">
        <f aca="false">SUMPRODUCT(($M$7:$M$557&gt;M265)*1)+SUMPRODUCT(($M$7:$M$557=M265)*(ROW($M$7:$M$557)&lt;ROW(M265)))+1</f>
        <v>303</v>
      </c>
      <c r="O265" s="217" t="str">
        <f aca="false">IF(M265&gt;=0.2,"★★★ EXCELLENT",IF(M265&gt;=0.12,"★★  GOOD",IF(M265&gt;=0.07,"★  FAIR",IF(M265&gt;=0.025,"⚠  MARGINAL","✗  AVOID"))))</f>
        <v>⚠  MARGINAL</v>
      </c>
    </row>
    <row r="266" customFormat="false" ht="15" hidden="false" customHeight="true" outlineLevel="0" collapsed="false">
      <c r="A266" s="218" t="n">
        <v>30.9</v>
      </c>
      <c r="B266" s="219" t="n">
        <f aca="false">IF(Calculator!$E$12="YES",IF(A266&lt;Calculator!$G$12,0,MIN(MIN(MOD(A266/Calculator!$F$12,1),1-MOD(A266/Calculator!$F$12,1)),ABS(MOD(A266/Calculator!$F$12,1)-0.5))),1)</f>
        <v>1</v>
      </c>
      <c r="C266" s="219" t="n">
        <f aca="false">IF(Calculator!$E$13="YES",IF(A266&lt;Calculator!$G$13,0,MIN(MIN(MOD(A266/Calculator!$F$13,1),1-MOD(A266/Calculator!$F$13,1)),ABS(MOD(A266/Calculator!$F$13,1)-0.5))),1)</f>
        <v>1</v>
      </c>
      <c r="D266" s="219" t="n">
        <f aca="false">IF(Calculator!$E$14="YES",IF(A266&lt;Calculator!$G$14,0,MIN(MIN(MOD(A266/Calculator!$F$14,1),1-MOD(A266/Calculator!$F$14,1)),ABS(MOD(A266/Calculator!$F$14,1)-0.5))),1)</f>
        <v>1</v>
      </c>
      <c r="E266" s="219" t="n">
        <f aca="false">IF(Calculator!$E$15="YES",IF(A266&lt;Calculator!$G$15,0,MIN(MIN(MOD(A266/Calculator!$F$15,1),1-MOD(A266/Calculator!$F$15,1)),ABS(MOD(A266/Calculator!$F$15,1)-0.5))),1)</f>
        <v>0.0504210526315789</v>
      </c>
      <c r="F266" s="219" t="n">
        <f aca="false">IF(Calculator!$E$16="YES",IF(A266&lt;Calculator!$G$16,0,MIN(MIN(MOD(A266/Calculator!$F$16,1),1-MOD(A266/Calculator!$F$16,1)),ABS(MOD(A266/Calculator!$F$16,1)-0.5))),1)</f>
        <v>1</v>
      </c>
      <c r="G266" s="219" t="n">
        <f aca="false">IF(Calculator!$E$17="YES",IF(A266&lt;Calculator!$G$17,0,MIN(MIN(MOD(A266/Calculator!$F$17,1),1-MOD(A266/Calculator!$F$17,1)),ABS(MOD(A266/Calculator!$F$17,1)-0.5))),1)</f>
        <v>0.0737368421052631</v>
      </c>
      <c r="H266" s="219" t="n">
        <f aca="false">IF(Calculator!$E$18="YES",IF(A266&lt;Calculator!$G$18,0,MIN(MIN(MOD(A266/Calculator!$F$18,1),1-MOD(A266/Calculator!$F$18,1)),ABS(MOD(A266/Calculator!$F$18,1)-0.5))),1)</f>
        <v>1</v>
      </c>
      <c r="I266" s="219" t="n">
        <f aca="false">IF(Calculator!$E$19="YES",IF(A266&lt;Calculator!$G$19,0,MIN(MIN(MOD(A266/Calculator!$F$19,1),1-MOD(A266/Calculator!$F$19,1)),ABS(MOD(A266/Calculator!$F$19,1)-0.5))),1)</f>
        <v>1</v>
      </c>
      <c r="J266" s="219" t="n">
        <f aca="false">IF(Calculator!$E$20="YES",IF(A266&lt;Calculator!$G$20,0,MIN(MIN(MOD(A266/Calculator!$F$20,1),1-MOD(A266/Calculator!$F$20,1)),ABS(MOD(A266/Calculator!$F$20,1)-0.5))),1)</f>
        <v>1</v>
      </c>
      <c r="K266" s="219" t="n">
        <f aca="false">IF(Calculator!$E$21="YES",IF(A266&lt;Calculator!$G$21,0,MIN(MIN(MOD(A266/Calculator!$F$21,1),1-MOD(A266/Calculator!$F$21,1)),ABS(MOD(A266/Calculator!$F$21,1)-0.5))),1)</f>
        <v>0.244105263157895</v>
      </c>
      <c r="L266" s="219" t="n">
        <f aca="false">IF(Calculator!$E$22="YES",IF(A266&lt;Calculator!$G$22,0,MIN(MIN(MOD(A266/Calculator!$F$22,1),1-MOD(A266/Calculator!$F$22,1)),ABS(MOD(A266/Calculator!$F$22,1)-0.5))),1)</f>
        <v>1</v>
      </c>
      <c r="M266" s="219" t="n">
        <f aca="false">MIN(B266:L266)</f>
        <v>0.0504210526315789</v>
      </c>
      <c r="N266" s="219" t="n">
        <f aca="false">SUMPRODUCT(($M$7:$M$557&gt;M266)*1)+SUMPRODUCT(($M$7:$M$557=M266)*(ROW($M$7:$M$557)&lt;ROW(M266)))+1</f>
        <v>283</v>
      </c>
      <c r="O266" s="219" t="str">
        <f aca="false">IF(M266&gt;=0.2,"★★★ EXCELLENT",IF(M266&gt;=0.12,"★★  GOOD",IF(M266&gt;=0.07,"★  FAIR",IF(M266&gt;=0.025,"⚠  MARGINAL","✗  AVOID"))))</f>
        <v>⚠  MARGINAL</v>
      </c>
    </row>
    <row r="267" customFormat="false" ht="15" hidden="false" customHeight="true" outlineLevel="0" collapsed="false">
      <c r="A267" s="216" t="n">
        <v>31</v>
      </c>
      <c r="B267" s="217" t="n">
        <f aca="false">IF(Calculator!$E$12="YES",IF(A267&lt;Calculator!$G$12,0,MIN(MIN(MOD(A267/Calculator!$F$12,1),1-MOD(A267/Calculator!$F$12,1)),ABS(MOD(A267/Calculator!$F$12,1)-0.5))),1)</f>
        <v>1</v>
      </c>
      <c r="C267" s="217" t="n">
        <f aca="false">IF(Calculator!$E$13="YES",IF(A267&lt;Calculator!$G$13,0,MIN(MIN(MOD(A267/Calculator!$F$13,1),1-MOD(A267/Calculator!$F$13,1)),ABS(MOD(A267/Calculator!$F$13,1)-0.5))),1)</f>
        <v>1</v>
      </c>
      <c r="D267" s="217" t="n">
        <f aca="false">IF(Calculator!$E$14="YES",IF(A267&lt;Calculator!$G$14,0,MIN(MIN(MOD(A267/Calculator!$F$14,1),1-MOD(A267/Calculator!$F$14,1)),ABS(MOD(A267/Calculator!$F$14,1)-0.5))),1)</f>
        <v>1</v>
      </c>
      <c r="E267" s="217" t="n">
        <f aca="false">IF(Calculator!$E$15="YES",IF(A267&lt;Calculator!$G$15,0,MIN(MIN(MOD(A267/Calculator!$F$15,1),1-MOD(A267/Calculator!$F$15,1)),ABS(MOD(A267/Calculator!$F$15,1)-0.5))),1)</f>
        <v>0.0554385964912281</v>
      </c>
      <c r="F267" s="217" t="n">
        <f aca="false">IF(Calculator!$E$16="YES",IF(A267&lt;Calculator!$G$16,0,MIN(MIN(MOD(A267/Calculator!$F$16,1),1-MOD(A267/Calculator!$F$16,1)),ABS(MOD(A267/Calculator!$F$16,1)-0.5))),1)</f>
        <v>1</v>
      </c>
      <c r="G267" s="217" t="n">
        <f aca="false">IF(Calculator!$E$17="YES",IF(A267&lt;Calculator!$G$17,0,MIN(MIN(MOD(A267/Calculator!$F$17,1),1-MOD(A267/Calculator!$F$17,1)),ABS(MOD(A267/Calculator!$F$17,1)-0.5))),1)</f>
        <v>0.0836842105263163</v>
      </c>
      <c r="H267" s="217" t="n">
        <f aca="false">IF(Calculator!$E$18="YES",IF(A267&lt;Calculator!$G$18,0,MIN(MIN(MOD(A267/Calculator!$F$18,1),1-MOD(A267/Calculator!$F$18,1)),ABS(MOD(A267/Calculator!$F$18,1)-0.5))),1)</f>
        <v>1</v>
      </c>
      <c r="I267" s="217" t="n">
        <f aca="false">IF(Calculator!$E$19="YES",IF(A267&lt;Calculator!$G$19,0,MIN(MIN(MOD(A267/Calculator!$F$19,1),1-MOD(A267/Calculator!$F$19,1)),ABS(MOD(A267/Calculator!$F$19,1)-0.5))),1)</f>
        <v>1</v>
      </c>
      <c r="J267" s="217" t="n">
        <f aca="false">IF(Calculator!$E$20="YES",IF(A267&lt;Calculator!$G$20,0,MIN(MIN(MOD(A267/Calculator!$F$20,1),1-MOD(A267/Calculator!$F$20,1)),ABS(MOD(A267/Calculator!$F$20,1)-0.5))),1)</f>
        <v>1</v>
      </c>
      <c r="K267" s="217" t="n">
        <f aca="false">IF(Calculator!$E$21="YES",IF(A267&lt;Calculator!$G$21,0,MIN(MIN(MOD(A267/Calculator!$F$21,1),1-MOD(A267/Calculator!$F$21,1)),ABS(MOD(A267/Calculator!$F$21,1)-0.5))),1)</f>
        <v>0.223859649122807</v>
      </c>
      <c r="L267" s="217" t="n">
        <f aca="false">IF(Calculator!$E$22="YES",IF(A267&lt;Calculator!$G$22,0,MIN(MIN(MOD(A267/Calculator!$F$22,1),1-MOD(A267/Calculator!$F$22,1)),ABS(MOD(A267/Calculator!$F$22,1)-0.5))),1)</f>
        <v>1</v>
      </c>
      <c r="M267" s="217" t="n">
        <f aca="false">MIN(B267:L267)</f>
        <v>0.0554385964912281</v>
      </c>
      <c r="N267" s="217" t="n">
        <f aca="false">SUMPRODUCT(($M$7:$M$557&gt;M267)*1)+SUMPRODUCT(($M$7:$M$557=M267)*(ROW($M$7:$M$557)&lt;ROW(M267)))+1</f>
        <v>263</v>
      </c>
      <c r="O267" s="217" t="str">
        <f aca="false">IF(M267&gt;=0.2,"★★★ EXCELLENT",IF(M267&gt;=0.12,"★★  GOOD",IF(M267&gt;=0.07,"★  FAIR",IF(M267&gt;=0.025,"⚠  MARGINAL","✗  AVOID"))))</f>
        <v>⚠  MARGINAL</v>
      </c>
    </row>
    <row r="268" customFormat="false" ht="15" hidden="false" customHeight="true" outlineLevel="0" collapsed="false">
      <c r="A268" s="218" t="n">
        <v>31.1</v>
      </c>
      <c r="B268" s="219" t="n">
        <f aca="false">IF(Calculator!$E$12="YES",IF(A268&lt;Calculator!$G$12,0,MIN(MIN(MOD(A268/Calculator!$F$12,1),1-MOD(A268/Calculator!$F$12,1)),ABS(MOD(A268/Calculator!$F$12,1)-0.5))),1)</f>
        <v>1</v>
      </c>
      <c r="C268" s="219" t="n">
        <f aca="false">IF(Calculator!$E$13="YES",IF(A268&lt;Calculator!$G$13,0,MIN(MIN(MOD(A268/Calculator!$F$13,1),1-MOD(A268/Calculator!$F$13,1)),ABS(MOD(A268/Calculator!$F$13,1)-0.5))),1)</f>
        <v>1</v>
      </c>
      <c r="D268" s="219" t="n">
        <f aca="false">IF(Calculator!$E$14="YES",IF(A268&lt;Calculator!$G$14,0,MIN(MIN(MOD(A268/Calculator!$F$14,1),1-MOD(A268/Calculator!$F$14,1)),ABS(MOD(A268/Calculator!$F$14,1)-0.5))),1)</f>
        <v>1</v>
      </c>
      <c r="E268" s="219" t="n">
        <f aca="false">IF(Calculator!$E$15="YES",IF(A268&lt;Calculator!$G$15,0,MIN(MIN(MOD(A268/Calculator!$F$15,1),1-MOD(A268/Calculator!$F$15,1)),ABS(MOD(A268/Calculator!$F$15,1)-0.5))),1)</f>
        <v>0.0604561403508772</v>
      </c>
      <c r="F268" s="219" t="n">
        <f aca="false">IF(Calculator!$E$16="YES",IF(A268&lt;Calculator!$G$16,0,MIN(MIN(MOD(A268/Calculator!$F$16,1),1-MOD(A268/Calculator!$F$16,1)),ABS(MOD(A268/Calculator!$F$16,1)-0.5))),1)</f>
        <v>1</v>
      </c>
      <c r="G268" s="219" t="n">
        <f aca="false">IF(Calculator!$E$17="YES",IF(A268&lt;Calculator!$G$17,0,MIN(MIN(MOD(A268/Calculator!$F$17,1),1-MOD(A268/Calculator!$F$17,1)),ABS(MOD(A268/Calculator!$F$17,1)-0.5))),1)</f>
        <v>0.093631578947369</v>
      </c>
      <c r="H268" s="219" t="n">
        <f aca="false">IF(Calculator!$E$18="YES",IF(A268&lt;Calculator!$G$18,0,MIN(MIN(MOD(A268/Calculator!$F$18,1),1-MOD(A268/Calculator!$F$18,1)),ABS(MOD(A268/Calculator!$F$18,1)-0.5))),1)</f>
        <v>1</v>
      </c>
      <c r="I268" s="219" t="n">
        <f aca="false">IF(Calculator!$E$19="YES",IF(A268&lt;Calculator!$G$19,0,MIN(MIN(MOD(A268/Calculator!$F$19,1),1-MOD(A268/Calculator!$F$19,1)),ABS(MOD(A268/Calculator!$F$19,1)-0.5))),1)</f>
        <v>1</v>
      </c>
      <c r="J268" s="219" t="n">
        <f aca="false">IF(Calculator!$E$20="YES",IF(A268&lt;Calculator!$G$20,0,MIN(MIN(MOD(A268/Calculator!$F$20,1),1-MOD(A268/Calculator!$F$20,1)),ABS(MOD(A268/Calculator!$F$20,1)-0.5))),1)</f>
        <v>1</v>
      </c>
      <c r="K268" s="219" t="n">
        <f aca="false">IF(Calculator!$E$21="YES",IF(A268&lt;Calculator!$G$21,0,MIN(MIN(MOD(A268/Calculator!$F$21,1),1-MOD(A268/Calculator!$F$21,1)),ABS(MOD(A268/Calculator!$F$21,1)-0.5))),1)</f>
        <v>0.203614035087719</v>
      </c>
      <c r="L268" s="219" t="n">
        <f aca="false">IF(Calculator!$E$22="YES",IF(A268&lt;Calculator!$G$22,0,MIN(MIN(MOD(A268/Calculator!$F$22,1),1-MOD(A268/Calculator!$F$22,1)),ABS(MOD(A268/Calculator!$F$22,1)-0.5))),1)</f>
        <v>1</v>
      </c>
      <c r="M268" s="219" t="n">
        <f aca="false">MIN(B268:L268)</f>
        <v>0.0604561403508772</v>
      </c>
      <c r="N268" s="219" t="n">
        <f aca="false">SUMPRODUCT(($M$7:$M$557&gt;M268)*1)+SUMPRODUCT(($M$7:$M$557=M268)*(ROW($M$7:$M$557)&lt;ROW(M268)))+1</f>
        <v>242</v>
      </c>
      <c r="O268" s="219" t="str">
        <f aca="false">IF(M268&gt;=0.2,"★★★ EXCELLENT",IF(M268&gt;=0.12,"★★  GOOD",IF(M268&gt;=0.07,"★  FAIR",IF(M268&gt;=0.025,"⚠  MARGINAL","✗  AVOID"))))</f>
        <v>⚠  MARGINAL</v>
      </c>
    </row>
    <row r="269" customFormat="false" ht="15" hidden="false" customHeight="true" outlineLevel="0" collapsed="false">
      <c r="A269" s="216" t="n">
        <v>31.2</v>
      </c>
      <c r="B269" s="217" t="n">
        <f aca="false">IF(Calculator!$E$12="YES",IF(A269&lt;Calculator!$G$12,0,MIN(MIN(MOD(A269/Calculator!$F$12,1),1-MOD(A269/Calculator!$F$12,1)),ABS(MOD(A269/Calculator!$F$12,1)-0.5))),1)</f>
        <v>1</v>
      </c>
      <c r="C269" s="217" t="n">
        <f aca="false">IF(Calculator!$E$13="YES",IF(A269&lt;Calculator!$G$13,0,MIN(MIN(MOD(A269/Calculator!$F$13,1),1-MOD(A269/Calculator!$F$13,1)),ABS(MOD(A269/Calculator!$F$13,1)-0.5))),1)</f>
        <v>1</v>
      </c>
      <c r="D269" s="217" t="n">
        <f aca="false">IF(Calculator!$E$14="YES",IF(A269&lt;Calculator!$G$14,0,MIN(MIN(MOD(A269/Calculator!$F$14,1),1-MOD(A269/Calculator!$F$14,1)),ABS(MOD(A269/Calculator!$F$14,1)-0.5))),1)</f>
        <v>1</v>
      </c>
      <c r="E269" s="217" t="n">
        <f aca="false">IF(Calculator!$E$15="YES",IF(A269&lt;Calculator!$G$15,0,MIN(MIN(MOD(A269/Calculator!$F$15,1),1-MOD(A269/Calculator!$F$15,1)),ABS(MOD(A269/Calculator!$F$15,1)-0.5))),1)</f>
        <v>0.0654736842105264</v>
      </c>
      <c r="F269" s="217" t="n">
        <f aca="false">IF(Calculator!$E$16="YES",IF(A269&lt;Calculator!$G$16,0,MIN(MIN(MOD(A269/Calculator!$F$16,1),1-MOD(A269/Calculator!$F$16,1)),ABS(MOD(A269/Calculator!$F$16,1)-0.5))),1)</f>
        <v>1</v>
      </c>
      <c r="G269" s="217" t="n">
        <f aca="false">IF(Calculator!$E$17="YES",IF(A269&lt;Calculator!$G$17,0,MIN(MIN(MOD(A269/Calculator!$F$17,1),1-MOD(A269/Calculator!$F$17,1)),ABS(MOD(A269/Calculator!$F$17,1)-0.5))),1)</f>
        <v>0.103578947368421</v>
      </c>
      <c r="H269" s="217" t="n">
        <f aca="false">IF(Calculator!$E$18="YES",IF(A269&lt;Calculator!$G$18,0,MIN(MIN(MOD(A269/Calculator!$F$18,1),1-MOD(A269/Calculator!$F$18,1)),ABS(MOD(A269/Calculator!$F$18,1)-0.5))),1)</f>
        <v>1</v>
      </c>
      <c r="I269" s="217" t="n">
        <f aca="false">IF(Calculator!$E$19="YES",IF(A269&lt;Calculator!$G$19,0,MIN(MIN(MOD(A269/Calculator!$F$19,1),1-MOD(A269/Calculator!$F$19,1)),ABS(MOD(A269/Calculator!$F$19,1)-0.5))),1)</f>
        <v>1</v>
      </c>
      <c r="J269" s="217" t="n">
        <f aca="false">IF(Calculator!$E$20="YES",IF(A269&lt;Calculator!$G$20,0,MIN(MIN(MOD(A269/Calculator!$F$20,1),1-MOD(A269/Calculator!$F$20,1)),ABS(MOD(A269/Calculator!$F$20,1)-0.5))),1)</f>
        <v>1</v>
      </c>
      <c r="K269" s="217" t="n">
        <f aca="false">IF(Calculator!$E$21="YES",IF(A269&lt;Calculator!$G$21,0,MIN(MIN(MOD(A269/Calculator!$F$21,1),1-MOD(A269/Calculator!$F$21,1)),ABS(MOD(A269/Calculator!$F$21,1)-0.5))),1)</f>
        <v>0.183368421052632</v>
      </c>
      <c r="L269" s="217" t="n">
        <f aca="false">IF(Calculator!$E$22="YES",IF(A269&lt;Calculator!$G$22,0,MIN(MIN(MOD(A269/Calculator!$F$22,1),1-MOD(A269/Calculator!$F$22,1)),ABS(MOD(A269/Calculator!$F$22,1)-0.5))),1)</f>
        <v>1</v>
      </c>
      <c r="M269" s="217" t="n">
        <f aca="false">MIN(B269:L269)</f>
        <v>0.0654736842105264</v>
      </c>
      <c r="N269" s="217" t="n">
        <f aca="false">SUMPRODUCT(($M$7:$M$557&gt;M269)*1)+SUMPRODUCT(($M$7:$M$557=M269)*(ROW($M$7:$M$557)&lt;ROW(M269)))+1</f>
        <v>225</v>
      </c>
      <c r="O269" s="217" t="str">
        <f aca="false">IF(M269&gt;=0.2,"★★★ EXCELLENT",IF(M269&gt;=0.12,"★★  GOOD",IF(M269&gt;=0.07,"★  FAIR",IF(M269&gt;=0.025,"⚠  MARGINAL","✗  AVOID"))))</f>
        <v>⚠  MARGINAL</v>
      </c>
    </row>
    <row r="270" customFormat="false" ht="15" hidden="false" customHeight="true" outlineLevel="0" collapsed="false">
      <c r="A270" s="218" t="n">
        <v>31.3</v>
      </c>
      <c r="B270" s="219" t="n">
        <f aca="false">IF(Calculator!$E$12="YES",IF(A270&lt;Calculator!$G$12,0,MIN(MIN(MOD(A270/Calculator!$F$12,1),1-MOD(A270/Calculator!$F$12,1)),ABS(MOD(A270/Calculator!$F$12,1)-0.5))),1)</f>
        <v>1</v>
      </c>
      <c r="C270" s="219" t="n">
        <f aca="false">IF(Calculator!$E$13="YES",IF(A270&lt;Calculator!$G$13,0,MIN(MIN(MOD(A270/Calculator!$F$13,1),1-MOD(A270/Calculator!$F$13,1)),ABS(MOD(A270/Calculator!$F$13,1)-0.5))),1)</f>
        <v>1</v>
      </c>
      <c r="D270" s="219" t="n">
        <f aca="false">IF(Calculator!$E$14="YES",IF(A270&lt;Calculator!$G$14,0,MIN(MIN(MOD(A270/Calculator!$F$14,1),1-MOD(A270/Calculator!$F$14,1)),ABS(MOD(A270/Calculator!$F$14,1)-0.5))),1)</f>
        <v>1</v>
      </c>
      <c r="E270" s="219" t="n">
        <f aca="false">IF(Calculator!$E$15="YES",IF(A270&lt;Calculator!$G$15,0,MIN(MIN(MOD(A270/Calculator!$F$15,1),1-MOD(A270/Calculator!$F$15,1)),ABS(MOD(A270/Calculator!$F$15,1)-0.5))),1)</f>
        <v>0.0704912280701755</v>
      </c>
      <c r="F270" s="219" t="n">
        <f aca="false">IF(Calculator!$E$16="YES",IF(A270&lt;Calculator!$G$16,0,MIN(MIN(MOD(A270/Calculator!$F$16,1),1-MOD(A270/Calculator!$F$16,1)),ABS(MOD(A270/Calculator!$F$16,1)-0.5))),1)</f>
        <v>1</v>
      </c>
      <c r="G270" s="219" t="n">
        <f aca="false">IF(Calculator!$E$17="YES",IF(A270&lt;Calculator!$G$17,0,MIN(MIN(MOD(A270/Calculator!$F$17,1),1-MOD(A270/Calculator!$F$17,1)),ABS(MOD(A270/Calculator!$F$17,1)-0.5))),1)</f>
        <v>0.113526315789474</v>
      </c>
      <c r="H270" s="219" t="n">
        <f aca="false">IF(Calculator!$E$18="YES",IF(A270&lt;Calculator!$G$18,0,MIN(MIN(MOD(A270/Calculator!$F$18,1),1-MOD(A270/Calculator!$F$18,1)),ABS(MOD(A270/Calculator!$F$18,1)-0.5))),1)</f>
        <v>1</v>
      </c>
      <c r="I270" s="219" t="n">
        <f aca="false">IF(Calculator!$E$19="YES",IF(A270&lt;Calculator!$G$19,0,MIN(MIN(MOD(A270/Calculator!$F$19,1),1-MOD(A270/Calculator!$F$19,1)),ABS(MOD(A270/Calculator!$F$19,1)-0.5))),1)</f>
        <v>1</v>
      </c>
      <c r="J270" s="219" t="n">
        <f aca="false">IF(Calculator!$E$20="YES",IF(A270&lt;Calculator!$G$20,0,MIN(MIN(MOD(A270/Calculator!$F$20,1),1-MOD(A270/Calculator!$F$20,1)),ABS(MOD(A270/Calculator!$F$20,1)-0.5))),1)</f>
        <v>1</v>
      </c>
      <c r="K270" s="219" t="n">
        <f aca="false">IF(Calculator!$E$21="YES",IF(A270&lt;Calculator!$G$21,0,MIN(MIN(MOD(A270/Calculator!$F$21,1),1-MOD(A270/Calculator!$F$21,1)),ABS(MOD(A270/Calculator!$F$21,1)-0.5))),1)</f>
        <v>0.163122807017544</v>
      </c>
      <c r="L270" s="219" t="n">
        <f aca="false">IF(Calculator!$E$22="YES",IF(A270&lt;Calculator!$G$22,0,MIN(MIN(MOD(A270/Calculator!$F$22,1),1-MOD(A270/Calculator!$F$22,1)),ABS(MOD(A270/Calculator!$F$22,1)-0.5))),1)</f>
        <v>1</v>
      </c>
      <c r="M270" s="219" t="n">
        <f aca="false">MIN(B270:L270)</f>
        <v>0.0704912280701755</v>
      </c>
      <c r="N270" s="219" t="n">
        <f aca="false">SUMPRODUCT(($M$7:$M$557&gt;M270)*1)+SUMPRODUCT(($M$7:$M$557=M270)*(ROW($M$7:$M$557)&lt;ROW(M270)))+1</f>
        <v>206</v>
      </c>
      <c r="O270" s="219" t="str">
        <f aca="false">IF(M270&gt;=0.2,"★★★ EXCELLENT",IF(M270&gt;=0.12,"★★  GOOD",IF(M270&gt;=0.07,"★  FAIR",IF(M270&gt;=0.025,"⚠  MARGINAL","✗  AVOID"))))</f>
        <v>★  FAIR</v>
      </c>
    </row>
    <row r="271" customFormat="false" ht="15" hidden="false" customHeight="true" outlineLevel="0" collapsed="false">
      <c r="A271" s="216" t="n">
        <v>31.4</v>
      </c>
      <c r="B271" s="217" t="n">
        <f aca="false">IF(Calculator!$E$12="YES",IF(A271&lt;Calculator!$G$12,0,MIN(MIN(MOD(A271/Calculator!$F$12,1),1-MOD(A271/Calculator!$F$12,1)),ABS(MOD(A271/Calculator!$F$12,1)-0.5))),1)</f>
        <v>1</v>
      </c>
      <c r="C271" s="217" t="n">
        <f aca="false">IF(Calculator!$E$13="YES",IF(A271&lt;Calculator!$G$13,0,MIN(MIN(MOD(A271/Calculator!$F$13,1),1-MOD(A271/Calculator!$F$13,1)),ABS(MOD(A271/Calculator!$F$13,1)-0.5))),1)</f>
        <v>1</v>
      </c>
      <c r="D271" s="217" t="n">
        <f aca="false">IF(Calculator!$E$14="YES",IF(A271&lt;Calculator!$G$14,0,MIN(MIN(MOD(A271/Calculator!$F$14,1),1-MOD(A271/Calculator!$F$14,1)),ABS(MOD(A271/Calculator!$F$14,1)-0.5))),1)</f>
        <v>1</v>
      </c>
      <c r="E271" s="217" t="n">
        <f aca="false">IF(Calculator!$E$15="YES",IF(A271&lt;Calculator!$G$15,0,MIN(MIN(MOD(A271/Calculator!$F$15,1),1-MOD(A271/Calculator!$F$15,1)),ABS(MOD(A271/Calculator!$F$15,1)-0.5))),1)</f>
        <v>0.0755087719298244</v>
      </c>
      <c r="F271" s="217" t="n">
        <f aca="false">IF(Calculator!$E$16="YES",IF(A271&lt;Calculator!$G$16,0,MIN(MIN(MOD(A271/Calculator!$F$16,1),1-MOD(A271/Calculator!$F$16,1)),ABS(MOD(A271/Calculator!$F$16,1)-0.5))),1)</f>
        <v>1</v>
      </c>
      <c r="G271" s="217" t="n">
        <f aca="false">IF(Calculator!$E$17="YES",IF(A271&lt;Calculator!$G$17,0,MIN(MIN(MOD(A271/Calculator!$F$17,1),1-MOD(A271/Calculator!$F$17,1)),ABS(MOD(A271/Calculator!$F$17,1)-0.5))),1)</f>
        <v>0.123473684210527</v>
      </c>
      <c r="H271" s="217" t="n">
        <f aca="false">IF(Calculator!$E$18="YES",IF(A271&lt;Calculator!$G$18,0,MIN(MIN(MOD(A271/Calculator!$F$18,1),1-MOD(A271/Calculator!$F$18,1)),ABS(MOD(A271/Calculator!$F$18,1)-0.5))),1)</f>
        <v>1</v>
      </c>
      <c r="I271" s="217" t="n">
        <f aca="false">IF(Calculator!$E$19="YES",IF(A271&lt;Calculator!$G$19,0,MIN(MIN(MOD(A271/Calculator!$F$19,1),1-MOD(A271/Calculator!$F$19,1)),ABS(MOD(A271/Calculator!$F$19,1)-0.5))),1)</f>
        <v>1</v>
      </c>
      <c r="J271" s="217" t="n">
        <f aca="false">IF(Calculator!$E$20="YES",IF(A271&lt;Calculator!$G$20,0,MIN(MIN(MOD(A271/Calculator!$F$20,1),1-MOD(A271/Calculator!$F$20,1)),ABS(MOD(A271/Calculator!$F$20,1)-0.5))),1)</f>
        <v>1</v>
      </c>
      <c r="K271" s="217" t="n">
        <f aca="false">IF(Calculator!$E$21="YES",IF(A271&lt;Calculator!$G$21,0,MIN(MIN(MOD(A271/Calculator!$F$21,1),1-MOD(A271/Calculator!$F$21,1)),ABS(MOD(A271/Calculator!$F$21,1)-0.5))),1)</f>
        <v>0.142877192982456</v>
      </c>
      <c r="L271" s="217" t="n">
        <f aca="false">IF(Calculator!$E$22="YES",IF(A271&lt;Calculator!$G$22,0,MIN(MIN(MOD(A271/Calculator!$F$22,1),1-MOD(A271/Calculator!$F$22,1)),ABS(MOD(A271/Calculator!$F$22,1)-0.5))),1)</f>
        <v>1</v>
      </c>
      <c r="M271" s="217" t="n">
        <f aca="false">MIN(B271:L271)</f>
        <v>0.0755087719298244</v>
      </c>
      <c r="N271" s="217" t="n">
        <f aca="false">SUMPRODUCT(($M$7:$M$557&gt;M271)*1)+SUMPRODUCT(($M$7:$M$557=M271)*(ROW($M$7:$M$557)&lt;ROW(M271)))+1</f>
        <v>187</v>
      </c>
      <c r="O271" s="217" t="str">
        <f aca="false">IF(M271&gt;=0.2,"★★★ EXCELLENT",IF(M271&gt;=0.12,"★★  GOOD",IF(M271&gt;=0.07,"★  FAIR",IF(M271&gt;=0.025,"⚠  MARGINAL","✗  AVOID"))))</f>
        <v>★  FAIR</v>
      </c>
    </row>
    <row r="272" customFormat="false" ht="15" hidden="false" customHeight="true" outlineLevel="0" collapsed="false">
      <c r="A272" s="218" t="n">
        <v>31.5</v>
      </c>
      <c r="B272" s="219" t="n">
        <f aca="false">IF(Calculator!$E$12="YES",IF(A272&lt;Calculator!$G$12,0,MIN(MIN(MOD(A272/Calculator!$F$12,1),1-MOD(A272/Calculator!$F$12,1)),ABS(MOD(A272/Calculator!$F$12,1)-0.5))),1)</f>
        <v>1</v>
      </c>
      <c r="C272" s="219" t="n">
        <f aca="false">IF(Calculator!$E$13="YES",IF(A272&lt;Calculator!$G$13,0,MIN(MIN(MOD(A272/Calculator!$F$13,1),1-MOD(A272/Calculator!$F$13,1)),ABS(MOD(A272/Calculator!$F$13,1)-0.5))),1)</f>
        <v>1</v>
      </c>
      <c r="D272" s="219" t="n">
        <f aca="false">IF(Calculator!$E$14="YES",IF(A272&lt;Calculator!$G$14,0,MIN(MIN(MOD(A272/Calculator!$F$14,1),1-MOD(A272/Calculator!$F$14,1)),ABS(MOD(A272/Calculator!$F$14,1)-0.5))),1)</f>
        <v>1</v>
      </c>
      <c r="E272" s="219" t="n">
        <f aca="false">IF(Calculator!$E$15="YES",IF(A272&lt;Calculator!$G$15,0,MIN(MIN(MOD(A272/Calculator!$F$15,1),1-MOD(A272/Calculator!$F$15,1)),ABS(MOD(A272/Calculator!$F$15,1)-0.5))),1)</f>
        <v>0.0805263157894738</v>
      </c>
      <c r="F272" s="219" t="n">
        <f aca="false">IF(Calculator!$E$16="YES",IF(A272&lt;Calculator!$G$16,0,MIN(MIN(MOD(A272/Calculator!$F$16,1),1-MOD(A272/Calculator!$F$16,1)),ABS(MOD(A272/Calculator!$F$16,1)-0.5))),1)</f>
        <v>1</v>
      </c>
      <c r="G272" s="219" t="n">
        <f aca="false">IF(Calculator!$E$17="YES",IF(A272&lt;Calculator!$G$17,0,MIN(MIN(MOD(A272/Calculator!$F$17,1),1-MOD(A272/Calculator!$F$17,1)),ABS(MOD(A272/Calculator!$F$17,1)-0.5))),1)</f>
        <v>0.133421052631579</v>
      </c>
      <c r="H272" s="219" t="n">
        <f aca="false">IF(Calculator!$E$18="YES",IF(A272&lt;Calculator!$G$18,0,MIN(MIN(MOD(A272/Calculator!$F$18,1),1-MOD(A272/Calculator!$F$18,1)),ABS(MOD(A272/Calculator!$F$18,1)-0.5))),1)</f>
        <v>1</v>
      </c>
      <c r="I272" s="219" t="n">
        <f aca="false">IF(Calculator!$E$19="YES",IF(A272&lt;Calculator!$G$19,0,MIN(MIN(MOD(A272/Calculator!$F$19,1),1-MOD(A272/Calculator!$F$19,1)),ABS(MOD(A272/Calculator!$F$19,1)-0.5))),1)</f>
        <v>1</v>
      </c>
      <c r="J272" s="219" t="n">
        <f aca="false">IF(Calculator!$E$20="YES",IF(A272&lt;Calculator!$G$20,0,MIN(MIN(MOD(A272/Calculator!$F$20,1),1-MOD(A272/Calculator!$F$20,1)),ABS(MOD(A272/Calculator!$F$20,1)-0.5))),1)</f>
        <v>1</v>
      </c>
      <c r="K272" s="219" t="n">
        <f aca="false">IF(Calculator!$E$21="YES",IF(A272&lt;Calculator!$G$21,0,MIN(MIN(MOD(A272/Calculator!$F$21,1),1-MOD(A272/Calculator!$F$21,1)),ABS(MOD(A272/Calculator!$F$21,1)-0.5))),1)</f>
        <v>0.122631578947368</v>
      </c>
      <c r="L272" s="219" t="n">
        <f aca="false">IF(Calculator!$E$22="YES",IF(A272&lt;Calculator!$G$22,0,MIN(MIN(MOD(A272/Calculator!$F$22,1),1-MOD(A272/Calculator!$F$22,1)),ABS(MOD(A272/Calculator!$F$22,1)-0.5))),1)</f>
        <v>1</v>
      </c>
      <c r="M272" s="219" t="n">
        <f aca="false">MIN(B272:L272)</f>
        <v>0.0805263157894738</v>
      </c>
      <c r="N272" s="219" t="n">
        <f aca="false">SUMPRODUCT(($M$7:$M$557&gt;M272)*1)+SUMPRODUCT(($M$7:$M$557=M272)*(ROW($M$7:$M$557)&lt;ROW(M272)))+1</f>
        <v>165</v>
      </c>
      <c r="O272" s="219" t="str">
        <f aca="false">IF(M272&gt;=0.2,"★★★ EXCELLENT",IF(M272&gt;=0.12,"★★  GOOD",IF(M272&gt;=0.07,"★  FAIR",IF(M272&gt;=0.025,"⚠  MARGINAL","✗  AVOID"))))</f>
        <v>★  FAIR</v>
      </c>
    </row>
    <row r="273" customFormat="false" ht="15" hidden="false" customHeight="true" outlineLevel="0" collapsed="false">
      <c r="A273" s="216" t="n">
        <v>31.6</v>
      </c>
      <c r="B273" s="217" t="n">
        <f aca="false">IF(Calculator!$E$12="YES",IF(A273&lt;Calculator!$G$12,0,MIN(MIN(MOD(A273/Calculator!$F$12,1),1-MOD(A273/Calculator!$F$12,1)),ABS(MOD(A273/Calculator!$F$12,1)-0.5))),1)</f>
        <v>1</v>
      </c>
      <c r="C273" s="217" t="n">
        <f aca="false">IF(Calculator!$E$13="YES",IF(A273&lt;Calculator!$G$13,0,MIN(MIN(MOD(A273/Calculator!$F$13,1),1-MOD(A273/Calculator!$F$13,1)),ABS(MOD(A273/Calculator!$F$13,1)-0.5))),1)</f>
        <v>1</v>
      </c>
      <c r="D273" s="217" t="n">
        <f aca="false">IF(Calculator!$E$14="YES",IF(A273&lt;Calculator!$G$14,0,MIN(MIN(MOD(A273/Calculator!$F$14,1),1-MOD(A273/Calculator!$F$14,1)),ABS(MOD(A273/Calculator!$F$14,1)-0.5))),1)</f>
        <v>1</v>
      </c>
      <c r="E273" s="217" t="n">
        <f aca="false">IF(Calculator!$E$15="YES",IF(A273&lt;Calculator!$G$15,0,MIN(MIN(MOD(A273/Calculator!$F$15,1),1-MOD(A273/Calculator!$F$15,1)),ABS(MOD(A273/Calculator!$F$15,1)-0.5))),1)</f>
        <v>0.0855438596491229</v>
      </c>
      <c r="F273" s="217" t="n">
        <f aca="false">IF(Calculator!$E$16="YES",IF(A273&lt;Calculator!$G$16,0,MIN(MIN(MOD(A273/Calculator!$F$16,1),1-MOD(A273/Calculator!$F$16,1)),ABS(MOD(A273/Calculator!$F$16,1)-0.5))),1)</f>
        <v>1</v>
      </c>
      <c r="G273" s="217" t="n">
        <f aca="false">IF(Calculator!$E$17="YES",IF(A273&lt;Calculator!$G$17,0,MIN(MIN(MOD(A273/Calculator!$F$17,1),1-MOD(A273/Calculator!$F$17,1)),ABS(MOD(A273/Calculator!$F$17,1)-0.5))),1)</f>
        <v>0.143368421052632</v>
      </c>
      <c r="H273" s="217" t="n">
        <f aca="false">IF(Calculator!$E$18="YES",IF(A273&lt;Calculator!$G$18,0,MIN(MIN(MOD(A273/Calculator!$F$18,1),1-MOD(A273/Calculator!$F$18,1)),ABS(MOD(A273/Calculator!$F$18,1)-0.5))),1)</f>
        <v>1</v>
      </c>
      <c r="I273" s="217" t="n">
        <f aca="false">IF(Calculator!$E$19="YES",IF(A273&lt;Calculator!$G$19,0,MIN(MIN(MOD(A273/Calculator!$F$19,1),1-MOD(A273/Calculator!$F$19,1)),ABS(MOD(A273/Calculator!$F$19,1)-0.5))),1)</f>
        <v>1</v>
      </c>
      <c r="J273" s="217" t="n">
        <f aca="false">IF(Calculator!$E$20="YES",IF(A273&lt;Calculator!$G$20,0,MIN(MIN(MOD(A273/Calculator!$F$20,1),1-MOD(A273/Calculator!$F$20,1)),ABS(MOD(A273/Calculator!$F$20,1)-0.5))),1)</f>
        <v>1</v>
      </c>
      <c r="K273" s="217" t="n">
        <f aca="false">IF(Calculator!$E$21="YES",IF(A273&lt;Calculator!$G$21,0,MIN(MIN(MOD(A273/Calculator!$F$21,1),1-MOD(A273/Calculator!$F$21,1)),ABS(MOD(A273/Calculator!$F$21,1)-0.5))),1)</f>
        <v>0.102385964912281</v>
      </c>
      <c r="L273" s="217" t="n">
        <f aca="false">IF(Calculator!$E$22="YES",IF(A273&lt;Calculator!$G$22,0,MIN(MIN(MOD(A273/Calculator!$F$22,1),1-MOD(A273/Calculator!$F$22,1)),ABS(MOD(A273/Calculator!$F$22,1)-0.5))),1)</f>
        <v>1</v>
      </c>
      <c r="M273" s="217" t="n">
        <f aca="false">MIN(B273:L273)</f>
        <v>0.0855438596491229</v>
      </c>
      <c r="N273" s="217" t="n">
        <f aca="false">SUMPRODUCT(($M$7:$M$557&gt;M273)*1)+SUMPRODUCT(($M$7:$M$557=M273)*(ROW($M$7:$M$557)&lt;ROW(M273)))+1</f>
        <v>150</v>
      </c>
      <c r="O273" s="217" t="str">
        <f aca="false">IF(M273&gt;=0.2,"★★★ EXCELLENT",IF(M273&gt;=0.12,"★★  GOOD",IF(M273&gt;=0.07,"★  FAIR",IF(M273&gt;=0.025,"⚠  MARGINAL","✗  AVOID"))))</f>
        <v>★  FAIR</v>
      </c>
    </row>
    <row r="274" customFormat="false" ht="15" hidden="false" customHeight="true" outlineLevel="0" collapsed="false">
      <c r="A274" s="218" t="n">
        <v>31.7</v>
      </c>
      <c r="B274" s="219" t="n">
        <f aca="false">IF(Calculator!$E$12="YES",IF(A274&lt;Calculator!$G$12,0,MIN(MIN(MOD(A274/Calculator!$F$12,1),1-MOD(A274/Calculator!$F$12,1)),ABS(MOD(A274/Calculator!$F$12,1)-0.5))),1)</f>
        <v>1</v>
      </c>
      <c r="C274" s="219" t="n">
        <f aca="false">IF(Calculator!$E$13="YES",IF(A274&lt;Calculator!$G$13,0,MIN(MIN(MOD(A274/Calculator!$F$13,1),1-MOD(A274/Calculator!$F$13,1)),ABS(MOD(A274/Calculator!$F$13,1)-0.5))),1)</f>
        <v>1</v>
      </c>
      <c r="D274" s="219" t="n">
        <f aca="false">IF(Calculator!$E$14="YES",IF(A274&lt;Calculator!$G$14,0,MIN(MIN(MOD(A274/Calculator!$F$14,1),1-MOD(A274/Calculator!$F$14,1)),ABS(MOD(A274/Calculator!$F$14,1)-0.5))),1)</f>
        <v>1</v>
      </c>
      <c r="E274" s="219" t="n">
        <f aca="false">IF(Calculator!$E$15="YES",IF(A274&lt;Calculator!$G$15,0,MIN(MIN(MOD(A274/Calculator!$F$15,1),1-MOD(A274/Calculator!$F$15,1)),ABS(MOD(A274/Calculator!$F$15,1)-0.5))),1)</f>
        <v>0.0905614035087718</v>
      </c>
      <c r="F274" s="219" t="n">
        <f aca="false">IF(Calculator!$E$16="YES",IF(A274&lt;Calculator!$G$16,0,MIN(MIN(MOD(A274/Calculator!$F$16,1),1-MOD(A274/Calculator!$F$16,1)),ABS(MOD(A274/Calculator!$F$16,1)-0.5))),1)</f>
        <v>1</v>
      </c>
      <c r="G274" s="219" t="n">
        <f aca="false">IF(Calculator!$E$17="YES",IF(A274&lt;Calculator!$G$17,0,MIN(MIN(MOD(A274/Calculator!$F$17,1),1-MOD(A274/Calculator!$F$17,1)),ABS(MOD(A274/Calculator!$F$17,1)-0.5))),1)</f>
        <v>0.153315789473684</v>
      </c>
      <c r="H274" s="219" t="n">
        <f aca="false">IF(Calculator!$E$18="YES",IF(A274&lt;Calculator!$G$18,0,MIN(MIN(MOD(A274/Calculator!$F$18,1),1-MOD(A274/Calculator!$F$18,1)),ABS(MOD(A274/Calculator!$F$18,1)-0.5))),1)</f>
        <v>1</v>
      </c>
      <c r="I274" s="219" t="n">
        <f aca="false">IF(Calculator!$E$19="YES",IF(A274&lt;Calculator!$G$19,0,MIN(MIN(MOD(A274/Calculator!$F$19,1),1-MOD(A274/Calculator!$F$19,1)),ABS(MOD(A274/Calculator!$F$19,1)-0.5))),1)</f>
        <v>1</v>
      </c>
      <c r="J274" s="219" t="n">
        <f aca="false">IF(Calculator!$E$20="YES",IF(A274&lt;Calculator!$G$20,0,MIN(MIN(MOD(A274/Calculator!$F$20,1),1-MOD(A274/Calculator!$F$20,1)),ABS(MOD(A274/Calculator!$F$20,1)-0.5))),1)</f>
        <v>1</v>
      </c>
      <c r="K274" s="219" t="n">
        <f aca="false">IF(Calculator!$E$21="YES",IF(A274&lt;Calculator!$G$21,0,MIN(MIN(MOD(A274/Calculator!$F$21,1),1-MOD(A274/Calculator!$F$21,1)),ABS(MOD(A274/Calculator!$F$21,1)-0.5))),1)</f>
        <v>0.082140350877193</v>
      </c>
      <c r="L274" s="219" t="n">
        <f aca="false">IF(Calculator!$E$22="YES",IF(A274&lt;Calculator!$G$22,0,MIN(MIN(MOD(A274/Calculator!$F$22,1),1-MOD(A274/Calculator!$F$22,1)),ABS(MOD(A274/Calculator!$F$22,1)-0.5))),1)</f>
        <v>1</v>
      </c>
      <c r="M274" s="219" t="n">
        <f aca="false">MIN(B274:L274)</f>
        <v>0.082140350877193</v>
      </c>
      <c r="N274" s="219" t="n">
        <f aca="false">SUMPRODUCT(($M$7:$M$557&gt;M274)*1)+SUMPRODUCT(($M$7:$M$557=M274)*(ROW($M$7:$M$557)&lt;ROW(M274)))+1</f>
        <v>158</v>
      </c>
      <c r="O274" s="219" t="str">
        <f aca="false">IF(M274&gt;=0.2,"★★★ EXCELLENT",IF(M274&gt;=0.12,"★★  GOOD",IF(M274&gt;=0.07,"★  FAIR",IF(M274&gt;=0.025,"⚠  MARGINAL","✗  AVOID"))))</f>
        <v>★  FAIR</v>
      </c>
    </row>
    <row r="275" customFormat="false" ht="15" hidden="false" customHeight="true" outlineLevel="0" collapsed="false">
      <c r="A275" s="216" t="n">
        <v>31.8</v>
      </c>
      <c r="B275" s="217" t="n">
        <f aca="false">IF(Calculator!$E$12="YES",IF(A275&lt;Calculator!$G$12,0,MIN(MIN(MOD(A275/Calculator!$F$12,1),1-MOD(A275/Calculator!$F$12,1)),ABS(MOD(A275/Calculator!$F$12,1)-0.5))),1)</f>
        <v>1</v>
      </c>
      <c r="C275" s="217" t="n">
        <f aca="false">IF(Calculator!$E$13="YES",IF(A275&lt;Calculator!$G$13,0,MIN(MIN(MOD(A275/Calculator!$F$13,1),1-MOD(A275/Calculator!$F$13,1)),ABS(MOD(A275/Calculator!$F$13,1)-0.5))),1)</f>
        <v>1</v>
      </c>
      <c r="D275" s="217" t="n">
        <f aca="false">IF(Calculator!$E$14="YES",IF(A275&lt;Calculator!$G$14,0,MIN(MIN(MOD(A275/Calculator!$F$14,1),1-MOD(A275/Calculator!$F$14,1)),ABS(MOD(A275/Calculator!$F$14,1)-0.5))),1)</f>
        <v>1</v>
      </c>
      <c r="E275" s="217" t="n">
        <f aca="false">IF(Calculator!$E$15="YES",IF(A275&lt;Calculator!$G$15,0,MIN(MIN(MOD(A275/Calculator!$F$15,1),1-MOD(A275/Calculator!$F$15,1)),ABS(MOD(A275/Calculator!$F$15,1)-0.5))),1)</f>
        <v>0.095578947368421</v>
      </c>
      <c r="F275" s="217" t="n">
        <f aca="false">IF(Calculator!$E$16="YES",IF(A275&lt;Calculator!$G$16,0,MIN(MIN(MOD(A275/Calculator!$F$16,1),1-MOD(A275/Calculator!$F$16,1)),ABS(MOD(A275/Calculator!$F$16,1)-0.5))),1)</f>
        <v>1</v>
      </c>
      <c r="G275" s="217" t="n">
        <f aca="false">IF(Calculator!$E$17="YES",IF(A275&lt;Calculator!$G$17,0,MIN(MIN(MOD(A275/Calculator!$F$17,1),1-MOD(A275/Calculator!$F$17,1)),ABS(MOD(A275/Calculator!$F$17,1)-0.5))),1)</f>
        <v>0.163263157894737</v>
      </c>
      <c r="H275" s="217" t="n">
        <f aca="false">IF(Calculator!$E$18="YES",IF(A275&lt;Calculator!$G$18,0,MIN(MIN(MOD(A275/Calculator!$F$18,1),1-MOD(A275/Calculator!$F$18,1)),ABS(MOD(A275/Calculator!$F$18,1)-0.5))),1)</f>
        <v>1</v>
      </c>
      <c r="I275" s="217" t="n">
        <f aca="false">IF(Calculator!$E$19="YES",IF(A275&lt;Calculator!$G$19,0,MIN(MIN(MOD(A275/Calculator!$F$19,1),1-MOD(A275/Calculator!$F$19,1)),ABS(MOD(A275/Calculator!$F$19,1)-0.5))),1)</f>
        <v>1</v>
      </c>
      <c r="J275" s="217" t="n">
        <f aca="false">IF(Calculator!$E$20="YES",IF(A275&lt;Calculator!$G$20,0,MIN(MIN(MOD(A275/Calculator!$F$20,1),1-MOD(A275/Calculator!$F$20,1)),ABS(MOD(A275/Calculator!$F$20,1)-0.5))),1)</f>
        <v>1</v>
      </c>
      <c r="K275" s="217" t="n">
        <f aca="false">IF(Calculator!$E$21="YES",IF(A275&lt;Calculator!$G$21,0,MIN(MIN(MOD(A275/Calculator!$F$21,1),1-MOD(A275/Calculator!$F$21,1)),ABS(MOD(A275/Calculator!$F$21,1)-0.5))),1)</f>
        <v>0.0618947368421052</v>
      </c>
      <c r="L275" s="217" t="n">
        <f aca="false">IF(Calculator!$E$22="YES",IF(A275&lt;Calculator!$G$22,0,MIN(MIN(MOD(A275/Calculator!$F$22,1),1-MOD(A275/Calculator!$F$22,1)),ABS(MOD(A275/Calculator!$F$22,1)-0.5))),1)</f>
        <v>1</v>
      </c>
      <c r="M275" s="217" t="n">
        <f aca="false">MIN(B275:L275)</f>
        <v>0.0618947368421052</v>
      </c>
      <c r="N275" s="217" t="n">
        <f aca="false">SUMPRODUCT(($M$7:$M$557&gt;M275)*1)+SUMPRODUCT(($M$7:$M$557=M275)*(ROW($M$7:$M$557)&lt;ROW(M275)))+1</f>
        <v>235</v>
      </c>
      <c r="O275" s="217" t="str">
        <f aca="false">IF(M275&gt;=0.2,"★★★ EXCELLENT",IF(M275&gt;=0.12,"★★  GOOD",IF(M275&gt;=0.07,"★  FAIR",IF(M275&gt;=0.025,"⚠  MARGINAL","✗  AVOID"))))</f>
        <v>⚠  MARGINAL</v>
      </c>
    </row>
    <row r="276" customFormat="false" ht="15" hidden="false" customHeight="true" outlineLevel="0" collapsed="false">
      <c r="A276" s="218" t="n">
        <v>31.9</v>
      </c>
      <c r="B276" s="219" t="n">
        <f aca="false">IF(Calculator!$E$12="YES",IF(A276&lt;Calculator!$G$12,0,MIN(MIN(MOD(A276/Calculator!$F$12,1),1-MOD(A276/Calculator!$F$12,1)),ABS(MOD(A276/Calculator!$F$12,1)-0.5))),1)</f>
        <v>1</v>
      </c>
      <c r="C276" s="219" t="n">
        <f aca="false">IF(Calculator!$E$13="YES",IF(A276&lt;Calculator!$G$13,0,MIN(MIN(MOD(A276/Calculator!$F$13,1),1-MOD(A276/Calculator!$F$13,1)),ABS(MOD(A276/Calculator!$F$13,1)-0.5))),1)</f>
        <v>1</v>
      </c>
      <c r="D276" s="219" t="n">
        <f aca="false">IF(Calculator!$E$14="YES",IF(A276&lt;Calculator!$G$14,0,MIN(MIN(MOD(A276/Calculator!$F$14,1),1-MOD(A276/Calculator!$F$14,1)),ABS(MOD(A276/Calculator!$F$14,1)-0.5))),1)</f>
        <v>1</v>
      </c>
      <c r="E276" s="219" t="n">
        <f aca="false">IF(Calculator!$E$15="YES",IF(A276&lt;Calculator!$G$15,0,MIN(MIN(MOD(A276/Calculator!$F$15,1),1-MOD(A276/Calculator!$F$15,1)),ABS(MOD(A276/Calculator!$F$15,1)-0.5))),1)</f>
        <v>0.10059649122807</v>
      </c>
      <c r="F276" s="219" t="n">
        <f aca="false">IF(Calculator!$E$16="YES",IF(A276&lt;Calculator!$G$16,0,MIN(MIN(MOD(A276/Calculator!$F$16,1),1-MOD(A276/Calculator!$F$16,1)),ABS(MOD(A276/Calculator!$F$16,1)-0.5))),1)</f>
        <v>1</v>
      </c>
      <c r="G276" s="219" t="n">
        <f aca="false">IF(Calculator!$E$17="YES",IF(A276&lt;Calculator!$G$17,0,MIN(MIN(MOD(A276/Calculator!$F$17,1),1-MOD(A276/Calculator!$F$17,1)),ABS(MOD(A276/Calculator!$F$17,1)-0.5))),1)</f>
        <v>0.17321052631579</v>
      </c>
      <c r="H276" s="219" t="n">
        <f aca="false">IF(Calculator!$E$18="YES",IF(A276&lt;Calculator!$G$18,0,MIN(MIN(MOD(A276/Calculator!$F$18,1),1-MOD(A276/Calculator!$F$18,1)),ABS(MOD(A276/Calculator!$F$18,1)-0.5))),1)</f>
        <v>1</v>
      </c>
      <c r="I276" s="219" t="n">
        <f aca="false">IF(Calculator!$E$19="YES",IF(A276&lt;Calculator!$G$19,0,MIN(MIN(MOD(A276/Calculator!$F$19,1),1-MOD(A276/Calculator!$F$19,1)),ABS(MOD(A276/Calculator!$F$19,1)-0.5))),1)</f>
        <v>1</v>
      </c>
      <c r="J276" s="219" t="n">
        <f aca="false">IF(Calculator!$E$20="YES",IF(A276&lt;Calculator!$G$20,0,MIN(MIN(MOD(A276/Calculator!$F$20,1),1-MOD(A276/Calculator!$F$20,1)),ABS(MOD(A276/Calculator!$F$20,1)-0.5))),1)</f>
        <v>1</v>
      </c>
      <c r="K276" s="219" t="n">
        <f aca="false">IF(Calculator!$E$21="YES",IF(A276&lt;Calculator!$G$21,0,MIN(MIN(MOD(A276/Calculator!$F$21,1),1-MOD(A276/Calculator!$F$21,1)),ABS(MOD(A276/Calculator!$F$21,1)-0.5))),1)</f>
        <v>0.0416491228070175</v>
      </c>
      <c r="L276" s="219" t="n">
        <f aca="false">IF(Calculator!$E$22="YES",IF(A276&lt;Calculator!$G$22,0,MIN(MIN(MOD(A276/Calculator!$F$22,1),1-MOD(A276/Calculator!$F$22,1)),ABS(MOD(A276/Calculator!$F$22,1)-0.5))),1)</f>
        <v>1</v>
      </c>
      <c r="M276" s="219" t="n">
        <f aca="false">MIN(B276:L276)</f>
        <v>0.0416491228070175</v>
      </c>
      <c r="N276" s="219" t="n">
        <f aca="false">SUMPRODUCT(($M$7:$M$557&gt;M276)*1)+SUMPRODUCT(($M$7:$M$557=M276)*(ROW($M$7:$M$557)&lt;ROW(M276)))+1</f>
        <v>318</v>
      </c>
      <c r="O276" s="219" t="str">
        <f aca="false">IF(M276&gt;=0.2,"★★★ EXCELLENT",IF(M276&gt;=0.12,"★★  GOOD",IF(M276&gt;=0.07,"★  FAIR",IF(M276&gt;=0.025,"⚠  MARGINAL","✗  AVOID"))))</f>
        <v>⚠  MARGINAL</v>
      </c>
    </row>
    <row r="277" customFormat="false" ht="15" hidden="false" customHeight="true" outlineLevel="0" collapsed="false">
      <c r="A277" s="216" t="n">
        <v>32</v>
      </c>
      <c r="B277" s="217" t="n">
        <f aca="false">IF(Calculator!$E$12="YES",IF(A277&lt;Calculator!$G$12,0,MIN(MIN(MOD(A277/Calculator!$F$12,1),1-MOD(A277/Calculator!$F$12,1)),ABS(MOD(A277/Calculator!$F$12,1)-0.5))),1)</f>
        <v>1</v>
      </c>
      <c r="C277" s="217" t="n">
        <f aca="false">IF(Calculator!$E$13="YES",IF(A277&lt;Calculator!$G$13,0,MIN(MIN(MOD(A277/Calculator!$F$13,1),1-MOD(A277/Calculator!$F$13,1)),ABS(MOD(A277/Calculator!$F$13,1)-0.5))),1)</f>
        <v>1</v>
      </c>
      <c r="D277" s="217" t="n">
        <f aca="false">IF(Calculator!$E$14="YES",IF(A277&lt;Calculator!$G$14,0,MIN(MIN(MOD(A277/Calculator!$F$14,1),1-MOD(A277/Calculator!$F$14,1)),ABS(MOD(A277/Calculator!$F$14,1)-0.5))),1)</f>
        <v>1</v>
      </c>
      <c r="E277" s="217" t="n">
        <f aca="false">IF(Calculator!$E$15="YES",IF(A277&lt;Calculator!$G$15,0,MIN(MIN(MOD(A277/Calculator!$F$15,1),1-MOD(A277/Calculator!$F$15,1)),ABS(MOD(A277/Calculator!$F$15,1)-0.5))),1)</f>
        <v>0.105614035087719</v>
      </c>
      <c r="F277" s="217" t="n">
        <f aca="false">IF(Calculator!$E$16="YES",IF(A277&lt;Calculator!$G$16,0,MIN(MIN(MOD(A277/Calculator!$F$16,1),1-MOD(A277/Calculator!$F$16,1)),ABS(MOD(A277/Calculator!$F$16,1)-0.5))),1)</f>
        <v>1</v>
      </c>
      <c r="G277" s="217" t="n">
        <f aca="false">IF(Calculator!$E$17="YES",IF(A277&lt;Calculator!$G$17,0,MIN(MIN(MOD(A277/Calculator!$F$17,1),1-MOD(A277/Calculator!$F$17,1)),ABS(MOD(A277/Calculator!$F$17,1)-0.5))),1)</f>
        <v>0.183157894736842</v>
      </c>
      <c r="H277" s="217" t="n">
        <f aca="false">IF(Calculator!$E$18="YES",IF(A277&lt;Calculator!$G$18,0,MIN(MIN(MOD(A277/Calculator!$F$18,1),1-MOD(A277/Calculator!$F$18,1)),ABS(MOD(A277/Calculator!$F$18,1)-0.5))),1)</f>
        <v>1</v>
      </c>
      <c r="I277" s="217" t="n">
        <f aca="false">IF(Calculator!$E$19="YES",IF(A277&lt;Calculator!$G$19,0,MIN(MIN(MOD(A277/Calculator!$F$19,1),1-MOD(A277/Calculator!$F$19,1)),ABS(MOD(A277/Calculator!$F$19,1)-0.5))),1)</f>
        <v>1</v>
      </c>
      <c r="J277" s="217" t="n">
        <f aca="false">IF(Calculator!$E$20="YES",IF(A277&lt;Calculator!$G$20,0,MIN(MIN(MOD(A277/Calculator!$F$20,1),1-MOD(A277/Calculator!$F$20,1)),ABS(MOD(A277/Calculator!$F$20,1)-0.5))),1)</f>
        <v>1</v>
      </c>
      <c r="K277" s="217" t="n">
        <f aca="false">IF(Calculator!$E$21="YES",IF(A277&lt;Calculator!$G$21,0,MIN(MIN(MOD(A277/Calculator!$F$21,1),1-MOD(A277/Calculator!$F$21,1)),ABS(MOD(A277/Calculator!$F$21,1)-0.5))),1)</f>
        <v>0.0214035087719298</v>
      </c>
      <c r="L277" s="217" t="n">
        <f aca="false">IF(Calculator!$E$22="YES",IF(A277&lt;Calculator!$G$22,0,MIN(MIN(MOD(A277/Calculator!$F$22,1),1-MOD(A277/Calculator!$F$22,1)),ABS(MOD(A277/Calculator!$F$22,1)-0.5))),1)</f>
        <v>1</v>
      </c>
      <c r="M277" s="217" t="n">
        <f aca="false">MIN(B277:L277)</f>
        <v>0.0214035087719298</v>
      </c>
      <c r="N277" s="217" t="n">
        <f aca="false">SUMPRODUCT(($M$7:$M$557&gt;M277)*1)+SUMPRODUCT(($M$7:$M$557=M277)*(ROW($M$7:$M$557)&lt;ROW(M277)))+1</f>
        <v>396</v>
      </c>
      <c r="O277" s="217" t="str">
        <f aca="false">IF(M277&gt;=0.2,"★★★ EXCELLENT",IF(M277&gt;=0.12,"★★  GOOD",IF(M277&gt;=0.07,"★  FAIR",IF(M277&gt;=0.025,"⚠  MARGINAL","✗  AVOID"))))</f>
        <v>✗  AVOID</v>
      </c>
    </row>
    <row r="278" customFormat="false" ht="15" hidden="false" customHeight="true" outlineLevel="0" collapsed="false">
      <c r="A278" s="218" t="n">
        <v>32.1</v>
      </c>
      <c r="B278" s="219" t="n">
        <f aca="false">IF(Calculator!$E$12="YES",IF(A278&lt;Calculator!$G$12,0,MIN(MIN(MOD(A278/Calculator!$F$12,1),1-MOD(A278/Calculator!$F$12,1)),ABS(MOD(A278/Calculator!$F$12,1)-0.5))),1)</f>
        <v>1</v>
      </c>
      <c r="C278" s="219" t="n">
        <f aca="false">IF(Calculator!$E$13="YES",IF(A278&lt;Calculator!$G$13,0,MIN(MIN(MOD(A278/Calculator!$F$13,1),1-MOD(A278/Calculator!$F$13,1)),ABS(MOD(A278/Calculator!$F$13,1)-0.5))),1)</f>
        <v>1</v>
      </c>
      <c r="D278" s="219" t="n">
        <f aca="false">IF(Calculator!$E$14="YES",IF(A278&lt;Calculator!$G$14,0,MIN(MIN(MOD(A278/Calculator!$F$14,1),1-MOD(A278/Calculator!$F$14,1)),ABS(MOD(A278/Calculator!$F$14,1)-0.5))),1)</f>
        <v>1</v>
      </c>
      <c r="E278" s="219" t="n">
        <f aca="false">IF(Calculator!$E$15="YES",IF(A278&lt;Calculator!$G$15,0,MIN(MIN(MOD(A278/Calculator!$F$15,1),1-MOD(A278/Calculator!$F$15,1)),ABS(MOD(A278/Calculator!$F$15,1)-0.5))),1)</f>
        <v>0.110631578947368</v>
      </c>
      <c r="F278" s="219" t="n">
        <f aca="false">IF(Calculator!$E$16="YES",IF(A278&lt;Calculator!$G$16,0,MIN(MIN(MOD(A278/Calculator!$F$16,1),1-MOD(A278/Calculator!$F$16,1)),ABS(MOD(A278/Calculator!$F$16,1)-0.5))),1)</f>
        <v>1</v>
      </c>
      <c r="G278" s="219" t="n">
        <f aca="false">IF(Calculator!$E$17="YES",IF(A278&lt;Calculator!$G$17,0,MIN(MIN(MOD(A278/Calculator!$F$17,1),1-MOD(A278/Calculator!$F$17,1)),ABS(MOD(A278/Calculator!$F$17,1)-0.5))),1)</f>
        <v>0.193105263157895</v>
      </c>
      <c r="H278" s="219" t="n">
        <f aca="false">IF(Calculator!$E$18="YES",IF(A278&lt;Calculator!$G$18,0,MIN(MIN(MOD(A278/Calculator!$F$18,1),1-MOD(A278/Calculator!$F$18,1)),ABS(MOD(A278/Calculator!$F$18,1)-0.5))),1)</f>
        <v>1</v>
      </c>
      <c r="I278" s="219" t="n">
        <f aca="false">IF(Calculator!$E$19="YES",IF(A278&lt;Calculator!$G$19,0,MIN(MIN(MOD(A278/Calculator!$F$19,1),1-MOD(A278/Calculator!$F$19,1)),ABS(MOD(A278/Calculator!$F$19,1)-0.5))),1)</f>
        <v>1</v>
      </c>
      <c r="J278" s="219" t="n">
        <f aca="false">IF(Calculator!$E$20="YES",IF(A278&lt;Calculator!$G$20,0,MIN(MIN(MOD(A278/Calculator!$F$20,1),1-MOD(A278/Calculator!$F$20,1)),ABS(MOD(A278/Calculator!$F$20,1)-0.5))),1)</f>
        <v>1</v>
      </c>
      <c r="K278" s="219" t="n">
        <f aca="false">IF(Calculator!$E$21="YES",IF(A278&lt;Calculator!$G$21,0,MIN(MIN(MOD(A278/Calculator!$F$21,1),1-MOD(A278/Calculator!$F$21,1)),ABS(MOD(A278/Calculator!$F$21,1)-0.5))),1)</f>
        <v>0.00115789473684202</v>
      </c>
      <c r="L278" s="219" t="n">
        <f aca="false">IF(Calculator!$E$22="YES",IF(A278&lt;Calculator!$G$22,0,MIN(MIN(MOD(A278/Calculator!$F$22,1),1-MOD(A278/Calculator!$F$22,1)),ABS(MOD(A278/Calculator!$F$22,1)-0.5))),1)</f>
        <v>1</v>
      </c>
      <c r="M278" s="219" t="n">
        <f aca="false">MIN(B278:L278)</f>
        <v>0.00115789473684202</v>
      </c>
      <c r="N278" s="219" t="n">
        <f aca="false">SUMPRODUCT(($M$7:$M$557&gt;M278)*1)+SUMPRODUCT(($M$7:$M$557=M278)*(ROW($M$7:$M$557)&lt;ROW(M278)))+1</f>
        <v>494</v>
      </c>
      <c r="O278" s="219" t="str">
        <f aca="false">IF(M278&gt;=0.2,"★★★ EXCELLENT",IF(M278&gt;=0.12,"★★  GOOD",IF(M278&gt;=0.07,"★  FAIR",IF(M278&gt;=0.025,"⚠  MARGINAL","✗  AVOID"))))</f>
        <v>✗  AVOID</v>
      </c>
    </row>
    <row r="279" customFormat="false" ht="15" hidden="false" customHeight="true" outlineLevel="0" collapsed="false">
      <c r="A279" s="216" t="n">
        <v>32.2</v>
      </c>
      <c r="B279" s="217" t="n">
        <f aca="false">IF(Calculator!$E$12="YES",IF(A279&lt;Calculator!$G$12,0,MIN(MIN(MOD(A279/Calculator!$F$12,1),1-MOD(A279/Calculator!$F$12,1)),ABS(MOD(A279/Calculator!$F$12,1)-0.5))),1)</f>
        <v>1</v>
      </c>
      <c r="C279" s="217" t="n">
        <f aca="false">IF(Calculator!$E$13="YES",IF(A279&lt;Calculator!$G$13,0,MIN(MIN(MOD(A279/Calculator!$F$13,1),1-MOD(A279/Calculator!$F$13,1)),ABS(MOD(A279/Calculator!$F$13,1)-0.5))),1)</f>
        <v>1</v>
      </c>
      <c r="D279" s="217" t="n">
        <f aca="false">IF(Calculator!$E$14="YES",IF(A279&lt;Calculator!$G$14,0,MIN(MIN(MOD(A279/Calculator!$F$14,1),1-MOD(A279/Calculator!$F$14,1)),ABS(MOD(A279/Calculator!$F$14,1)-0.5))),1)</f>
        <v>1</v>
      </c>
      <c r="E279" s="217" t="n">
        <f aca="false">IF(Calculator!$E$15="YES",IF(A279&lt;Calculator!$G$15,0,MIN(MIN(MOD(A279/Calculator!$F$15,1),1-MOD(A279/Calculator!$F$15,1)),ABS(MOD(A279/Calculator!$F$15,1)-0.5))),1)</f>
        <v>0.115649122807018</v>
      </c>
      <c r="F279" s="217" t="n">
        <f aca="false">IF(Calculator!$E$16="YES",IF(A279&lt;Calculator!$G$16,0,MIN(MIN(MOD(A279/Calculator!$F$16,1),1-MOD(A279/Calculator!$F$16,1)),ABS(MOD(A279/Calculator!$F$16,1)-0.5))),1)</f>
        <v>1</v>
      </c>
      <c r="G279" s="217" t="n">
        <f aca="false">IF(Calculator!$E$17="YES",IF(A279&lt;Calculator!$G$17,0,MIN(MIN(MOD(A279/Calculator!$F$17,1),1-MOD(A279/Calculator!$F$17,1)),ABS(MOD(A279/Calculator!$F$17,1)-0.5))),1)</f>
        <v>0.203052631578948</v>
      </c>
      <c r="H279" s="217" t="n">
        <f aca="false">IF(Calculator!$E$18="YES",IF(A279&lt;Calculator!$G$18,0,MIN(MIN(MOD(A279/Calculator!$F$18,1),1-MOD(A279/Calculator!$F$18,1)),ABS(MOD(A279/Calculator!$F$18,1)-0.5))),1)</f>
        <v>1</v>
      </c>
      <c r="I279" s="217" t="n">
        <f aca="false">IF(Calculator!$E$19="YES",IF(A279&lt;Calculator!$G$19,0,MIN(MIN(MOD(A279/Calculator!$F$19,1),1-MOD(A279/Calculator!$F$19,1)),ABS(MOD(A279/Calculator!$F$19,1)-0.5))),1)</f>
        <v>1</v>
      </c>
      <c r="J279" s="217" t="n">
        <f aca="false">IF(Calculator!$E$20="YES",IF(A279&lt;Calculator!$G$20,0,MIN(MIN(MOD(A279/Calculator!$F$20,1),1-MOD(A279/Calculator!$F$20,1)),ABS(MOD(A279/Calculator!$F$20,1)-0.5))),1)</f>
        <v>1</v>
      </c>
      <c r="K279" s="217" t="n">
        <f aca="false">IF(Calculator!$E$21="YES",IF(A279&lt;Calculator!$G$21,0,MIN(MIN(MOD(A279/Calculator!$F$21,1),1-MOD(A279/Calculator!$F$21,1)),ABS(MOD(A279/Calculator!$F$21,1)-0.5))),1)</f>
        <v>0.0190877192982457</v>
      </c>
      <c r="L279" s="217" t="n">
        <f aca="false">IF(Calculator!$E$22="YES",IF(A279&lt;Calculator!$G$22,0,MIN(MIN(MOD(A279/Calculator!$F$22,1),1-MOD(A279/Calculator!$F$22,1)),ABS(MOD(A279/Calculator!$F$22,1)-0.5))),1)</f>
        <v>1</v>
      </c>
      <c r="M279" s="217" t="n">
        <f aca="false">MIN(B279:L279)</f>
        <v>0.0190877192982457</v>
      </c>
      <c r="N279" s="217" t="n">
        <f aca="false">SUMPRODUCT(($M$7:$M$557&gt;M279)*1)+SUMPRODUCT(($M$7:$M$557=M279)*(ROW($M$7:$M$557)&lt;ROW(M279)))+1</f>
        <v>405</v>
      </c>
      <c r="O279" s="217" t="str">
        <f aca="false">IF(M279&gt;=0.2,"★★★ EXCELLENT",IF(M279&gt;=0.12,"★★  GOOD",IF(M279&gt;=0.07,"★  FAIR",IF(M279&gt;=0.025,"⚠  MARGINAL","✗  AVOID"))))</f>
        <v>✗  AVOID</v>
      </c>
    </row>
    <row r="280" customFormat="false" ht="15" hidden="false" customHeight="true" outlineLevel="0" collapsed="false">
      <c r="A280" s="218" t="n">
        <v>32.3</v>
      </c>
      <c r="B280" s="219" t="n">
        <f aca="false">IF(Calculator!$E$12="YES",IF(A280&lt;Calculator!$G$12,0,MIN(MIN(MOD(A280/Calculator!$F$12,1),1-MOD(A280/Calculator!$F$12,1)),ABS(MOD(A280/Calculator!$F$12,1)-0.5))),1)</f>
        <v>1</v>
      </c>
      <c r="C280" s="219" t="n">
        <f aca="false">IF(Calculator!$E$13="YES",IF(A280&lt;Calculator!$G$13,0,MIN(MIN(MOD(A280/Calculator!$F$13,1),1-MOD(A280/Calculator!$F$13,1)),ABS(MOD(A280/Calculator!$F$13,1)-0.5))),1)</f>
        <v>1</v>
      </c>
      <c r="D280" s="219" t="n">
        <f aca="false">IF(Calculator!$E$14="YES",IF(A280&lt;Calculator!$G$14,0,MIN(MIN(MOD(A280/Calculator!$F$14,1),1-MOD(A280/Calculator!$F$14,1)),ABS(MOD(A280/Calculator!$F$14,1)-0.5))),1)</f>
        <v>1</v>
      </c>
      <c r="E280" s="219" t="n">
        <f aca="false">IF(Calculator!$E$15="YES",IF(A280&lt;Calculator!$G$15,0,MIN(MIN(MOD(A280/Calculator!$F$15,1),1-MOD(A280/Calculator!$F$15,1)),ABS(MOD(A280/Calculator!$F$15,1)-0.5))),1)</f>
        <v>0.120666666666666</v>
      </c>
      <c r="F280" s="219" t="n">
        <f aca="false">IF(Calculator!$E$16="YES",IF(A280&lt;Calculator!$G$16,0,MIN(MIN(MOD(A280/Calculator!$F$16,1),1-MOD(A280/Calculator!$F$16,1)),ABS(MOD(A280/Calculator!$F$16,1)-0.5))),1)</f>
        <v>1</v>
      </c>
      <c r="G280" s="219" t="n">
        <f aca="false">IF(Calculator!$E$17="YES",IF(A280&lt;Calculator!$G$17,0,MIN(MIN(MOD(A280/Calculator!$F$17,1),1-MOD(A280/Calculator!$F$17,1)),ABS(MOD(A280/Calculator!$F$17,1)-0.5))),1)</f>
        <v>0.213</v>
      </c>
      <c r="H280" s="219" t="n">
        <f aca="false">IF(Calculator!$E$18="YES",IF(A280&lt;Calculator!$G$18,0,MIN(MIN(MOD(A280/Calculator!$F$18,1),1-MOD(A280/Calculator!$F$18,1)),ABS(MOD(A280/Calculator!$F$18,1)-0.5))),1)</f>
        <v>1</v>
      </c>
      <c r="I280" s="219" t="n">
        <f aca="false">IF(Calculator!$E$19="YES",IF(A280&lt;Calculator!$G$19,0,MIN(MIN(MOD(A280/Calculator!$F$19,1),1-MOD(A280/Calculator!$F$19,1)),ABS(MOD(A280/Calculator!$F$19,1)-0.5))),1)</f>
        <v>1</v>
      </c>
      <c r="J280" s="219" t="n">
        <f aca="false">IF(Calculator!$E$20="YES",IF(A280&lt;Calculator!$G$20,0,MIN(MIN(MOD(A280/Calculator!$F$20,1),1-MOD(A280/Calculator!$F$20,1)),ABS(MOD(A280/Calculator!$F$20,1)-0.5))),1)</f>
        <v>1</v>
      </c>
      <c r="K280" s="219" t="n">
        <f aca="false">IF(Calculator!$E$21="YES",IF(A280&lt;Calculator!$G$21,0,MIN(MIN(MOD(A280/Calculator!$F$21,1),1-MOD(A280/Calculator!$F$21,1)),ABS(MOD(A280/Calculator!$F$21,1)-0.5))),1)</f>
        <v>0.0393333333333326</v>
      </c>
      <c r="L280" s="219" t="n">
        <f aca="false">IF(Calculator!$E$22="YES",IF(A280&lt;Calculator!$G$22,0,MIN(MIN(MOD(A280/Calculator!$F$22,1),1-MOD(A280/Calculator!$F$22,1)),ABS(MOD(A280/Calculator!$F$22,1)-0.5))),1)</f>
        <v>1</v>
      </c>
      <c r="M280" s="219" t="n">
        <f aca="false">MIN(B280:L280)</f>
        <v>0.0393333333333326</v>
      </c>
      <c r="N280" s="219" t="n">
        <f aca="false">SUMPRODUCT(($M$7:$M$557&gt;M280)*1)+SUMPRODUCT(($M$7:$M$557=M280)*(ROW($M$7:$M$557)&lt;ROW(M280)))+1</f>
        <v>328</v>
      </c>
      <c r="O280" s="219" t="str">
        <f aca="false">IF(M280&gt;=0.2,"★★★ EXCELLENT",IF(M280&gt;=0.12,"★★  GOOD",IF(M280&gt;=0.07,"★  FAIR",IF(M280&gt;=0.025,"⚠  MARGINAL","✗  AVOID"))))</f>
        <v>⚠  MARGINAL</v>
      </c>
    </row>
    <row r="281" customFormat="false" ht="15" hidden="false" customHeight="true" outlineLevel="0" collapsed="false">
      <c r="A281" s="216" t="n">
        <v>32.4</v>
      </c>
      <c r="B281" s="217" t="n">
        <f aca="false">IF(Calculator!$E$12="YES",IF(A281&lt;Calculator!$G$12,0,MIN(MIN(MOD(A281/Calculator!$F$12,1),1-MOD(A281/Calculator!$F$12,1)),ABS(MOD(A281/Calculator!$F$12,1)-0.5))),1)</f>
        <v>1</v>
      </c>
      <c r="C281" s="217" t="n">
        <f aca="false">IF(Calculator!$E$13="YES",IF(A281&lt;Calculator!$G$13,0,MIN(MIN(MOD(A281/Calculator!$F$13,1),1-MOD(A281/Calculator!$F$13,1)),ABS(MOD(A281/Calculator!$F$13,1)-0.5))),1)</f>
        <v>1</v>
      </c>
      <c r="D281" s="217" t="n">
        <f aca="false">IF(Calculator!$E$14="YES",IF(A281&lt;Calculator!$G$14,0,MIN(MIN(MOD(A281/Calculator!$F$14,1),1-MOD(A281/Calculator!$F$14,1)),ABS(MOD(A281/Calculator!$F$14,1)-0.5))),1)</f>
        <v>1</v>
      </c>
      <c r="E281" s="217" t="n">
        <f aca="false">IF(Calculator!$E$15="YES",IF(A281&lt;Calculator!$G$15,0,MIN(MIN(MOD(A281/Calculator!$F$15,1),1-MOD(A281/Calculator!$F$15,1)),ABS(MOD(A281/Calculator!$F$15,1)-0.5))),1)</f>
        <v>0.125684210526316</v>
      </c>
      <c r="F281" s="217" t="n">
        <f aca="false">IF(Calculator!$E$16="YES",IF(A281&lt;Calculator!$G$16,0,MIN(MIN(MOD(A281/Calculator!$F$16,1),1-MOD(A281/Calculator!$F$16,1)),ABS(MOD(A281/Calculator!$F$16,1)-0.5))),1)</f>
        <v>1</v>
      </c>
      <c r="G281" s="217" t="n">
        <f aca="false">IF(Calculator!$E$17="YES",IF(A281&lt;Calculator!$G$17,0,MIN(MIN(MOD(A281/Calculator!$F$17,1),1-MOD(A281/Calculator!$F$17,1)),ABS(MOD(A281/Calculator!$F$17,1)-0.5))),1)</f>
        <v>0.222947368421053</v>
      </c>
      <c r="H281" s="217" t="n">
        <f aca="false">IF(Calculator!$E$18="YES",IF(A281&lt;Calculator!$G$18,0,MIN(MIN(MOD(A281/Calculator!$F$18,1),1-MOD(A281/Calculator!$F$18,1)),ABS(MOD(A281/Calculator!$F$18,1)-0.5))),1)</f>
        <v>1</v>
      </c>
      <c r="I281" s="217" t="n">
        <f aca="false">IF(Calculator!$E$19="YES",IF(A281&lt;Calculator!$G$19,0,MIN(MIN(MOD(A281/Calculator!$F$19,1),1-MOD(A281/Calculator!$F$19,1)),ABS(MOD(A281/Calculator!$F$19,1)-0.5))),1)</f>
        <v>1</v>
      </c>
      <c r="J281" s="217" t="n">
        <f aca="false">IF(Calculator!$E$20="YES",IF(A281&lt;Calculator!$G$20,0,MIN(MIN(MOD(A281/Calculator!$F$20,1),1-MOD(A281/Calculator!$F$20,1)),ABS(MOD(A281/Calculator!$F$20,1)-0.5))),1)</f>
        <v>1</v>
      </c>
      <c r="K281" s="217" t="n">
        <f aca="false">IF(Calculator!$E$21="YES",IF(A281&lt;Calculator!$G$21,0,MIN(MIN(MOD(A281/Calculator!$F$21,1),1-MOD(A281/Calculator!$F$21,1)),ABS(MOD(A281/Calculator!$F$21,1)-0.5))),1)</f>
        <v>0.0595789473684203</v>
      </c>
      <c r="L281" s="217" t="n">
        <f aca="false">IF(Calculator!$E$22="YES",IF(A281&lt;Calculator!$G$22,0,MIN(MIN(MOD(A281/Calculator!$F$22,1),1-MOD(A281/Calculator!$F$22,1)),ABS(MOD(A281/Calculator!$F$22,1)-0.5))),1)</f>
        <v>1</v>
      </c>
      <c r="M281" s="217" t="n">
        <f aca="false">MIN(B281:L281)</f>
        <v>0.0595789473684203</v>
      </c>
      <c r="N281" s="217" t="n">
        <f aca="false">SUMPRODUCT(($M$7:$M$557&gt;M281)*1)+SUMPRODUCT(($M$7:$M$557=M281)*(ROW($M$7:$M$557)&lt;ROW(M281)))+1</f>
        <v>247</v>
      </c>
      <c r="O281" s="217" t="str">
        <f aca="false">IF(M281&gt;=0.2,"★★★ EXCELLENT",IF(M281&gt;=0.12,"★★  GOOD",IF(M281&gt;=0.07,"★  FAIR",IF(M281&gt;=0.025,"⚠  MARGINAL","✗  AVOID"))))</f>
        <v>⚠  MARGINAL</v>
      </c>
    </row>
    <row r="282" customFormat="false" ht="15" hidden="false" customHeight="true" outlineLevel="0" collapsed="false">
      <c r="A282" s="218" t="n">
        <v>32.5</v>
      </c>
      <c r="B282" s="219" t="n">
        <f aca="false">IF(Calculator!$E$12="YES",IF(A282&lt;Calculator!$G$12,0,MIN(MIN(MOD(A282/Calculator!$F$12,1),1-MOD(A282/Calculator!$F$12,1)),ABS(MOD(A282/Calculator!$F$12,1)-0.5))),1)</f>
        <v>1</v>
      </c>
      <c r="C282" s="219" t="n">
        <f aca="false">IF(Calculator!$E$13="YES",IF(A282&lt;Calculator!$G$13,0,MIN(MIN(MOD(A282/Calculator!$F$13,1),1-MOD(A282/Calculator!$F$13,1)),ABS(MOD(A282/Calculator!$F$13,1)-0.5))),1)</f>
        <v>1</v>
      </c>
      <c r="D282" s="219" t="n">
        <f aca="false">IF(Calculator!$E$14="YES",IF(A282&lt;Calculator!$G$14,0,MIN(MIN(MOD(A282/Calculator!$F$14,1),1-MOD(A282/Calculator!$F$14,1)),ABS(MOD(A282/Calculator!$F$14,1)-0.5))),1)</f>
        <v>1</v>
      </c>
      <c r="E282" s="219" t="n">
        <f aca="false">IF(Calculator!$E$15="YES",IF(A282&lt;Calculator!$G$15,0,MIN(MIN(MOD(A282/Calculator!$F$15,1),1-MOD(A282/Calculator!$F$15,1)),ABS(MOD(A282/Calculator!$F$15,1)-0.5))),1)</f>
        <v>0.130701754385965</v>
      </c>
      <c r="F282" s="219" t="n">
        <f aca="false">IF(Calculator!$E$16="YES",IF(A282&lt;Calculator!$G$16,0,MIN(MIN(MOD(A282/Calculator!$F$16,1),1-MOD(A282/Calculator!$F$16,1)),ABS(MOD(A282/Calculator!$F$16,1)-0.5))),1)</f>
        <v>1</v>
      </c>
      <c r="G282" s="219" t="n">
        <f aca="false">IF(Calculator!$E$17="YES",IF(A282&lt;Calculator!$G$17,0,MIN(MIN(MOD(A282/Calculator!$F$17,1),1-MOD(A282/Calculator!$F$17,1)),ABS(MOD(A282/Calculator!$F$17,1)-0.5))),1)</f>
        <v>0.232894736842106</v>
      </c>
      <c r="H282" s="219" t="n">
        <f aca="false">IF(Calculator!$E$18="YES",IF(A282&lt;Calculator!$G$18,0,MIN(MIN(MOD(A282/Calculator!$F$18,1),1-MOD(A282/Calculator!$F$18,1)),ABS(MOD(A282/Calculator!$F$18,1)-0.5))),1)</f>
        <v>1</v>
      </c>
      <c r="I282" s="219" t="n">
        <f aca="false">IF(Calculator!$E$19="YES",IF(A282&lt;Calculator!$G$19,0,MIN(MIN(MOD(A282/Calculator!$F$19,1),1-MOD(A282/Calculator!$F$19,1)),ABS(MOD(A282/Calculator!$F$19,1)-0.5))),1)</f>
        <v>1</v>
      </c>
      <c r="J282" s="219" t="n">
        <f aca="false">IF(Calculator!$E$20="YES",IF(A282&lt;Calculator!$G$20,0,MIN(MIN(MOD(A282/Calculator!$F$20,1),1-MOD(A282/Calculator!$F$20,1)),ABS(MOD(A282/Calculator!$F$20,1)-0.5))),1)</f>
        <v>1</v>
      </c>
      <c r="K282" s="219" t="n">
        <f aca="false">IF(Calculator!$E$21="YES",IF(A282&lt;Calculator!$G$21,0,MIN(MIN(MOD(A282/Calculator!$F$21,1),1-MOD(A282/Calculator!$F$21,1)),ABS(MOD(A282/Calculator!$F$21,1)-0.5))),1)</f>
        <v>0.0798245614035089</v>
      </c>
      <c r="L282" s="219" t="n">
        <f aca="false">IF(Calculator!$E$22="YES",IF(A282&lt;Calculator!$G$22,0,MIN(MIN(MOD(A282/Calculator!$F$22,1),1-MOD(A282/Calculator!$F$22,1)),ABS(MOD(A282/Calculator!$F$22,1)-0.5))),1)</f>
        <v>1</v>
      </c>
      <c r="M282" s="219" t="n">
        <f aca="false">MIN(B282:L282)</f>
        <v>0.0798245614035089</v>
      </c>
      <c r="N282" s="219" t="n">
        <f aca="false">SUMPRODUCT(($M$7:$M$557&gt;M282)*1)+SUMPRODUCT(($M$7:$M$557=M282)*(ROW($M$7:$M$557)&lt;ROW(M282)))+1</f>
        <v>170</v>
      </c>
      <c r="O282" s="219" t="str">
        <f aca="false">IF(M282&gt;=0.2,"★★★ EXCELLENT",IF(M282&gt;=0.12,"★★  GOOD",IF(M282&gt;=0.07,"★  FAIR",IF(M282&gt;=0.025,"⚠  MARGINAL","✗  AVOID"))))</f>
        <v>★  FAIR</v>
      </c>
    </row>
    <row r="283" customFormat="false" ht="15" hidden="false" customHeight="true" outlineLevel="0" collapsed="false">
      <c r="A283" s="216" t="n">
        <v>32.6</v>
      </c>
      <c r="B283" s="217" t="n">
        <f aca="false">IF(Calculator!$E$12="YES",IF(A283&lt;Calculator!$G$12,0,MIN(MIN(MOD(A283/Calculator!$F$12,1),1-MOD(A283/Calculator!$F$12,1)),ABS(MOD(A283/Calculator!$F$12,1)-0.5))),1)</f>
        <v>1</v>
      </c>
      <c r="C283" s="217" t="n">
        <f aca="false">IF(Calculator!$E$13="YES",IF(A283&lt;Calculator!$G$13,0,MIN(MIN(MOD(A283/Calculator!$F$13,1),1-MOD(A283/Calculator!$F$13,1)),ABS(MOD(A283/Calculator!$F$13,1)-0.5))),1)</f>
        <v>1</v>
      </c>
      <c r="D283" s="217" t="n">
        <f aca="false">IF(Calculator!$E$14="YES",IF(A283&lt;Calculator!$G$14,0,MIN(MIN(MOD(A283/Calculator!$F$14,1),1-MOD(A283/Calculator!$F$14,1)),ABS(MOD(A283/Calculator!$F$14,1)-0.5))),1)</f>
        <v>1</v>
      </c>
      <c r="E283" s="217" t="n">
        <f aca="false">IF(Calculator!$E$15="YES",IF(A283&lt;Calculator!$G$15,0,MIN(MIN(MOD(A283/Calculator!$F$15,1),1-MOD(A283/Calculator!$F$15,1)),ABS(MOD(A283/Calculator!$F$15,1)-0.5))),1)</f>
        <v>0.135719298245614</v>
      </c>
      <c r="F283" s="217" t="n">
        <f aca="false">IF(Calculator!$E$16="YES",IF(A283&lt;Calculator!$G$16,0,MIN(MIN(MOD(A283/Calculator!$F$16,1),1-MOD(A283/Calculator!$F$16,1)),ABS(MOD(A283/Calculator!$F$16,1)-0.5))),1)</f>
        <v>1</v>
      </c>
      <c r="G283" s="217" t="n">
        <f aca="false">IF(Calculator!$E$17="YES",IF(A283&lt;Calculator!$G$17,0,MIN(MIN(MOD(A283/Calculator!$F$17,1),1-MOD(A283/Calculator!$F$17,1)),ABS(MOD(A283/Calculator!$F$17,1)-0.5))),1)</f>
        <v>0.242842105263158</v>
      </c>
      <c r="H283" s="217" t="n">
        <f aca="false">IF(Calculator!$E$18="YES",IF(A283&lt;Calculator!$G$18,0,MIN(MIN(MOD(A283/Calculator!$F$18,1),1-MOD(A283/Calculator!$F$18,1)),ABS(MOD(A283/Calculator!$F$18,1)-0.5))),1)</f>
        <v>1</v>
      </c>
      <c r="I283" s="217" t="n">
        <f aca="false">IF(Calculator!$E$19="YES",IF(A283&lt;Calculator!$G$19,0,MIN(MIN(MOD(A283/Calculator!$F$19,1),1-MOD(A283/Calculator!$F$19,1)),ABS(MOD(A283/Calculator!$F$19,1)-0.5))),1)</f>
        <v>1</v>
      </c>
      <c r="J283" s="217" t="n">
        <f aca="false">IF(Calculator!$E$20="YES",IF(A283&lt;Calculator!$G$20,0,MIN(MIN(MOD(A283/Calculator!$F$20,1),1-MOD(A283/Calculator!$F$20,1)),ABS(MOD(A283/Calculator!$F$20,1)-0.5))),1)</f>
        <v>1</v>
      </c>
      <c r="K283" s="217" t="n">
        <f aca="false">IF(Calculator!$E$21="YES",IF(A283&lt;Calculator!$G$21,0,MIN(MIN(MOD(A283/Calculator!$F$21,1),1-MOD(A283/Calculator!$F$21,1)),ABS(MOD(A283/Calculator!$F$21,1)-0.5))),1)</f>
        <v>0.100070175438597</v>
      </c>
      <c r="L283" s="217" t="n">
        <f aca="false">IF(Calculator!$E$22="YES",IF(A283&lt;Calculator!$G$22,0,MIN(MIN(MOD(A283/Calculator!$F$22,1),1-MOD(A283/Calculator!$F$22,1)),ABS(MOD(A283/Calculator!$F$22,1)-0.5))),1)</f>
        <v>1</v>
      </c>
      <c r="M283" s="217" t="n">
        <f aca="false">MIN(B283:L283)</f>
        <v>0.100070175438597</v>
      </c>
      <c r="N283" s="217" t="n">
        <f aca="false">SUMPRODUCT(($M$7:$M$557&gt;M283)*1)+SUMPRODUCT(($M$7:$M$557=M283)*(ROW($M$7:$M$557)&lt;ROW(M283)))+1</f>
        <v>107</v>
      </c>
      <c r="O283" s="217" t="str">
        <f aca="false">IF(M283&gt;=0.2,"★★★ EXCELLENT",IF(M283&gt;=0.12,"★★  GOOD",IF(M283&gt;=0.07,"★  FAIR",IF(M283&gt;=0.025,"⚠  MARGINAL","✗  AVOID"))))</f>
        <v>★  FAIR</v>
      </c>
    </row>
    <row r="284" customFormat="false" ht="15" hidden="false" customHeight="true" outlineLevel="0" collapsed="false">
      <c r="A284" s="218" t="n">
        <v>32.7</v>
      </c>
      <c r="B284" s="219" t="n">
        <f aca="false">IF(Calculator!$E$12="YES",IF(A284&lt;Calculator!$G$12,0,MIN(MIN(MOD(A284/Calculator!$F$12,1),1-MOD(A284/Calculator!$F$12,1)),ABS(MOD(A284/Calculator!$F$12,1)-0.5))),1)</f>
        <v>1</v>
      </c>
      <c r="C284" s="219" t="n">
        <f aca="false">IF(Calculator!$E$13="YES",IF(A284&lt;Calculator!$G$13,0,MIN(MIN(MOD(A284/Calculator!$F$13,1),1-MOD(A284/Calculator!$F$13,1)),ABS(MOD(A284/Calculator!$F$13,1)-0.5))),1)</f>
        <v>1</v>
      </c>
      <c r="D284" s="219" t="n">
        <f aca="false">IF(Calculator!$E$14="YES",IF(A284&lt;Calculator!$G$14,0,MIN(MIN(MOD(A284/Calculator!$F$14,1),1-MOD(A284/Calculator!$F$14,1)),ABS(MOD(A284/Calculator!$F$14,1)-0.5))),1)</f>
        <v>1</v>
      </c>
      <c r="E284" s="219" t="n">
        <f aca="false">IF(Calculator!$E$15="YES",IF(A284&lt;Calculator!$G$15,0,MIN(MIN(MOD(A284/Calculator!$F$15,1),1-MOD(A284/Calculator!$F$15,1)),ABS(MOD(A284/Calculator!$F$15,1)-0.5))),1)</f>
        <v>0.140736842105263</v>
      </c>
      <c r="F284" s="219" t="n">
        <f aca="false">IF(Calculator!$E$16="YES",IF(A284&lt;Calculator!$G$16,0,MIN(MIN(MOD(A284/Calculator!$F$16,1),1-MOD(A284/Calculator!$F$16,1)),ABS(MOD(A284/Calculator!$F$16,1)-0.5))),1)</f>
        <v>1</v>
      </c>
      <c r="G284" s="219" t="n">
        <f aca="false">IF(Calculator!$E$17="YES",IF(A284&lt;Calculator!$G$17,0,MIN(MIN(MOD(A284/Calculator!$F$17,1),1-MOD(A284/Calculator!$F$17,1)),ABS(MOD(A284/Calculator!$F$17,1)-0.5))),1)</f>
        <v>0.247210526315789</v>
      </c>
      <c r="H284" s="219" t="n">
        <f aca="false">IF(Calculator!$E$18="YES",IF(A284&lt;Calculator!$G$18,0,MIN(MIN(MOD(A284/Calculator!$F$18,1),1-MOD(A284/Calculator!$F$18,1)),ABS(MOD(A284/Calculator!$F$18,1)-0.5))),1)</f>
        <v>1</v>
      </c>
      <c r="I284" s="219" t="n">
        <f aca="false">IF(Calculator!$E$19="YES",IF(A284&lt;Calculator!$G$19,0,MIN(MIN(MOD(A284/Calculator!$F$19,1),1-MOD(A284/Calculator!$F$19,1)),ABS(MOD(A284/Calculator!$F$19,1)-0.5))),1)</f>
        <v>1</v>
      </c>
      <c r="J284" s="219" t="n">
        <f aca="false">IF(Calculator!$E$20="YES",IF(A284&lt;Calculator!$G$20,0,MIN(MIN(MOD(A284/Calculator!$F$20,1),1-MOD(A284/Calculator!$F$20,1)),ABS(MOD(A284/Calculator!$F$20,1)-0.5))),1)</f>
        <v>1</v>
      </c>
      <c r="K284" s="219" t="n">
        <f aca="false">IF(Calculator!$E$21="YES",IF(A284&lt;Calculator!$G$21,0,MIN(MIN(MOD(A284/Calculator!$F$21,1),1-MOD(A284/Calculator!$F$21,1)),ABS(MOD(A284/Calculator!$F$21,1)-0.5))),1)</f>
        <v>0.120315789473684</v>
      </c>
      <c r="L284" s="219" t="n">
        <f aca="false">IF(Calculator!$E$22="YES",IF(A284&lt;Calculator!$G$22,0,MIN(MIN(MOD(A284/Calculator!$F$22,1),1-MOD(A284/Calculator!$F$22,1)),ABS(MOD(A284/Calculator!$F$22,1)-0.5))),1)</f>
        <v>1</v>
      </c>
      <c r="M284" s="219" t="n">
        <f aca="false">MIN(B284:L284)</f>
        <v>0.120315789473684</v>
      </c>
      <c r="N284" s="219" t="n">
        <f aca="false">SUMPRODUCT(($M$7:$M$557&gt;M284)*1)+SUMPRODUCT(($M$7:$M$557=M284)*(ROW($M$7:$M$557)&lt;ROW(M284)))+1</f>
        <v>66</v>
      </c>
      <c r="O284" s="219" t="str">
        <f aca="false">IF(M284&gt;=0.2,"★★★ EXCELLENT",IF(M284&gt;=0.12,"★★  GOOD",IF(M284&gt;=0.07,"★  FAIR",IF(M284&gt;=0.025,"⚠  MARGINAL","✗  AVOID"))))</f>
        <v>★★  GOOD</v>
      </c>
    </row>
    <row r="285" customFormat="false" ht="15" hidden="false" customHeight="true" outlineLevel="0" collapsed="false">
      <c r="A285" s="216" t="n">
        <v>32.8</v>
      </c>
      <c r="B285" s="217" t="n">
        <f aca="false">IF(Calculator!$E$12="YES",IF(A285&lt;Calculator!$G$12,0,MIN(MIN(MOD(A285/Calculator!$F$12,1),1-MOD(A285/Calculator!$F$12,1)),ABS(MOD(A285/Calculator!$F$12,1)-0.5))),1)</f>
        <v>1</v>
      </c>
      <c r="C285" s="217" t="n">
        <f aca="false">IF(Calculator!$E$13="YES",IF(A285&lt;Calculator!$G$13,0,MIN(MIN(MOD(A285/Calculator!$F$13,1),1-MOD(A285/Calculator!$F$13,1)),ABS(MOD(A285/Calculator!$F$13,1)-0.5))),1)</f>
        <v>1</v>
      </c>
      <c r="D285" s="217" t="n">
        <f aca="false">IF(Calculator!$E$14="YES",IF(A285&lt;Calculator!$G$14,0,MIN(MIN(MOD(A285/Calculator!$F$14,1),1-MOD(A285/Calculator!$F$14,1)),ABS(MOD(A285/Calculator!$F$14,1)-0.5))),1)</f>
        <v>1</v>
      </c>
      <c r="E285" s="217" t="n">
        <f aca="false">IF(Calculator!$E$15="YES",IF(A285&lt;Calculator!$G$15,0,MIN(MIN(MOD(A285/Calculator!$F$15,1),1-MOD(A285/Calculator!$F$15,1)),ABS(MOD(A285/Calculator!$F$15,1)-0.5))),1)</f>
        <v>0.145754385964912</v>
      </c>
      <c r="F285" s="217" t="n">
        <f aca="false">IF(Calculator!$E$16="YES",IF(A285&lt;Calculator!$G$16,0,MIN(MIN(MOD(A285/Calculator!$F$16,1),1-MOD(A285/Calculator!$F$16,1)),ABS(MOD(A285/Calculator!$F$16,1)-0.5))),1)</f>
        <v>1</v>
      </c>
      <c r="G285" s="217" t="n">
        <f aca="false">IF(Calculator!$E$17="YES",IF(A285&lt;Calculator!$G$17,0,MIN(MIN(MOD(A285/Calculator!$F$17,1),1-MOD(A285/Calculator!$F$17,1)),ABS(MOD(A285/Calculator!$F$17,1)-0.5))),1)</f>
        <v>0.237263157894737</v>
      </c>
      <c r="H285" s="217" t="n">
        <f aca="false">IF(Calculator!$E$18="YES",IF(A285&lt;Calculator!$G$18,0,MIN(MIN(MOD(A285/Calculator!$F$18,1),1-MOD(A285/Calculator!$F$18,1)),ABS(MOD(A285/Calculator!$F$18,1)-0.5))),1)</f>
        <v>1</v>
      </c>
      <c r="I285" s="217" t="n">
        <f aca="false">IF(Calculator!$E$19="YES",IF(A285&lt;Calculator!$G$19,0,MIN(MIN(MOD(A285/Calculator!$F$19,1),1-MOD(A285/Calculator!$F$19,1)),ABS(MOD(A285/Calculator!$F$19,1)-0.5))),1)</f>
        <v>1</v>
      </c>
      <c r="J285" s="217" t="n">
        <f aca="false">IF(Calculator!$E$20="YES",IF(A285&lt;Calculator!$G$20,0,MIN(MIN(MOD(A285/Calculator!$F$20,1),1-MOD(A285/Calculator!$F$20,1)),ABS(MOD(A285/Calculator!$F$20,1)-0.5))),1)</f>
        <v>1</v>
      </c>
      <c r="K285" s="217" t="n">
        <f aca="false">IF(Calculator!$E$21="YES",IF(A285&lt;Calculator!$G$21,0,MIN(MIN(MOD(A285/Calculator!$F$21,1),1-MOD(A285/Calculator!$F$21,1)),ABS(MOD(A285/Calculator!$F$21,1)-0.5))),1)</f>
        <v>0.140561403508771</v>
      </c>
      <c r="L285" s="217" t="n">
        <f aca="false">IF(Calculator!$E$22="YES",IF(A285&lt;Calculator!$G$22,0,MIN(MIN(MOD(A285/Calculator!$F$22,1),1-MOD(A285/Calculator!$F$22,1)),ABS(MOD(A285/Calculator!$F$22,1)-0.5))),1)</f>
        <v>1</v>
      </c>
      <c r="M285" s="217" t="n">
        <f aca="false">MIN(B285:L285)</f>
        <v>0.140561403508771</v>
      </c>
      <c r="N285" s="217" t="n">
        <f aca="false">SUMPRODUCT(($M$7:$M$557&gt;M285)*1)+SUMPRODUCT(($M$7:$M$557=M285)*(ROW($M$7:$M$557)&lt;ROW(M285)))+1</f>
        <v>46</v>
      </c>
      <c r="O285" s="217" t="str">
        <f aca="false">IF(M285&gt;=0.2,"★★★ EXCELLENT",IF(M285&gt;=0.12,"★★  GOOD",IF(M285&gt;=0.07,"★  FAIR",IF(M285&gt;=0.025,"⚠  MARGINAL","✗  AVOID"))))</f>
        <v>★★  GOOD</v>
      </c>
    </row>
    <row r="286" customFormat="false" ht="15" hidden="false" customHeight="true" outlineLevel="0" collapsed="false">
      <c r="A286" s="218" t="n">
        <v>32.9</v>
      </c>
      <c r="B286" s="219" t="n">
        <f aca="false">IF(Calculator!$E$12="YES",IF(A286&lt;Calculator!$G$12,0,MIN(MIN(MOD(A286/Calculator!$F$12,1),1-MOD(A286/Calculator!$F$12,1)),ABS(MOD(A286/Calculator!$F$12,1)-0.5))),1)</f>
        <v>1</v>
      </c>
      <c r="C286" s="219" t="n">
        <f aca="false">IF(Calculator!$E$13="YES",IF(A286&lt;Calculator!$G$13,0,MIN(MIN(MOD(A286/Calculator!$F$13,1),1-MOD(A286/Calculator!$F$13,1)),ABS(MOD(A286/Calculator!$F$13,1)-0.5))),1)</f>
        <v>1</v>
      </c>
      <c r="D286" s="219" t="n">
        <f aca="false">IF(Calculator!$E$14="YES",IF(A286&lt;Calculator!$G$14,0,MIN(MIN(MOD(A286/Calculator!$F$14,1),1-MOD(A286/Calculator!$F$14,1)),ABS(MOD(A286/Calculator!$F$14,1)-0.5))),1)</f>
        <v>1</v>
      </c>
      <c r="E286" s="219" t="n">
        <f aca="false">IF(Calculator!$E$15="YES",IF(A286&lt;Calculator!$G$15,0,MIN(MIN(MOD(A286/Calculator!$F$15,1),1-MOD(A286/Calculator!$F$15,1)),ABS(MOD(A286/Calculator!$F$15,1)-0.5))),1)</f>
        <v>0.150771929824561</v>
      </c>
      <c r="F286" s="219" t="n">
        <f aca="false">IF(Calculator!$E$16="YES",IF(A286&lt;Calculator!$G$16,0,MIN(MIN(MOD(A286/Calculator!$F$16,1),1-MOD(A286/Calculator!$F$16,1)),ABS(MOD(A286/Calculator!$F$16,1)-0.5))),1)</f>
        <v>1</v>
      </c>
      <c r="G286" s="219" t="n">
        <f aca="false">IF(Calculator!$E$17="YES",IF(A286&lt;Calculator!$G$17,0,MIN(MIN(MOD(A286/Calculator!$F$17,1),1-MOD(A286/Calculator!$F$17,1)),ABS(MOD(A286/Calculator!$F$17,1)-0.5))),1)</f>
        <v>0.227315789473684</v>
      </c>
      <c r="H286" s="219" t="n">
        <f aca="false">IF(Calculator!$E$18="YES",IF(A286&lt;Calculator!$G$18,0,MIN(MIN(MOD(A286/Calculator!$F$18,1),1-MOD(A286/Calculator!$F$18,1)),ABS(MOD(A286/Calculator!$F$18,1)-0.5))),1)</f>
        <v>1</v>
      </c>
      <c r="I286" s="219" t="n">
        <f aca="false">IF(Calculator!$E$19="YES",IF(A286&lt;Calculator!$G$19,0,MIN(MIN(MOD(A286/Calculator!$F$19,1),1-MOD(A286/Calculator!$F$19,1)),ABS(MOD(A286/Calculator!$F$19,1)-0.5))),1)</f>
        <v>1</v>
      </c>
      <c r="J286" s="219" t="n">
        <f aca="false">IF(Calculator!$E$20="YES",IF(A286&lt;Calculator!$G$20,0,MIN(MIN(MOD(A286/Calculator!$F$20,1),1-MOD(A286/Calculator!$F$20,1)),ABS(MOD(A286/Calculator!$F$20,1)-0.5))),1)</f>
        <v>1</v>
      </c>
      <c r="K286" s="219" t="n">
        <f aca="false">IF(Calculator!$E$21="YES",IF(A286&lt;Calculator!$G$21,0,MIN(MIN(MOD(A286/Calculator!$F$21,1),1-MOD(A286/Calculator!$F$21,1)),ABS(MOD(A286/Calculator!$F$21,1)-0.5))),1)</f>
        <v>0.160807017543859</v>
      </c>
      <c r="L286" s="219" t="n">
        <f aca="false">IF(Calculator!$E$22="YES",IF(A286&lt;Calculator!$G$22,0,MIN(MIN(MOD(A286/Calculator!$F$22,1),1-MOD(A286/Calculator!$F$22,1)),ABS(MOD(A286/Calculator!$F$22,1)-0.5))),1)</f>
        <v>1</v>
      </c>
      <c r="M286" s="219" t="n">
        <f aca="false">MIN(B286:L286)</f>
        <v>0.150771929824561</v>
      </c>
      <c r="N286" s="219" t="n">
        <f aca="false">SUMPRODUCT(($M$7:$M$557&gt;M286)*1)+SUMPRODUCT(($M$7:$M$557=M286)*(ROW($M$7:$M$557)&lt;ROW(M286)))+1</f>
        <v>36</v>
      </c>
      <c r="O286" s="219" t="str">
        <f aca="false">IF(M286&gt;=0.2,"★★★ EXCELLENT",IF(M286&gt;=0.12,"★★  GOOD",IF(M286&gt;=0.07,"★  FAIR",IF(M286&gt;=0.025,"⚠  MARGINAL","✗  AVOID"))))</f>
        <v>★★  GOOD</v>
      </c>
    </row>
    <row r="287" customFormat="false" ht="15" hidden="false" customHeight="true" outlineLevel="0" collapsed="false">
      <c r="A287" s="216" t="n">
        <v>33</v>
      </c>
      <c r="B287" s="217" t="n">
        <f aca="false">IF(Calculator!$E$12="YES",IF(A287&lt;Calculator!$G$12,0,MIN(MIN(MOD(A287/Calculator!$F$12,1),1-MOD(A287/Calculator!$F$12,1)),ABS(MOD(A287/Calculator!$F$12,1)-0.5))),1)</f>
        <v>1</v>
      </c>
      <c r="C287" s="217" t="n">
        <f aca="false">IF(Calculator!$E$13="YES",IF(A287&lt;Calculator!$G$13,0,MIN(MIN(MOD(A287/Calculator!$F$13,1),1-MOD(A287/Calculator!$F$13,1)),ABS(MOD(A287/Calculator!$F$13,1)-0.5))),1)</f>
        <v>1</v>
      </c>
      <c r="D287" s="217" t="n">
        <f aca="false">IF(Calculator!$E$14="YES",IF(A287&lt;Calculator!$G$14,0,MIN(MIN(MOD(A287/Calculator!$F$14,1),1-MOD(A287/Calculator!$F$14,1)),ABS(MOD(A287/Calculator!$F$14,1)-0.5))),1)</f>
        <v>1</v>
      </c>
      <c r="E287" s="217" t="n">
        <f aca="false">IF(Calculator!$E$15="YES",IF(A287&lt;Calculator!$G$15,0,MIN(MIN(MOD(A287/Calculator!$F$15,1),1-MOD(A287/Calculator!$F$15,1)),ABS(MOD(A287/Calculator!$F$15,1)-0.5))),1)</f>
        <v>0.15578947368421</v>
      </c>
      <c r="F287" s="217" t="n">
        <f aca="false">IF(Calculator!$E$16="YES",IF(A287&lt;Calculator!$G$16,0,MIN(MIN(MOD(A287/Calculator!$F$16,1),1-MOD(A287/Calculator!$F$16,1)),ABS(MOD(A287/Calculator!$F$16,1)-0.5))),1)</f>
        <v>1</v>
      </c>
      <c r="G287" s="217" t="n">
        <f aca="false">IF(Calculator!$E$17="YES",IF(A287&lt;Calculator!$G$17,0,MIN(MIN(MOD(A287/Calculator!$F$17,1),1-MOD(A287/Calculator!$F$17,1)),ABS(MOD(A287/Calculator!$F$17,1)-0.5))),1)</f>
        <v>0.217368421052631</v>
      </c>
      <c r="H287" s="217" t="n">
        <f aca="false">IF(Calculator!$E$18="YES",IF(A287&lt;Calculator!$G$18,0,MIN(MIN(MOD(A287/Calculator!$F$18,1),1-MOD(A287/Calculator!$F$18,1)),ABS(MOD(A287/Calculator!$F$18,1)-0.5))),1)</f>
        <v>1</v>
      </c>
      <c r="I287" s="217" t="n">
        <f aca="false">IF(Calculator!$E$19="YES",IF(A287&lt;Calculator!$G$19,0,MIN(MIN(MOD(A287/Calculator!$F$19,1),1-MOD(A287/Calculator!$F$19,1)),ABS(MOD(A287/Calculator!$F$19,1)-0.5))),1)</f>
        <v>1</v>
      </c>
      <c r="J287" s="217" t="n">
        <f aca="false">IF(Calculator!$E$20="YES",IF(A287&lt;Calculator!$G$20,0,MIN(MIN(MOD(A287/Calculator!$F$20,1),1-MOD(A287/Calculator!$F$20,1)),ABS(MOD(A287/Calculator!$F$20,1)-0.5))),1)</f>
        <v>1</v>
      </c>
      <c r="K287" s="217" t="n">
        <f aca="false">IF(Calculator!$E$21="YES",IF(A287&lt;Calculator!$G$21,0,MIN(MIN(MOD(A287/Calculator!$F$21,1),1-MOD(A287/Calculator!$F$21,1)),ABS(MOD(A287/Calculator!$F$21,1)-0.5))),1)</f>
        <v>0.181052631578948</v>
      </c>
      <c r="L287" s="217" t="n">
        <f aca="false">IF(Calculator!$E$22="YES",IF(A287&lt;Calculator!$G$22,0,MIN(MIN(MOD(A287/Calculator!$F$22,1),1-MOD(A287/Calculator!$F$22,1)),ABS(MOD(A287/Calculator!$F$22,1)-0.5))),1)</f>
        <v>1</v>
      </c>
      <c r="M287" s="217" t="n">
        <f aca="false">MIN(B287:L287)</f>
        <v>0.15578947368421</v>
      </c>
      <c r="N287" s="217" t="n">
        <f aca="false">SUMPRODUCT(($M$7:$M$557&gt;M287)*1)+SUMPRODUCT(($M$7:$M$557=M287)*(ROW($M$7:$M$557)&lt;ROW(M287)))+1</f>
        <v>29</v>
      </c>
      <c r="O287" s="217" t="str">
        <f aca="false">IF(M287&gt;=0.2,"★★★ EXCELLENT",IF(M287&gt;=0.12,"★★  GOOD",IF(M287&gt;=0.07,"★  FAIR",IF(M287&gt;=0.025,"⚠  MARGINAL","✗  AVOID"))))</f>
        <v>★★  GOOD</v>
      </c>
    </row>
    <row r="288" customFormat="false" ht="15" hidden="false" customHeight="true" outlineLevel="0" collapsed="false">
      <c r="A288" s="218" t="n">
        <v>33.1</v>
      </c>
      <c r="B288" s="219" t="n">
        <f aca="false">IF(Calculator!$E$12="YES",IF(A288&lt;Calculator!$G$12,0,MIN(MIN(MOD(A288/Calculator!$F$12,1),1-MOD(A288/Calculator!$F$12,1)),ABS(MOD(A288/Calculator!$F$12,1)-0.5))),1)</f>
        <v>1</v>
      </c>
      <c r="C288" s="219" t="n">
        <f aca="false">IF(Calculator!$E$13="YES",IF(A288&lt;Calculator!$G$13,0,MIN(MIN(MOD(A288/Calculator!$F$13,1),1-MOD(A288/Calculator!$F$13,1)),ABS(MOD(A288/Calculator!$F$13,1)-0.5))),1)</f>
        <v>1</v>
      </c>
      <c r="D288" s="219" t="n">
        <f aca="false">IF(Calculator!$E$14="YES",IF(A288&lt;Calculator!$G$14,0,MIN(MIN(MOD(A288/Calculator!$F$14,1),1-MOD(A288/Calculator!$F$14,1)),ABS(MOD(A288/Calculator!$F$14,1)-0.5))),1)</f>
        <v>1</v>
      </c>
      <c r="E288" s="219" t="n">
        <f aca="false">IF(Calculator!$E$15="YES",IF(A288&lt;Calculator!$G$15,0,MIN(MIN(MOD(A288/Calculator!$F$15,1),1-MOD(A288/Calculator!$F$15,1)),ABS(MOD(A288/Calculator!$F$15,1)-0.5))),1)</f>
        <v>0.16080701754386</v>
      </c>
      <c r="F288" s="219" t="n">
        <f aca="false">IF(Calculator!$E$16="YES",IF(A288&lt;Calculator!$G$16,0,MIN(MIN(MOD(A288/Calculator!$F$16,1),1-MOD(A288/Calculator!$F$16,1)),ABS(MOD(A288/Calculator!$F$16,1)-0.5))),1)</f>
        <v>1</v>
      </c>
      <c r="G288" s="219" t="n">
        <f aca="false">IF(Calculator!$E$17="YES",IF(A288&lt;Calculator!$G$17,0,MIN(MIN(MOD(A288/Calculator!$F$17,1),1-MOD(A288/Calculator!$F$17,1)),ABS(MOD(A288/Calculator!$F$17,1)-0.5))),1)</f>
        <v>0.207421052631579</v>
      </c>
      <c r="H288" s="219" t="n">
        <f aca="false">IF(Calculator!$E$18="YES",IF(A288&lt;Calculator!$G$18,0,MIN(MIN(MOD(A288/Calculator!$F$18,1),1-MOD(A288/Calculator!$F$18,1)),ABS(MOD(A288/Calculator!$F$18,1)-0.5))),1)</f>
        <v>1</v>
      </c>
      <c r="I288" s="219" t="n">
        <f aca="false">IF(Calculator!$E$19="YES",IF(A288&lt;Calculator!$G$19,0,MIN(MIN(MOD(A288/Calculator!$F$19,1),1-MOD(A288/Calculator!$F$19,1)),ABS(MOD(A288/Calculator!$F$19,1)-0.5))),1)</f>
        <v>1</v>
      </c>
      <c r="J288" s="219" t="n">
        <f aca="false">IF(Calculator!$E$20="YES",IF(A288&lt;Calculator!$G$20,0,MIN(MIN(MOD(A288/Calculator!$F$20,1),1-MOD(A288/Calculator!$F$20,1)),ABS(MOD(A288/Calculator!$F$20,1)-0.5))),1)</f>
        <v>1</v>
      </c>
      <c r="K288" s="219" t="n">
        <f aca="false">IF(Calculator!$E$21="YES",IF(A288&lt;Calculator!$G$21,0,MIN(MIN(MOD(A288/Calculator!$F$21,1),1-MOD(A288/Calculator!$F$21,1)),ABS(MOD(A288/Calculator!$F$21,1)-0.5))),1)</f>
        <v>0.201298245614035</v>
      </c>
      <c r="L288" s="219" t="n">
        <f aca="false">IF(Calculator!$E$22="YES",IF(A288&lt;Calculator!$G$22,0,MIN(MIN(MOD(A288/Calculator!$F$22,1),1-MOD(A288/Calculator!$F$22,1)),ABS(MOD(A288/Calculator!$F$22,1)-0.5))),1)</f>
        <v>1</v>
      </c>
      <c r="M288" s="219" t="n">
        <f aca="false">MIN(B288:L288)</f>
        <v>0.16080701754386</v>
      </c>
      <c r="N288" s="219" t="n">
        <f aca="false">SUMPRODUCT(($M$7:$M$557&gt;M288)*1)+SUMPRODUCT(($M$7:$M$557=M288)*(ROW($M$7:$M$557)&lt;ROW(M288)))+1</f>
        <v>23</v>
      </c>
      <c r="O288" s="219" t="str">
        <f aca="false">IF(M288&gt;=0.2,"★★★ EXCELLENT",IF(M288&gt;=0.12,"★★  GOOD",IF(M288&gt;=0.07,"★  FAIR",IF(M288&gt;=0.025,"⚠  MARGINAL","✗  AVOID"))))</f>
        <v>★★  GOOD</v>
      </c>
    </row>
    <row r="289" customFormat="false" ht="15" hidden="false" customHeight="true" outlineLevel="0" collapsed="false">
      <c r="A289" s="216" t="n">
        <v>33.2</v>
      </c>
      <c r="B289" s="217" t="n">
        <f aca="false">IF(Calculator!$E$12="YES",IF(A289&lt;Calculator!$G$12,0,MIN(MIN(MOD(A289/Calculator!$F$12,1),1-MOD(A289/Calculator!$F$12,1)),ABS(MOD(A289/Calculator!$F$12,1)-0.5))),1)</f>
        <v>1</v>
      </c>
      <c r="C289" s="217" t="n">
        <f aca="false">IF(Calculator!$E$13="YES",IF(A289&lt;Calculator!$G$13,0,MIN(MIN(MOD(A289/Calculator!$F$13,1),1-MOD(A289/Calculator!$F$13,1)),ABS(MOD(A289/Calculator!$F$13,1)-0.5))),1)</f>
        <v>1</v>
      </c>
      <c r="D289" s="217" t="n">
        <f aca="false">IF(Calculator!$E$14="YES",IF(A289&lt;Calculator!$G$14,0,MIN(MIN(MOD(A289/Calculator!$F$14,1),1-MOD(A289/Calculator!$F$14,1)),ABS(MOD(A289/Calculator!$F$14,1)-0.5))),1)</f>
        <v>1</v>
      </c>
      <c r="E289" s="217" t="n">
        <f aca="false">IF(Calculator!$E$15="YES",IF(A289&lt;Calculator!$G$15,0,MIN(MIN(MOD(A289/Calculator!$F$15,1),1-MOD(A289/Calculator!$F$15,1)),ABS(MOD(A289/Calculator!$F$15,1)-0.5))),1)</f>
        <v>0.165824561403509</v>
      </c>
      <c r="F289" s="217" t="n">
        <f aca="false">IF(Calculator!$E$16="YES",IF(A289&lt;Calculator!$G$16,0,MIN(MIN(MOD(A289/Calculator!$F$16,1),1-MOD(A289/Calculator!$F$16,1)),ABS(MOD(A289/Calculator!$F$16,1)-0.5))),1)</f>
        <v>1</v>
      </c>
      <c r="G289" s="217" t="n">
        <f aca="false">IF(Calculator!$E$17="YES",IF(A289&lt;Calculator!$G$17,0,MIN(MIN(MOD(A289/Calculator!$F$17,1),1-MOD(A289/Calculator!$F$17,1)),ABS(MOD(A289/Calculator!$F$17,1)-0.5))),1)</f>
        <v>0.197473684210526</v>
      </c>
      <c r="H289" s="217" t="n">
        <f aca="false">IF(Calculator!$E$18="YES",IF(A289&lt;Calculator!$G$18,0,MIN(MIN(MOD(A289/Calculator!$F$18,1),1-MOD(A289/Calculator!$F$18,1)),ABS(MOD(A289/Calculator!$F$18,1)-0.5))),1)</f>
        <v>1</v>
      </c>
      <c r="I289" s="217" t="n">
        <f aca="false">IF(Calculator!$E$19="YES",IF(A289&lt;Calculator!$G$19,0,MIN(MIN(MOD(A289/Calculator!$F$19,1),1-MOD(A289/Calculator!$F$19,1)),ABS(MOD(A289/Calculator!$F$19,1)-0.5))),1)</f>
        <v>1</v>
      </c>
      <c r="J289" s="217" t="n">
        <f aca="false">IF(Calculator!$E$20="YES",IF(A289&lt;Calculator!$G$20,0,MIN(MIN(MOD(A289/Calculator!$F$20,1),1-MOD(A289/Calculator!$F$20,1)),ABS(MOD(A289/Calculator!$F$20,1)-0.5))),1)</f>
        <v>1</v>
      </c>
      <c r="K289" s="217" t="n">
        <f aca="false">IF(Calculator!$E$21="YES",IF(A289&lt;Calculator!$G$21,0,MIN(MIN(MOD(A289/Calculator!$F$21,1),1-MOD(A289/Calculator!$F$21,1)),ABS(MOD(A289/Calculator!$F$21,1)-0.5))),1)</f>
        <v>0.221543859649123</v>
      </c>
      <c r="L289" s="217" t="n">
        <f aca="false">IF(Calculator!$E$22="YES",IF(A289&lt;Calculator!$G$22,0,MIN(MIN(MOD(A289/Calculator!$F$22,1),1-MOD(A289/Calculator!$F$22,1)),ABS(MOD(A289/Calculator!$F$22,1)-0.5))),1)</f>
        <v>1</v>
      </c>
      <c r="M289" s="217" t="n">
        <f aca="false">MIN(B289:L289)</f>
        <v>0.165824561403509</v>
      </c>
      <c r="N289" s="217" t="n">
        <f aca="false">SUMPRODUCT(($M$7:$M$557&gt;M289)*1)+SUMPRODUCT(($M$7:$M$557=M289)*(ROW($M$7:$M$557)&lt;ROW(M289)))+1</f>
        <v>16</v>
      </c>
      <c r="O289" s="217" t="str">
        <f aca="false">IF(M289&gt;=0.2,"★★★ EXCELLENT",IF(M289&gt;=0.12,"★★  GOOD",IF(M289&gt;=0.07,"★  FAIR",IF(M289&gt;=0.025,"⚠  MARGINAL","✗  AVOID"))))</f>
        <v>★★  GOOD</v>
      </c>
    </row>
    <row r="290" customFormat="false" ht="15" hidden="false" customHeight="true" outlineLevel="0" collapsed="false">
      <c r="A290" s="218" t="n">
        <v>33.3</v>
      </c>
      <c r="B290" s="219" t="n">
        <f aca="false">IF(Calculator!$E$12="YES",IF(A290&lt;Calculator!$G$12,0,MIN(MIN(MOD(A290/Calculator!$F$12,1),1-MOD(A290/Calculator!$F$12,1)),ABS(MOD(A290/Calculator!$F$12,1)-0.5))),1)</f>
        <v>1</v>
      </c>
      <c r="C290" s="219" t="n">
        <f aca="false">IF(Calculator!$E$13="YES",IF(A290&lt;Calculator!$G$13,0,MIN(MIN(MOD(A290/Calculator!$F$13,1),1-MOD(A290/Calculator!$F$13,1)),ABS(MOD(A290/Calculator!$F$13,1)-0.5))),1)</f>
        <v>1</v>
      </c>
      <c r="D290" s="219" t="n">
        <f aca="false">IF(Calculator!$E$14="YES",IF(A290&lt;Calculator!$G$14,0,MIN(MIN(MOD(A290/Calculator!$F$14,1),1-MOD(A290/Calculator!$F$14,1)),ABS(MOD(A290/Calculator!$F$14,1)-0.5))),1)</f>
        <v>1</v>
      </c>
      <c r="E290" s="219" t="n">
        <f aca="false">IF(Calculator!$E$15="YES",IF(A290&lt;Calculator!$G$15,0,MIN(MIN(MOD(A290/Calculator!$F$15,1),1-MOD(A290/Calculator!$F$15,1)),ABS(MOD(A290/Calculator!$F$15,1)-0.5))),1)</f>
        <v>0.170842105263158</v>
      </c>
      <c r="F290" s="219" t="n">
        <f aca="false">IF(Calculator!$E$16="YES",IF(A290&lt;Calculator!$G$16,0,MIN(MIN(MOD(A290/Calculator!$F$16,1),1-MOD(A290/Calculator!$F$16,1)),ABS(MOD(A290/Calculator!$F$16,1)-0.5))),1)</f>
        <v>1</v>
      </c>
      <c r="G290" s="219" t="n">
        <f aca="false">IF(Calculator!$E$17="YES",IF(A290&lt;Calculator!$G$17,0,MIN(MIN(MOD(A290/Calculator!$F$17,1),1-MOD(A290/Calculator!$F$17,1)),ABS(MOD(A290/Calculator!$F$17,1)-0.5))),1)</f>
        <v>0.187526315789474</v>
      </c>
      <c r="H290" s="219" t="n">
        <f aca="false">IF(Calculator!$E$18="YES",IF(A290&lt;Calculator!$G$18,0,MIN(MIN(MOD(A290/Calculator!$F$18,1),1-MOD(A290/Calculator!$F$18,1)),ABS(MOD(A290/Calculator!$F$18,1)-0.5))),1)</f>
        <v>1</v>
      </c>
      <c r="I290" s="219" t="n">
        <f aca="false">IF(Calculator!$E$19="YES",IF(A290&lt;Calculator!$G$19,0,MIN(MIN(MOD(A290/Calculator!$F$19,1),1-MOD(A290/Calculator!$F$19,1)),ABS(MOD(A290/Calculator!$F$19,1)-0.5))),1)</f>
        <v>1</v>
      </c>
      <c r="J290" s="219" t="n">
        <f aca="false">IF(Calculator!$E$20="YES",IF(A290&lt;Calculator!$G$20,0,MIN(MIN(MOD(A290/Calculator!$F$20,1),1-MOD(A290/Calculator!$F$20,1)),ABS(MOD(A290/Calculator!$F$20,1)-0.5))),1)</f>
        <v>1</v>
      </c>
      <c r="K290" s="219" t="n">
        <f aca="false">IF(Calculator!$E$21="YES",IF(A290&lt;Calculator!$G$21,0,MIN(MIN(MOD(A290/Calculator!$F$21,1),1-MOD(A290/Calculator!$F$21,1)),ABS(MOD(A290/Calculator!$F$21,1)-0.5))),1)</f>
        <v>0.24178947368421</v>
      </c>
      <c r="L290" s="219" t="n">
        <f aca="false">IF(Calculator!$E$22="YES",IF(A290&lt;Calculator!$G$22,0,MIN(MIN(MOD(A290/Calculator!$F$22,1),1-MOD(A290/Calculator!$F$22,1)),ABS(MOD(A290/Calculator!$F$22,1)-0.5))),1)</f>
        <v>1</v>
      </c>
      <c r="M290" s="219" t="n">
        <f aca="false">MIN(B290:L290)</f>
        <v>0.170842105263158</v>
      </c>
      <c r="N290" s="219" t="n">
        <f aca="false">SUMPRODUCT(($M$7:$M$557&gt;M290)*1)+SUMPRODUCT(($M$7:$M$557=M290)*(ROW($M$7:$M$557)&lt;ROW(M290)))+1</f>
        <v>8</v>
      </c>
      <c r="O290" s="219" t="str">
        <f aca="false">IF(M290&gt;=0.2,"★★★ EXCELLENT",IF(M290&gt;=0.12,"★★  GOOD",IF(M290&gt;=0.07,"★  FAIR",IF(M290&gt;=0.025,"⚠  MARGINAL","✗  AVOID"))))</f>
        <v>★★  GOOD</v>
      </c>
    </row>
    <row r="291" customFormat="false" ht="15" hidden="false" customHeight="true" outlineLevel="0" collapsed="false">
      <c r="A291" s="216" t="n">
        <v>33.4</v>
      </c>
      <c r="B291" s="217" t="n">
        <f aca="false">IF(Calculator!$E$12="YES",IF(A291&lt;Calculator!$G$12,0,MIN(MIN(MOD(A291/Calculator!$F$12,1),1-MOD(A291/Calculator!$F$12,1)),ABS(MOD(A291/Calculator!$F$12,1)-0.5))),1)</f>
        <v>1</v>
      </c>
      <c r="C291" s="217" t="n">
        <f aca="false">IF(Calculator!$E$13="YES",IF(A291&lt;Calculator!$G$13,0,MIN(MIN(MOD(A291/Calculator!$F$13,1),1-MOD(A291/Calculator!$F$13,1)),ABS(MOD(A291/Calculator!$F$13,1)-0.5))),1)</f>
        <v>1</v>
      </c>
      <c r="D291" s="217" t="n">
        <f aca="false">IF(Calculator!$E$14="YES",IF(A291&lt;Calculator!$G$14,0,MIN(MIN(MOD(A291/Calculator!$F$14,1),1-MOD(A291/Calculator!$F$14,1)),ABS(MOD(A291/Calculator!$F$14,1)-0.5))),1)</f>
        <v>1</v>
      </c>
      <c r="E291" s="217" t="n">
        <f aca="false">IF(Calculator!$E$15="YES",IF(A291&lt;Calculator!$G$15,0,MIN(MIN(MOD(A291/Calculator!$F$15,1),1-MOD(A291/Calculator!$F$15,1)),ABS(MOD(A291/Calculator!$F$15,1)-0.5))),1)</f>
        <v>0.175859649122807</v>
      </c>
      <c r="F291" s="217" t="n">
        <f aca="false">IF(Calculator!$E$16="YES",IF(A291&lt;Calculator!$G$16,0,MIN(MIN(MOD(A291/Calculator!$F$16,1),1-MOD(A291/Calculator!$F$16,1)),ABS(MOD(A291/Calculator!$F$16,1)-0.5))),1)</f>
        <v>1</v>
      </c>
      <c r="G291" s="217" t="n">
        <f aca="false">IF(Calculator!$E$17="YES",IF(A291&lt;Calculator!$G$17,0,MIN(MIN(MOD(A291/Calculator!$F$17,1),1-MOD(A291/Calculator!$F$17,1)),ABS(MOD(A291/Calculator!$F$17,1)-0.5))),1)</f>
        <v>0.177578947368421</v>
      </c>
      <c r="H291" s="217" t="n">
        <f aca="false">IF(Calculator!$E$18="YES",IF(A291&lt;Calculator!$G$18,0,MIN(MIN(MOD(A291/Calculator!$F$18,1),1-MOD(A291/Calculator!$F$18,1)),ABS(MOD(A291/Calculator!$F$18,1)-0.5))),1)</f>
        <v>1</v>
      </c>
      <c r="I291" s="217" t="n">
        <f aca="false">IF(Calculator!$E$19="YES",IF(A291&lt;Calculator!$G$19,0,MIN(MIN(MOD(A291/Calculator!$F$19,1),1-MOD(A291/Calculator!$F$19,1)),ABS(MOD(A291/Calculator!$F$19,1)-0.5))),1)</f>
        <v>1</v>
      </c>
      <c r="J291" s="217" t="n">
        <f aca="false">IF(Calculator!$E$20="YES",IF(A291&lt;Calculator!$G$20,0,MIN(MIN(MOD(A291/Calculator!$F$20,1),1-MOD(A291/Calculator!$F$20,1)),ABS(MOD(A291/Calculator!$F$20,1)-0.5))),1)</f>
        <v>1</v>
      </c>
      <c r="K291" s="217" t="n">
        <f aca="false">IF(Calculator!$E$21="YES",IF(A291&lt;Calculator!$G$21,0,MIN(MIN(MOD(A291/Calculator!$F$21,1),1-MOD(A291/Calculator!$F$21,1)),ABS(MOD(A291/Calculator!$F$21,1)-0.5))),1)</f>
        <v>0.237964912280702</v>
      </c>
      <c r="L291" s="217" t="n">
        <f aca="false">IF(Calculator!$E$22="YES",IF(A291&lt;Calculator!$G$22,0,MIN(MIN(MOD(A291/Calculator!$F$22,1),1-MOD(A291/Calculator!$F$22,1)),ABS(MOD(A291/Calculator!$F$22,1)-0.5))),1)</f>
        <v>1</v>
      </c>
      <c r="M291" s="217" t="n">
        <f aca="false">MIN(B291:L291)</f>
        <v>0.175859649122807</v>
      </c>
      <c r="N291" s="217" t="n">
        <f aca="false">SUMPRODUCT(($M$7:$M$557&gt;M291)*1)+SUMPRODUCT(($M$7:$M$557=M291)*(ROW($M$7:$M$557)&lt;ROW(M291)))+1</f>
        <v>3</v>
      </c>
      <c r="O291" s="217" t="str">
        <f aca="false">IF(M291&gt;=0.2,"★★★ EXCELLENT",IF(M291&gt;=0.12,"★★  GOOD",IF(M291&gt;=0.07,"★  FAIR",IF(M291&gt;=0.025,"⚠  MARGINAL","✗  AVOID"))))</f>
        <v>★★  GOOD</v>
      </c>
    </row>
    <row r="292" customFormat="false" ht="15" hidden="false" customHeight="true" outlineLevel="0" collapsed="false">
      <c r="A292" s="218" t="n">
        <v>33.5</v>
      </c>
      <c r="B292" s="219" t="n">
        <f aca="false">IF(Calculator!$E$12="YES",IF(A292&lt;Calculator!$G$12,0,MIN(MIN(MOD(A292/Calculator!$F$12,1),1-MOD(A292/Calculator!$F$12,1)),ABS(MOD(A292/Calculator!$F$12,1)-0.5))),1)</f>
        <v>1</v>
      </c>
      <c r="C292" s="219" t="n">
        <f aca="false">IF(Calculator!$E$13="YES",IF(A292&lt;Calculator!$G$13,0,MIN(MIN(MOD(A292/Calculator!$F$13,1),1-MOD(A292/Calculator!$F$13,1)),ABS(MOD(A292/Calculator!$F$13,1)-0.5))),1)</f>
        <v>1</v>
      </c>
      <c r="D292" s="219" t="n">
        <f aca="false">IF(Calculator!$E$14="YES",IF(A292&lt;Calculator!$G$14,0,MIN(MIN(MOD(A292/Calculator!$F$14,1),1-MOD(A292/Calculator!$F$14,1)),ABS(MOD(A292/Calculator!$F$14,1)-0.5))),1)</f>
        <v>1</v>
      </c>
      <c r="E292" s="219" t="n">
        <f aca="false">IF(Calculator!$E$15="YES",IF(A292&lt;Calculator!$G$15,0,MIN(MIN(MOD(A292/Calculator!$F$15,1),1-MOD(A292/Calculator!$F$15,1)),ABS(MOD(A292/Calculator!$F$15,1)-0.5))),1)</f>
        <v>0.180877192982456</v>
      </c>
      <c r="F292" s="219" t="n">
        <f aca="false">IF(Calculator!$E$16="YES",IF(A292&lt;Calculator!$G$16,0,MIN(MIN(MOD(A292/Calculator!$F$16,1),1-MOD(A292/Calculator!$F$16,1)),ABS(MOD(A292/Calculator!$F$16,1)-0.5))),1)</f>
        <v>1</v>
      </c>
      <c r="G292" s="219" t="n">
        <f aca="false">IF(Calculator!$E$17="YES",IF(A292&lt;Calculator!$G$17,0,MIN(MIN(MOD(A292/Calculator!$F$17,1),1-MOD(A292/Calculator!$F$17,1)),ABS(MOD(A292/Calculator!$F$17,1)-0.5))),1)</f>
        <v>0.167631578947368</v>
      </c>
      <c r="H292" s="219" t="n">
        <f aca="false">IF(Calculator!$E$18="YES",IF(A292&lt;Calculator!$G$18,0,MIN(MIN(MOD(A292/Calculator!$F$18,1),1-MOD(A292/Calculator!$F$18,1)),ABS(MOD(A292/Calculator!$F$18,1)-0.5))),1)</f>
        <v>1</v>
      </c>
      <c r="I292" s="219" t="n">
        <f aca="false">IF(Calculator!$E$19="YES",IF(A292&lt;Calculator!$G$19,0,MIN(MIN(MOD(A292/Calculator!$F$19,1),1-MOD(A292/Calculator!$F$19,1)),ABS(MOD(A292/Calculator!$F$19,1)-0.5))),1)</f>
        <v>1</v>
      </c>
      <c r="J292" s="219" t="n">
        <f aca="false">IF(Calculator!$E$20="YES",IF(A292&lt;Calculator!$G$20,0,MIN(MIN(MOD(A292/Calculator!$F$20,1),1-MOD(A292/Calculator!$F$20,1)),ABS(MOD(A292/Calculator!$F$20,1)-0.5))),1)</f>
        <v>1</v>
      </c>
      <c r="K292" s="219" t="n">
        <f aca="false">IF(Calculator!$E$21="YES",IF(A292&lt;Calculator!$G$21,0,MIN(MIN(MOD(A292/Calculator!$F$21,1),1-MOD(A292/Calculator!$F$21,1)),ABS(MOD(A292/Calculator!$F$21,1)-0.5))),1)</f>
        <v>0.217719298245614</v>
      </c>
      <c r="L292" s="219" t="n">
        <f aca="false">IF(Calculator!$E$22="YES",IF(A292&lt;Calculator!$G$22,0,MIN(MIN(MOD(A292/Calculator!$F$22,1),1-MOD(A292/Calculator!$F$22,1)),ABS(MOD(A292/Calculator!$F$22,1)-0.5))),1)</f>
        <v>1</v>
      </c>
      <c r="M292" s="219" t="n">
        <f aca="false">MIN(B292:L292)</f>
        <v>0.167631578947368</v>
      </c>
      <c r="N292" s="219" t="n">
        <f aca="false">SUMPRODUCT(($M$7:$M$557&gt;M292)*1)+SUMPRODUCT(($M$7:$M$557=M292)*(ROW($M$7:$M$557)&lt;ROW(M292)))+1</f>
        <v>12</v>
      </c>
      <c r="O292" s="219" t="str">
        <f aca="false">IF(M292&gt;=0.2,"★★★ EXCELLENT",IF(M292&gt;=0.12,"★★  GOOD",IF(M292&gt;=0.07,"★  FAIR",IF(M292&gt;=0.025,"⚠  MARGINAL","✗  AVOID"))))</f>
        <v>★★  GOOD</v>
      </c>
    </row>
    <row r="293" customFormat="false" ht="15" hidden="false" customHeight="true" outlineLevel="0" collapsed="false">
      <c r="A293" s="216" t="n">
        <v>33.6</v>
      </c>
      <c r="B293" s="217" t="n">
        <f aca="false">IF(Calculator!$E$12="YES",IF(A293&lt;Calculator!$G$12,0,MIN(MIN(MOD(A293/Calculator!$F$12,1),1-MOD(A293/Calculator!$F$12,1)),ABS(MOD(A293/Calculator!$F$12,1)-0.5))),1)</f>
        <v>1</v>
      </c>
      <c r="C293" s="217" t="n">
        <f aca="false">IF(Calculator!$E$13="YES",IF(A293&lt;Calculator!$G$13,0,MIN(MIN(MOD(A293/Calculator!$F$13,1),1-MOD(A293/Calculator!$F$13,1)),ABS(MOD(A293/Calculator!$F$13,1)-0.5))),1)</f>
        <v>1</v>
      </c>
      <c r="D293" s="217" t="n">
        <f aca="false">IF(Calculator!$E$14="YES",IF(A293&lt;Calculator!$G$14,0,MIN(MIN(MOD(A293/Calculator!$F$14,1),1-MOD(A293/Calculator!$F$14,1)),ABS(MOD(A293/Calculator!$F$14,1)-0.5))),1)</f>
        <v>1</v>
      </c>
      <c r="E293" s="217" t="n">
        <f aca="false">IF(Calculator!$E$15="YES",IF(A293&lt;Calculator!$G$15,0,MIN(MIN(MOD(A293/Calculator!$F$15,1),1-MOD(A293/Calculator!$F$15,1)),ABS(MOD(A293/Calculator!$F$15,1)-0.5))),1)</f>
        <v>0.185894736842105</v>
      </c>
      <c r="F293" s="217" t="n">
        <f aca="false">IF(Calculator!$E$16="YES",IF(A293&lt;Calculator!$G$16,0,MIN(MIN(MOD(A293/Calculator!$F$16,1),1-MOD(A293/Calculator!$F$16,1)),ABS(MOD(A293/Calculator!$F$16,1)-0.5))),1)</f>
        <v>1</v>
      </c>
      <c r="G293" s="217" t="n">
        <f aca="false">IF(Calculator!$E$17="YES",IF(A293&lt;Calculator!$G$17,0,MIN(MIN(MOD(A293/Calculator!$F$17,1),1-MOD(A293/Calculator!$F$17,1)),ABS(MOD(A293/Calculator!$F$17,1)-0.5))),1)</f>
        <v>0.157684210526315</v>
      </c>
      <c r="H293" s="217" t="n">
        <f aca="false">IF(Calculator!$E$18="YES",IF(A293&lt;Calculator!$G$18,0,MIN(MIN(MOD(A293/Calculator!$F$18,1),1-MOD(A293/Calculator!$F$18,1)),ABS(MOD(A293/Calculator!$F$18,1)-0.5))),1)</f>
        <v>1</v>
      </c>
      <c r="I293" s="217" t="n">
        <f aca="false">IF(Calculator!$E$19="YES",IF(A293&lt;Calculator!$G$19,0,MIN(MIN(MOD(A293/Calculator!$F$19,1),1-MOD(A293/Calculator!$F$19,1)),ABS(MOD(A293/Calculator!$F$19,1)-0.5))),1)</f>
        <v>1</v>
      </c>
      <c r="J293" s="217" t="n">
        <f aca="false">IF(Calculator!$E$20="YES",IF(A293&lt;Calculator!$G$20,0,MIN(MIN(MOD(A293/Calculator!$F$20,1),1-MOD(A293/Calculator!$F$20,1)),ABS(MOD(A293/Calculator!$F$20,1)-0.5))),1)</f>
        <v>1</v>
      </c>
      <c r="K293" s="217" t="n">
        <f aca="false">IF(Calculator!$E$21="YES",IF(A293&lt;Calculator!$G$21,0,MIN(MIN(MOD(A293/Calculator!$F$21,1),1-MOD(A293/Calculator!$F$21,1)),ABS(MOD(A293/Calculator!$F$21,1)-0.5))),1)</f>
        <v>0.197473684210526</v>
      </c>
      <c r="L293" s="217" t="n">
        <f aca="false">IF(Calculator!$E$22="YES",IF(A293&lt;Calculator!$G$22,0,MIN(MIN(MOD(A293/Calculator!$F$22,1),1-MOD(A293/Calculator!$F$22,1)),ABS(MOD(A293/Calculator!$F$22,1)-0.5))),1)</f>
        <v>1</v>
      </c>
      <c r="M293" s="217" t="n">
        <f aca="false">MIN(B293:L293)</f>
        <v>0.157684210526315</v>
      </c>
      <c r="N293" s="217" t="n">
        <f aca="false">SUMPRODUCT(($M$7:$M$557&gt;M293)*1)+SUMPRODUCT(($M$7:$M$557=M293)*(ROW($M$7:$M$557)&lt;ROW(M293)))+1</f>
        <v>26</v>
      </c>
      <c r="O293" s="217" t="str">
        <f aca="false">IF(M293&gt;=0.2,"★★★ EXCELLENT",IF(M293&gt;=0.12,"★★  GOOD",IF(M293&gt;=0.07,"★  FAIR",IF(M293&gt;=0.025,"⚠  MARGINAL","✗  AVOID"))))</f>
        <v>★★  GOOD</v>
      </c>
    </row>
    <row r="294" customFormat="false" ht="15" hidden="false" customHeight="true" outlineLevel="0" collapsed="false">
      <c r="A294" s="218" t="n">
        <v>33.7</v>
      </c>
      <c r="B294" s="219" t="n">
        <f aca="false">IF(Calculator!$E$12="YES",IF(A294&lt;Calculator!$G$12,0,MIN(MIN(MOD(A294/Calculator!$F$12,1),1-MOD(A294/Calculator!$F$12,1)),ABS(MOD(A294/Calculator!$F$12,1)-0.5))),1)</f>
        <v>1</v>
      </c>
      <c r="C294" s="219" t="n">
        <f aca="false">IF(Calculator!$E$13="YES",IF(A294&lt;Calculator!$G$13,0,MIN(MIN(MOD(A294/Calculator!$F$13,1),1-MOD(A294/Calculator!$F$13,1)),ABS(MOD(A294/Calculator!$F$13,1)-0.5))),1)</f>
        <v>1</v>
      </c>
      <c r="D294" s="219" t="n">
        <f aca="false">IF(Calculator!$E$14="YES",IF(A294&lt;Calculator!$G$14,0,MIN(MIN(MOD(A294/Calculator!$F$14,1),1-MOD(A294/Calculator!$F$14,1)),ABS(MOD(A294/Calculator!$F$14,1)-0.5))),1)</f>
        <v>1</v>
      </c>
      <c r="E294" s="219" t="n">
        <f aca="false">IF(Calculator!$E$15="YES",IF(A294&lt;Calculator!$G$15,0,MIN(MIN(MOD(A294/Calculator!$F$15,1),1-MOD(A294/Calculator!$F$15,1)),ABS(MOD(A294/Calculator!$F$15,1)-0.5))),1)</f>
        <v>0.190912280701754</v>
      </c>
      <c r="F294" s="219" t="n">
        <f aca="false">IF(Calculator!$E$16="YES",IF(A294&lt;Calculator!$G$16,0,MIN(MIN(MOD(A294/Calculator!$F$16,1),1-MOD(A294/Calculator!$F$16,1)),ABS(MOD(A294/Calculator!$F$16,1)-0.5))),1)</f>
        <v>1</v>
      </c>
      <c r="G294" s="219" t="n">
        <f aca="false">IF(Calculator!$E$17="YES",IF(A294&lt;Calculator!$G$17,0,MIN(MIN(MOD(A294/Calculator!$F$17,1),1-MOD(A294/Calculator!$F$17,1)),ABS(MOD(A294/Calculator!$F$17,1)-0.5))),1)</f>
        <v>0.147736842105263</v>
      </c>
      <c r="H294" s="219" t="n">
        <f aca="false">IF(Calculator!$E$18="YES",IF(A294&lt;Calculator!$G$18,0,MIN(MIN(MOD(A294/Calculator!$F$18,1),1-MOD(A294/Calculator!$F$18,1)),ABS(MOD(A294/Calculator!$F$18,1)-0.5))),1)</f>
        <v>1</v>
      </c>
      <c r="I294" s="219" t="n">
        <f aca="false">IF(Calculator!$E$19="YES",IF(A294&lt;Calculator!$G$19,0,MIN(MIN(MOD(A294/Calculator!$F$19,1),1-MOD(A294/Calculator!$F$19,1)),ABS(MOD(A294/Calculator!$F$19,1)-0.5))),1)</f>
        <v>1</v>
      </c>
      <c r="J294" s="219" t="n">
        <f aca="false">IF(Calculator!$E$20="YES",IF(A294&lt;Calculator!$G$20,0,MIN(MIN(MOD(A294/Calculator!$F$20,1),1-MOD(A294/Calculator!$F$20,1)),ABS(MOD(A294/Calculator!$F$20,1)-0.5))),1)</f>
        <v>1</v>
      </c>
      <c r="K294" s="219" t="n">
        <f aca="false">IF(Calculator!$E$21="YES",IF(A294&lt;Calculator!$G$21,0,MIN(MIN(MOD(A294/Calculator!$F$21,1),1-MOD(A294/Calculator!$F$21,1)),ABS(MOD(A294/Calculator!$F$21,1)-0.5))),1)</f>
        <v>0.177228070175438</v>
      </c>
      <c r="L294" s="219" t="n">
        <f aca="false">IF(Calculator!$E$22="YES",IF(A294&lt;Calculator!$G$22,0,MIN(MIN(MOD(A294/Calculator!$F$22,1),1-MOD(A294/Calculator!$F$22,1)),ABS(MOD(A294/Calculator!$F$22,1)-0.5))),1)</f>
        <v>1</v>
      </c>
      <c r="M294" s="219" t="n">
        <f aca="false">MIN(B294:L294)</f>
        <v>0.147736842105263</v>
      </c>
      <c r="N294" s="219" t="n">
        <f aca="false">SUMPRODUCT(($M$7:$M$557&gt;M294)*1)+SUMPRODUCT(($M$7:$M$557=M294)*(ROW($M$7:$M$557)&lt;ROW(M294)))+1</f>
        <v>39</v>
      </c>
      <c r="O294" s="219" t="str">
        <f aca="false">IF(M294&gt;=0.2,"★★★ EXCELLENT",IF(M294&gt;=0.12,"★★  GOOD",IF(M294&gt;=0.07,"★  FAIR",IF(M294&gt;=0.025,"⚠  MARGINAL","✗  AVOID"))))</f>
        <v>★★  GOOD</v>
      </c>
    </row>
    <row r="295" customFormat="false" ht="15" hidden="false" customHeight="true" outlineLevel="0" collapsed="false">
      <c r="A295" s="216" t="n">
        <v>33.8</v>
      </c>
      <c r="B295" s="217" t="n">
        <f aca="false">IF(Calculator!$E$12="YES",IF(A295&lt;Calculator!$G$12,0,MIN(MIN(MOD(A295/Calculator!$F$12,1),1-MOD(A295/Calculator!$F$12,1)),ABS(MOD(A295/Calculator!$F$12,1)-0.5))),1)</f>
        <v>1</v>
      </c>
      <c r="C295" s="217" t="n">
        <f aca="false">IF(Calculator!$E$13="YES",IF(A295&lt;Calculator!$G$13,0,MIN(MIN(MOD(A295/Calculator!$F$13,1),1-MOD(A295/Calculator!$F$13,1)),ABS(MOD(A295/Calculator!$F$13,1)-0.5))),1)</f>
        <v>1</v>
      </c>
      <c r="D295" s="217" t="n">
        <f aca="false">IF(Calculator!$E$14="YES",IF(A295&lt;Calculator!$G$14,0,MIN(MIN(MOD(A295/Calculator!$F$14,1),1-MOD(A295/Calculator!$F$14,1)),ABS(MOD(A295/Calculator!$F$14,1)-0.5))),1)</f>
        <v>1</v>
      </c>
      <c r="E295" s="217" t="n">
        <f aca="false">IF(Calculator!$E$15="YES",IF(A295&lt;Calculator!$G$15,0,MIN(MIN(MOD(A295/Calculator!$F$15,1),1-MOD(A295/Calculator!$F$15,1)),ABS(MOD(A295/Calculator!$F$15,1)-0.5))),1)</f>
        <v>0.195929824561403</v>
      </c>
      <c r="F295" s="217" t="n">
        <f aca="false">IF(Calculator!$E$16="YES",IF(A295&lt;Calculator!$G$16,0,MIN(MIN(MOD(A295/Calculator!$F$16,1),1-MOD(A295/Calculator!$F$16,1)),ABS(MOD(A295/Calculator!$F$16,1)-0.5))),1)</f>
        <v>1</v>
      </c>
      <c r="G295" s="217" t="n">
        <f aca="false">IF(Calculator!$E$17="YES",IF(A295&lt;Calculator!$G$17,0,MIN(MIN(MOD(A295/Calculator!$F$17,1),1-MOD(A295/Calculator!$F$17,1)),ABS(MOD(A295/Calculator!$F$17,1)-0.5))),1)</f>
        <v>0.137789473684211</v>
      </c>
      <c r="H295" s="217" t="n">
        <f aca="false">IF(Calculator!$E$18="YES",IF(A295&lt;Calculator!$G$18,0,MIN(MIN(MOD(A295/Calculator!$F$18,1),1-MOD(A295/Calculator!$F$18,1)),ABS(MOD(A295/Calculator!$F$18,1)-0.5))),1)</f>
        <v>1</v>
      </c>
      <c r="I295" s="217" t="n">
        <f aca="false">IF(Calculator!$E$19="YES",IF(A295&lt;Calculator!$G$19,0,MIN(MIN(MOD(A295/Calculator!$F$19,1),1-MOD(A295/Calculator!$F$19,1)),ABS(MOD(A295/Calculator!$F$19,1)-0.5))),1)</f>
        <v>1</v>
      </c>
      <c r="J295" s="217" t="n">
        <f aca="false">IF(Calculator!$E$20="YES",IF(A295&lt;Calculator!$G$20,0,MIN(MIN(MOD(A295/Calculator!$F$20,1),1-MOD(A295/Calculator!$F$20,1)),ABS(MOD(A295/Calculator!$F$20,1)-0.5))),1)</f>
        <v>1</v>
      </c>
      <c r="K295" s="217" t="n">
        <f aca="false">IF(Calculator!$E$21="YES",IF(A295&lt;Calculator!$G$21,0,MIN(MIN(MOD(A295/Calculator!$F$21,1),1-MOD(A295/Calculator!$F$21,1)),ABS(MOD(A295/Calculator!$F$21,1)-0.5))),1)</f>
        <v>0.156982456140351</v>
      </c>
      <c r="L295" s="217" t="n">
        <f aca="false">IF(Calculator!$E$22="YES",IF(A295&lt;Calculator!$G$22,0,MIN(MIN(MOD(A295/Calculator!$F$22,1),1-MOD(A295/Calculator!$F$22,1)),ABS(MOD(A295/Calculator!$F$22,1)-0.5))),1)</f>
        <v>1</v>
      </c>
      <c r="M295" s="217" t="n">
        <f aca="false">MIN(B295:L295)</f>
        <v>0.137789473684211</v>
      </c>
      <c r="N295" s="217" t="n">
        <f aca="false">SUMPRODUCT(($M$7:$M$557&gt;M295)*1)+SUMPRODUCT(($M$7:$M$557=M295)*(ROW($M$7:$M$557)&lt;ROW(M295)))+1</f>
        <v>49</v>
      </c>
      <c r="O295" s="217" t="str">
        <f aca="false">IF(M295&gt;=0.2,"★★★ EXCELLENT",IF(M295&gt;=0.12,"★★  GOOD",IF(M295&gt;=0.07,"★  FAIR",IF(M295&gt;=0.025,"⚠  MARGINAL","✗  AVOID"))))</f>
        <v>★★  GOOD</v>
      </c>
    </row>
    <row r="296" customFormat="false" ht="15" hidden="false" customHeight="true" outlineLevel="0" collapsed="false">
      <c r="A296" s="218" t="n">
        <v>33.9</v>
      </c>
      <c r="B296" s="219" t="n">
        <f aca="false">IF(Calculator!$E$12="YES",IF(A296&lt;Calculator!$G$12,0,MIN(MIN(MOD(A296/Calculator!$F$12,1),1-MOD(A296/Calculator!$F$12,1)),ABS(MOD(A296/Calculator!$F$12,1)-0.5))),1)</f>
        <v>1</v>
      </c>
      <c r="C296" s="219" t="n">
        <f aca="false">IF(Calculator!$E$13="YES",IF(A296&lt;Calculator!$G$13,0,MIN(MIN(MOD(A296/Calculator!$F$13,1),1-MOD(A296/Calculator!$F$13,1)),ABS(MOD(A296/Calculator!$F$13,1)-0.5))),1)</f>
        <v>1</v>
      </c>
      <c r="D296" s="219" t="n">
        <f aca="false">IF(Calculator!$E$14="YES",IF(A296&lt;Calculator!$G$14,0,MIN(MIN(MOD(A296/Calculator!$F$14,1),1-MOD(A296/Calculator!$F$14,1)),ABS(MOD(A296/Calculator!$F$14,1)-0.5))),1)</f>
        <v>1</v>
      </c>
      <c r="E296" s="219" t="n">
        <f aca="false">IF(Calculator!$E$15="YES",IF(A296&lt;Calculator!$G$15,0,MIN(MIN(MOD(A296/Calculator!$F$15,1),1-MOD(A296/Calculator!$F$15,1)),ABS(MOD(A296/Calculator!$F$15,1)-0.5))),1)</f>
        <v>0.200947368421053</v>
      </c>
      <c r="F296" s="219" t="n">
        <f aca="false">IF(Calculator!$E$16="YES",IF(A296&lt;Calculator!$G$16,0,MIN(MIN(MOD(A296/Calculator!$F$16,1),1-MOD(A296/Calculator!$F$16,1)),ABS(MOD(A296/Calculator!$F$16,1)-0.5))),1)</f>
        <v>1</v>
      </c>
      <c r="G296" s="219" t="n">
        <f aca="false">IF(Calculator!$E$17="YES",IF(A296&lt;Calculator!$G$17,0,MIN(MIN(MOD(A296/Calculator!$F$17,1),1-MOD(A296/Calculator!$F$17,1)),ABS(MOD(A296/Calculator!$F$17,1)-0.5))),1)</f>
        <v>0.127842105263158</v>
      </c>
      <c r="H296" s="219" t="n">
        <f aca="false">IF(Calculator!$E$18="YES",IF(A296&lt;Calculator!$G$18,0,MIN(MIN(MOD(A296/Calculator!$F$18,1),1-MOD(A296/Calculator!$F$18,1)),ABS(MOD(A296/Calculator!$F$18,1)-0.5))),1)</f>
        <v>1</v>
      </c>
      <c r="I296" s="219" t="n">
        <f aca="false">IF(Calculator!$E$19="YES",IF(A296&lt;Calculator!$G$19,0,MIN(MIN(MOD(A296/Calculator!$F$19,1),1-MOD(A296/Calculator!$F$19,1)),ABS(MOD(A296/Calculator!$F$19,1)-0.5))),1)</f>
        <v>1</v>
      </c>
      <c r="J296" s="219" t="n">
        <f aca="false">IF(Calculator!$E$20="YES",IF(A296&lt;Calculator!$G$20,0,MIN(MIN(MOD(A296/Calculator!$F$20,1),1-MOD(A296/Calculator!$F$20,1)),ABS(MOD(A296/Calculator!$F$20,1)-0.5))),1)</f>
        <v>1</v>
      </c>
      <c r="K296" s="219" t="n">
        <f aca="false">IF(Calculator!$E$21="YES",IF(A296&lt;Calculator!$G$21,0,MIN(MIN(MOD(A296/Calculator!$F$21,1),1-MOD(A296/Calculator!$F$21,1)),ABS(MOD(A296/Calculator!$F$21,1)-0.5))),1)</f>
        <v>0.136736842105264</v>
      </c>
      <c r="L296" s="219" t="n">
        <f aca="false">IF(Calculator!$E$22="YES",IF(A296&lt;Calculator!$G$22,0,MIN(MIN(MOD(A296/Calculator!$F$22,1),1-MOD(A296/Calculator!$F$22,1)),ABS(MOD(A296/Calculator!$F$22,1)-0.5))),1)</f>
        <v>1</v>
      </c>
      <c r="M296" s="219" t="n">
        <f aca="false">MIN(B296:L296)</f>
        <v>0.127842105263158</v>
      </c>
      <c r="N296" s="219" t="n">
        <f aca="false">SUMPRODUCT(($M$7:$M$557&gt;M296)*1)+SUMPRODUCT(($M$7:$M$557=M296)*(ROW($M$7:$M$557)&lt;ROW(M296)))+1</f>
        <v>59</v>
      </c>
      <c r="O296" s="219" t="str">
        <f aca="false">IF(M296&gt;=0.2,"★★★ EXCELLENT",IF(M296&gt;=0.12,"★★  GOOD",IF(M296&gt;=0.07,"★  FAIR",IF(M296&gt;=0.025,"⚠  MARGINAL","✗  AVOID"))))</f>
        <v>★★  GOOD</v>
      </c>
    </row>
    <row r="297" customFormat="false" ht="15" hidden="false" customHeight="true" outlineLevel="0" collapsed="false">
      <c r="A297" s="216" t="n">
        <v>34</v>
      </c>
      <c r="B297" s="217" t="n">
        <f aca="false">IF(Calculator!$E$12="YES",IF(A297&lt;Calculator!$G$12,0,MIN(MIN(MOD(A297/Calculator!$F$12,1),1-MOD(A297/Calculator!$F$12,1)),ABS(MOD(A297/Calculator!$F$12,1)-0.5))),1)</f>
        <v>1</v>
      </c>
      <c r="C297" s="217" t="n">
        <f aca="false">IF(Calculator!$E$13="YES",IF(A297&lt;Calculator!$G$13,0,MIN(MIN(MOD(A297/Calculator!$F$13,1),1-MOD(A297/Calculator!$F$13,1)),ABS(MOD(A297/Calculator!$F$13,1)-0.5))),1)</f>
        <v>1</v>
      </c>
      <c r="D297" s="217" t="n">
        <f aca="false">IF(Calculator!$E$14="YES",IF(A297&lt;Calculator!$G$14,0,MIN(MIN(MOD(A297/Calculator!$F$14,1),1-MOD(A297/Calculator!$F$14,1)),ABS(MOD(A297/Calculator!$F$14,1)-0.5))),1)</f>
        <v>1</v>
      </c>
      <c r="E297" s="217" t="n">
        <f aca="false">IF(Calculator!$E$15="YES",IF(A297&lt;Calculator!$G$15,0,MIN(MIN(MOD(A297/Calculator!$F$15,1),1-MOD(A297/Calculator!$F$15,1)),ABS(MOD(A297/Calculator!$F$15,1)-0.5))),1)</f>
        <v>0.205964912280702</v>
      </c>
      <c r="F297" s="217" t="n">
        <f aca="false">IF(Calculator!$E$16="YES",IF(A297&lt;Calculator!$G$16,0,MIN(MIN(MOD(A297/Calculator!$F$16,1),1-MOD(A297/Calculator!$F$16,1)),ABS(MOD(A297/Calculator!$F$16,1)-0.5))),1)</f>
        <v>1</v>
      </c>
      <c r="G297" s="217" t="n">
        <f aca="false">IF(Calculator!$E$17="YES",IF(A297&lt;Calculator!$G$17,0,MIN(MIN(MOD(A297/Calculator!$F$17,1),1-MOD(A297/Calculator!$F$17,1)),ABS(MOD(A297/Calculator!$F$17,1)-0.5))),1)</f>
        <v>0.117894736842105</v>
      </c>
      <c r="H297" s="217" t="n">
        <f aca="false">IF(Calculator!$E$18="YES",IF(A297&lt;Calculator!$G$18,0,MIN(MIN(MOD(A297/Calculator!$F$18,1),1-MOD(A297/Calculator!$F$18,1)),ABS(MOD(A297/Calculator!$F$18,1)-0.5))),1)</f>
        <v>1</v>
      </c>
      <c r="I297" s="217" t="n">
        <f aca="false">IF(Calculator!$E$19="YES",IF(A297&lt;Calculator!$G$19,0,MIN(MIN(MOD(A297/Calculator!$F$19,1),1-MOD(A297/Calculator!$F$19,1)),ABS(MOD(A297/Calculator!$F$19,1)-0.5))),1)</f>
        <v>1</v>
      </c>
      <c r="J297" s="217" t="n">
        <f aca="false">IF(Calculator!$E$20="YES",IF(A297&lt;Calculator!$G$20,0,MIN(MIN(MOD(A297/Calculator!$F$20,1),1-MOD(A297/Calculator!$F$20,1)),ABS(MOD(A297/Calculator!$F$20,1)-0.5))),1)</f>
        <v>1</v>
      </c>
      <c r="K297" s="217" t="n">
        <f aca="false">IF(Calculator!$E$21="YES",IF(A297&lt;Calculator!$G$21,0,MIN(MIN(MOD(A297/Calculator!$F$21,1),1-MOD(A297/Calculator!$F$21,1)),ABS(MOD(A297/Calculator!$F$21,1)-0.5))),1)</f>
        <v>0.116491228070175</v>
      </c>
      <c r="L297" s="217" t="n">
        <f aca="false">IF(Calculator!$E$22="YES",IF(A297&lt;Calculator!$G$22,0,MIN(MIN(MOD(A297/Calculator!$F$22,1),1-MOD(A297/Calculator!$F$22,1)),ABS(MOD(A297/Calculator!$F$22,1)-0.5))),1)</f>
        <v>1</v>
      </c>
      <c r="M297" s="217" t="n">
        <f aca="false">MIN(B297:L297)</f>
        <v>0.116491228070175</v>
      </c>
      <c r="N297" s="217" t="n">
        <f aca="false">SUMPRODUCT(($M$7:$M$557&gt;M297)*1)+SUMPRODUCT(($M$7:$M$557=M297)*(ROW($M$7:$M$557)&lt;ROW(M297)))+1</f>
        <v>71</v>
      </c>
      <c r="O297" s="217" t="str">
        <f aca="false">IF(M297&gt;=0.2,"★★★ EXCELLENT",IF(M297&gt;=0.12,"★★  GOOD",IF(M297&gt;=0.07,"★  FAIR",IF(M297&gt;=0.025,"⚠  MARGINAL","✗  AVOID"))))</f>
        <v>★  FAIR</v>
      </c>
    </row>
    <row r="298" customFormat="false" ht="15" hidden="false" customHeight="true" outlineLevel="0" collapsed="false">
      <c r="A298" s="218" t="n">
        <v>34.1</v>
      </c>
      <c r="B298" s="219" t="n">
        <f aca="false">IF(Calculator!$E$12="YES",IF(A298&lt;Calculator!$G$12,0,MIN(MIN(MOD(A298/Calculator!$F$12,1),1-MOD(A298/Calculator!$F$12,1)),ABS(MOD(A298/Calculator!$F$12,1)-0.5))),1)</f>
        <v>1</v>
      </c>
      <c r="C298" s="219" t="n">
        <f aca="false">IF(Calculator!$E$13="YES",IF(A298&lt;Calculator!$G$13,0,MIN(MIN(MOD(A298/Calculator!$F$13,1),1-MOD(A298/Calculator!$F$13,1)),ABS(MOD(A298/Calculator!$F$13,1)-0.5))),1)</f>
        <v>1</v>
      </c>
      <c r="D298" s="219" t="n">
        <f aca="false">IF(Calculator!$E$14="YES",IF(A298&lt;Calculator!$G$14,0,MIN(MIN(MOD(A298/Calculator!$F$14,1),1-MOD(A298/Calculator!$F$14,1)),ABS(MOD(A298/Calculator!$F$14,1)-0.5))),1)</f>
        <v>1</v>
      </c>
      <c r="E298" s="219" t="n">
        <f aca="false">IF(Calculator!$E$15="YES",IF(A298&lt;Calculator!$G$15,0,MIN(MIN(MOD(A298/Calculator!$F$15,1),1-MOD(A298/Calculator!$F$15,1)),ABS(MOD(A298/Calculator!$F$15,1)-0.5))),1)</f>
        <v>0.210982456140351</v>
      </c>
      <c r="F298" s="219" t="n">
        <f aca="false">IF(Calculator!$E$16="YES",IF(A298&lt;Calculator!$G$16,0,MIN(MIN(MOD(A298/Calculator!$F$16,1),1-MOD(A298/Calculator!$F$16,1)),ABS(MOD(A298/Calculator!$F$16,1)-0.5))),1)</f>
        <v>1</v>
      </c>
      <c r="G298" s="219" t="n">
        <f aca="false">IF(Calculator!$E$17="YES",IF(A298&lt;Calculator!$G$17,0,MIN(MIN(MOD(A298/Calculator!$F$17,1),1-MOD(A298/Calculator!$F$17,1)),ABS(MOD(A298/Calculator!$F$17,1)-0.5))),1)</f>
        <v>0.107947368421052</v>
      </c>
      <c r="H298" s="219" t="n">
        <f aca="false">IF(Calculator!$E$18="YES",IF(A298&lt;Calculator!$G$18,0,MIN(MIN(MOD(A298/Calculator!$F$18,1),1-MOD(A298/Calculator!$F$18,1)),ABS(MOD(A298/Calculator!$F$18,1)-0.5))),1)</f>
        <v>1</v>
      </c>
      <c r="I298" s="219" t="n">
        <f aca="false">IF(Calculator!$E$19="YES",IF(A298&lt;Calculator!$G$19,0,MIN(MIN(MOD(A298/Calculator!$F$19,1),1-MOD(A298/Calculator!$F$19,1)),ABS(MOD(A298/Calculator!$F$19,1)-0.5))),1)</f>
        <v>1</v>
      </c>
      <c r="J298" s="219" t="n">
        <f aca="false">IF(Calculator!$E$20="YES",IF(A298&lt;Calculator!$G$20,0,MIN(MIN(MOD(A298/Calculator!$F$20,1),1-MOD(A298/Calculator!$F$20,1)),ABS(MOD(A298/Calculator!$F$20,1)-0.5))),1)</f>
        <v>1</v>
      </c>
      <c r="K298" s="219" t="n">
        <f aca="false">IF(Calculator!$E$21="YES",IF(A298&lt;Calculator!$G$21,0,MIN(MIN(MOD(A298/Calculator!$F$21,1),1-MOD(A298/Calculator!$F$21,1)),ABS(MOD(A298/Calculator!$F$21,1)-0.5))),1)</f>
        <v>0.0962456140350874</v>
      </c>
      <c r="L298" s="219" t="n">
        <f aca="false">IF(Calculator!$E$22="YES",IF(A298&lt;Calculator!$G$22,0,MIN(MIN(MOD(A298/Calculator!$F$22,1),1-MOD(A298/Calculator!$F$22,1)),ABS(MOD(A298/Calculator!$F$22,1)-0.5))),1)</f>
        <v>1</v>
      </c>
      <c r="M298" s="219" t="n">
        <f aca="false">MIN(B298:L298)</f>
        <v>0.0962456140350874</v>
      </c>
      <c r="N298" s="219" t="n">
        <f aca="false">SUMPRODUCT(($M$7:$M$557&gt;M298)*1)+SUMPRODUCT(($M$7:$M$557=M298)*(ROW($M$7:$M$557)&lt;ROW(M298)))+1</f>
        <v>116</v>
      </c>
      <c r="O298" s="219" t="str">
        <f aca="false">IF(M298&gt;=0.2,"★★★ EXCELLENT",IF(M298&gt;=0.12,"★★  GOOD",IF(M298&gt;=0.07,"★  FAIR",IF(M298&gt;=0.025,"⚠  MARGINAL","✗  AVOID"))))</f>
        <v>★  FAIR</v>
      </c>
    </row>
    <row r="299" customFormat="false" ht="15" hidden="false" customHeight="true" outlineLevel="0" collapsed="false">
      <c r="A299" s="216" t="n">
        <v>34.2</v>
      </c>
      <c r="B299" s="217" t="n">
        <f aca="false">IF(Calculator!$E$12="YES",IF(A299&lt;Calculator!$G$12,0,MIN(MIN(MOD(A299/Calculator!$F$12,1),1-MOD(A299/Calculator!$F$12,1)),ABS(MOD(A299/Calculator!$F$12,1)-0.5))),1)</f>
        <v>1</v>
      </c>
      <c r="C299" s="217" t="n">
        <f aca="false">IF(Calculator!$E$13="YES",IF(A299&lt;Calculator!$G$13,0,MIN(MIN(MOD(A299/Calculator!$F$13,1),1-MOD(A299/Calculator!$F$13,1)),ABS(MOD(A299/Calculator!$F$13,1)-0.5))),1)</f>
        <v>1</v>
      </c>
      <c r="D299" s="217" t="n">
        <f aca="false">IF(Calculator!$E$14="YES",IF(A299&lt;Calculator!$G$14,0,MIN(MIN(MOD(A299/Calculator!$F$14,1),1-MOD(A299/Calculator!$F$14,1)),ABS(MOD(A299/Calculator!$F$14,1)-0.5))),1)</f>
        <v>1</v>
      </c>
      <c r="E299" s="217" t="n">
        <f aca="false">IF(Calculator!$E$15="YES",IF(A299&lt;Calculator!$G$15,0,MIN(MIN(MOD(A299/Calculator!$F$15,1),1-MOD(A299/Calculator!$F$15,1)),ABS(MOD(A299/Calculator!$F$15,1)-0.5))),1)</f>
        <v>0.216</v>
      </c>
      <c r="F299" s="217" t="n">
        <f aca="false">IF(Calculator!$E$16="YES",IF(A299&lt;Calculator!$G$16,0,MIN(MIN(MOD(A299/Calculator!$F$16,1),1-MOD(A299/Calculator!$F$16,1)),ABS(MOD(A299/Calculator!$F$16,1)-0.5))),1)</f>
        <v>1</v>
      </c>
      <c r="G299" s="217" t="n">
        <f aca="false">IF(Calculator!$E$17="YES",IF(A299&lt;Calculator!$G$17,0,MIN(MIN(MOD(A299/Calculator!$F$17,1),1-MOD(A299/Calculator!$F$17,1)),ABS(MOD(A299/Calculator!$F$17,1)-0.5))),1)</f>
        <v>0.0979999999999994</v>
      </c>
      <c r="H299" s="217" t="n">
        <f aca="false">IF(Calculator!$E$18="YES",IF(A299&lt;Calculator!$G$18,0,MIN(MIN(MOD(A299/Calculator!$F$18,1),1-MOD(A299/Calculator!$F$18,1)),ABS(MOD(A299/Calculator!$F$18,1)-0.5))),1)</f>
        <v>1</v>
      </c>
      <c r="I299" s="217" t="n">
        <f aca="false">IF(Calculator!$E$19="YES",IF(A299&lt;Calculator!$G$19,0,MIN(MIN(MOD(A299/Calculator!$F$19,1),1-MOD(A299/Calculator!$F$19,1)),ABS(MOD(A299/Calculator!$F$19,1)-0.5))),1)</f>
        <v>1</v>
      </c>
      <c r="J299" s="217" t="n">
        <f aca="false">IF(Calculator!$E$20="YES",IF(A299&lt;Calculator!$G$20,0,MIN(MIN(MOD(A299/Calculator!$F$20,1),1-MOD(A299/Calculator!$F$20,1)),ABS(MOD(A299/Calculator!$F$20,1)-0.5))),1)</f>
        <v>1</v>
      </c>
      <c r="K299" s="217" t="n">
        <f aca="false">IF(Calculator!$E$21="YES",IF(A299&lt;Calculator!$G$21,0,MIN(MIN(MOD(A299/Calculator!$F$21,1),1-MOD(A299/Calculator!$F$21,1)),ABS(MOD(A299/Calculator!$F$21,1)-0.5))),1)</f>
        <v>0.0759999999999996</v>
      </c>
      <c r="L299" s="217" t="n">
        <f aca="false">IF(Calculator!$E$22="YES",IF(A299&lt;Calculator!$G$22,0,MIN(MIN(MOD(A299/Calculator!$F$22,1),1-MOD(A299/Calculator!$F$22,1)),ABS(MOD(A299/Calculator!$F$22,1)-0.5))),1)</f>
        <v>1</v>
      </c>
      <c r="M299" s="217" t="n">
        <f aca="false">MIN(B299:L299)</f>
        <v>0.0759999999999996</v>
      </c>
      <c r="N299" s="217" t="n">
        <f aca="false">SUMPRODUCT(($M$7:$M$557&gt;M299)*1)+SUMPRODUCT(($M$7:$M$557=M299)*(ROW($M$7:$M$557)&lt;ROW(M299)))+1</f>
        <v>184</v>
      </c>
      <c r="O299" s="217" t="str">
        <f aca="false">IF(M299&gt;=0.2,"★★★ EXCELLENT",IF(M299&gt;=0.12,"★★  GOOD",IF(M299&gt;=0.07,"★  FAIR",IF(M299&gt;=0.025,"⚠  MARGINAL","✗  AVOID"))))</f>
        <v>★  FAIR</v>
      </c>
    </row>
    <row r="300" customFormat="false" ht="15" hidden="false" customHeight="true" outlineLevel="0" collapsed="false">
      <c r="A300" s="218" t="n">
        <v>34.3</v>
      </c>
      <c r="B300" s="219" t="n">
        <f aca="false">IF(Calculator!$E$12="YES",IF(A300&lt;Calculator!$G$12,0,MIN(MIN(MOD(A300/Calculator!$F$12,1),1-MOD(A300/Calculator!$F$12,1)),ABS(MOD(A300/Calculator!$F$12,1)-0.5))),1)</f>
        <v>1</v>
      </c>
      <c r="C300" s="219" t="n">
        <f aca="false">IF(Calculator!$E$13="YES",IF(A300&lt;Calculator!$G$13,0,MIN(MIN(MOD(A300/Calculator!$F$13,1),1-MOD(A300/Calculator!$F$13,1)),ABS(MOD(A300/Calculator!$F$13,1)-0.5))),1)</f>
        <v>1</v>
      </c>
      <c r="D300" s="219" t="n">
        <f aca="false">IF(Calculator!$E$14="YES",IF(A300&lt;Calculator!$G$14,0,MIN(MIN(MOD(A300/Calculator!$F$14,1),1-MOD(A300/Calculator!$F$14,1)),ABS(MOD(A300/Calculator!$F$14,1)-0.5))),1)</f>
        <v>1</v>
      </c>
      <c r="E300" s="219" t="n">
        <f aca="false">IF(Calculator!$E$15="YES",IF(A300&lt;Calculator!$G$15,0,MIN(MIN(MOD(A300/Calculator!$F$15,1),1-MOD(A300/Calculator!$F$15,1)),ABS(MOD(A300/Calculator!$F$15,1)-0.5))),1)</f>
        <v>0.221017543859649</v>
      </c>
      <c r="F300" s="219" t="n">
        <f aca="false">IF(Calculator!$E$16="YES",IF(A300&lt;Calculator!$G$16,0,MIN(MIN(MOD(A300/Calculator!$F$16,1),1-MOD(A300/Calculator!$F$16,1)),ABS(MOD(A300/Calculator!$F$16,1)-0.5))),1)</f>
        <v>1</v>
      </c>
      <c r="G300" s="219" t="n">
        <f aca="false">IF(Calculator!$E$17="YES",IF(A300&lt;Calculator!$G$17,0,MIN(MIN(MOD(A300/Calculator!$F$17,1),1-MOD(A300/Calculator!$F$17,1)),ABS(MOD(A300/Calculator!$F$17,1)-0.5))),1)</f>
        <v>0.0880526315789476</v>
      </c>
      <c r="H300" s="219" t="n">
        <f aca="false">IF(Calculator!$E$18="YES",IF(A300&lt;Calculator!$G$18,0,MIN(MIN(MOD(A300/Calculator!$F$18,1),1-MOD(A300/Calculator!$F$18,1)),ABS(MOD(A300/Calculator!$F$18,1)-0.5))),1)</f>
        <v>1</v>
      </c>
      <c r="I300" s="219" t="n">
        <f aca="false">IF(Calculator!$E$19="YES",IF(A300&lt;Calculator!$G$19,0,MIN(MIN(MOD(A300/Calculator!$F$19,1),1-MOD(A300/Calculator!$F$19,1)),ABS(MOD(A300/Calculator!$F$19,1)-0.5))),1)</f>
        <v>1</v>
      </c>
      <c r="J300" s="219" t="n">
        <f aca="false">IF(Calculator!$E$20="YES",IF(A300&lt;Calculator!$G$20,0,MIN(MIN(MOD(A300/Calculator!$F$20,1),1-MOD(A300/Calculator!$F$20,1)),ABS(MOD(A300/Calculator!$F$20,1)-0.5))),1)</f>
        <v>1</v>
      </c>
      <c r="K300" s="219" t="n">
        <f aca="false">IF(Calculator!$E$21="YES",IF(A300&lt;Calculator!$G$21,0,MIN(MIN(MOD(A300/Calculator!$F$21,1),1-MOD(A300/Calculator!$F$21,1)),ABS(MOD(A300/Calculator!$F$21,1)-0.5))),1)</f>
        <v>0.0557543859649128</v>
      </c>
      <c r="L300" s="219" t="n">
        <f aca="false">IF(Calculator!$E$22="YES",IF(A300&lt;Calculator!$G$22,0,MIN(MIN(MOD(A300/Calculator!$F$22,1),1-MOD(A300/Calculator!$F$22,1)),ABS(MOD(A300/Calculator!$F$22,1)-0.5))),1)</f>
        <v>1</v>
      </c>
      <c r="M300" s="219" t="n">
        <f aca="false">MIN(B300:L300)</f>
        <v>0.0557543859649128</v>
      </c>
      <c r="N300" s="219" t="n">
        <f aca="false">SUMPRODUCT(($M$7:$M$557&gt;M300)*1)+SUMPRODUCT(($M$7:$M$557=M300)*(ROW($M$7:$M$557)&lt;ROW(M300)))+1</f>
        <v>262</v>
      </c>
      <c r="O300" s="219" t="str">
        <f aca="false">IF(M300&gt;=0.2,"★★★ EXCELLENT",IF(M300&gt;=0.12,"★★  GOOD",IF(M300&gt;=0.07,"★  FAIR",IF(M300&gt;=0.025,"⚠  MARGINAL","✗  AVOID"))))</f>
        <v>⚠  MARGINAL</v>
      </c>
    </row>
    <row r="301" customFormat="false" ht="15" hidden="false" customHeight="true" outlineLevel="0" collapsed="false">
      <c r="A301" s="216" t="n">
        <v>34.4</v>
      </c>
      <c r="B301" s="217" t="n">
        <f aca="false">IF(Calculator!$E$12="YES",IF(A301&lt;Calculator!$G$12,0,MIN(MIN(MOD(A301/Calculator!$F$12,1),1-MOD(A301/Calculator!$F$12,1)),ABS(MOD(A301/Calculator!$F$12,1)-0.5))),1)</f>
        <v>1</v>
      </c>
      <c r="C301" s="217" t="n">
        <f aca="false">IF(Calculator!$E$13="YES",IF(A301&lt;Calculator!$G$13,0,MIN(MIN(MOD(A301/Calculator!$F$13,1),1-MOD(A301/Calculator!$F$13,1)),ABS(MOD(A301/Calculator!$F$13,1)-0.5))),1)</f>
        <v>1</v>
      </c>
      <c r="D301" s="217" t="n">
        <f aca="false">IF(Calculator!$E$14="YES",IF(A301&lt;Calculator!$G$14,0,MIN(MIN(MOD(A301/Calculator!$F$14,1),1-MOD(A301/Calculator!$F$14,1)),ABS(MOD(A301/Calculator!$F$14,1)-0.5))),1)</f>
        <v>1</v>
      </c>
      <c r="E301" s="217" t="n">
        <f aca="false">IF(Calculator!$E$15="YES",IF(A301&lt;Calculator!$G$15,0,MIN(MIN(MOD(A301/Calculator!$F$15,1),1-MOD(A301/Calculator!$F$15,1)),ABS(MOD(A301/Calculator!$F$15,1)-0.5))),1)</f>
        <v>0.226035087719298</v>
      </c>
      <c r="F301" s="217" t="n">
        <f aca="false">IF(Calculator!$E$16="YES",IF(A301&lt;Calculator!$G$16,0,MIN(MIN(MOD(A301/Calculator!$F$16,1),1-MOD(A301/Calculator!$F$16,1)),ABS(MOD(A301/Calculator!$F$16,1)-0.5))),1)</f>
        <v>1</v>
      </c>
      <c r="G301" s="217" t="n">
        <f aca="false">IF(Calculator!$E$17="YES",IF(A301&lt;Calculator!$G$17,0,MIN(MIN(MOD(A301/Calculator!$F$17,1),1-MOD(A301/Calculator!$F$17,1)),ABS(MOD(A301/Calculator!$F$17,1)-0.5))),1)</f>
        <v>0.0781052631578945</v>
      </c>
      <c r="H301" s="217" t="n">
        <f aca="false">IF(Calculator!$E$18="YES",IF(A301&lt;Calculator!$G$18,0,MIN(MIN(MOD(A301/Calculator!$F$18,1),1-MOD(A301/Calculator!$F$18,1)),ABS(MOD(A301/Calculator!$F$18,1)-0.5))),1)</f>
        <v>1</v>
      </c>
      <c r="I301" s="217" t="n">
        <f aca="false">IF(Calculator!$E$19="YES",IF(A301&lt;Calculator!$G$19,0,MIN(MIN(MOD(A301/Calculator!$F$19,1),1-MOD(A301/Calculator!$F$19,1)),ABS(MOD(A301/Calculator!$F$19,1)-0.5))),1)</f>
        <v>1</v>
      </c>
      <c r="J301" s="217" t="n">
        <f aca="false">IF(Calculator!$E$20="YES",IF(A301&lt;Calculator!$G$20,0,MIN(MIN(MOD(A301/Calculator!$F$20,1),1-MOD(A301/Calculator!$F$20,1)),ABS(MOD(A301/Calculator!$F$20,1)-0.5))),1)</f>
        <v>1</v>
      </c>
      <c r="K301" s="217" t="n">
        <f aca="false">IF(Calculator!$E$21="YES",IF(A301&lt;Calculator!$G$21,0,MIN(MIN(MOD(A301/Calculator!$F$21,1),1-MOD(A301/Calculator!$F$21,1)),ABS(MOD(A301/Calculator!$F$21,1)-0.5))),1)</f>
        <v>0.035508771929825</v>
      </c>
      <c r="L301" s="217" t="n">
        <f aca="false">IF(Calculator!$E$22="YES",IF(A301&lt;Calculator!$G$22,0,MIN(MIN(MOD(A301/Calculator!$F$22,1),1-MOD(A301/Calculator!$F$22,1)),ABS(MOD(A301/Calculator!$F$22,1)-0.5))),1)</f>
        <v>1</v>
      </c>
      <c r="M301" s="217" t="n">
        <f aca="false">MIN(B301:L301)</f>
        <v>0.035508771929825</v>
      </c>
      <c r="N301" s="217" t="n">
        <f aca="false">SUMPRODUCT(($M$7:$M$557&gt;M301)*1)+SUMPRODUCT(($M$7:$M$557=M301)*(ROW($M$7:$M$557)&lt;ROW(M301)))+1</f>
        <v>342</v>
      </c>
      <c r="O301" s="217" t="str">
        <f aca="false">IF(M301&gt;=0.2,"★★★ EXCELLENT",IF(M301&gt;=0.12,"★★  GOOD",IF(M301&gt;=0.07,"★  FAIR",IF(M301&gt;=0.025,"⚠  MARGINAL","✗  AVOID"))))</f>
        <v>⚠  MARGINAL</v>
      </c>
    </row>
    <row r="302" customFormat="false" ht="15" hidden="false" customHeight="true" outlineLevel="0" collapsed="false">
      <c r="A302" s="218" t="n">
        <v>34.5</v>
      </c>
      <c r="B302" s="219" t="n">
        <f aca="false">IF(Calculator!$E$12="YES",IF(A302&lt;Calculator!$G$12,0,MIN(MIN(MOD(A302/Calculator!$F$12,1),1-MOD(A302/Calculator!$F$12,1)),ABS(MOD(A302/Calculator!$F$12,1)-0.5))),1)</f>
        <v>1</v>
      </c>
      <c r="C302" s="219" t="n">
        <f aca="false">IF(Calculator!$E$13="YES",IF(A302&lt;Calculator!$G$13,0,MIN(MIN(MOD(A302/Calculator!$F$13,1),1-MOD(A302/Calculator!$F$13,1)),ABS(MOD(A302/Calculator!$F$13,1)-0.5))),1)</f>
        <v>1</v>
      </c>
      <c r="D302" s="219" t="n">
        <f aca="false">IF(Calculator!$E$14="YES",IF(A302&lt;Calculator!$G$14,0,MIN(MIN(MOD(A302/Calculator!$F$14,1),1-MOD(A302/Calculator!$F$14,1)),ABS(MOD(A302/Calculator!$F$14,1)-0.5))),1)</f>
        <v>1</v>
      </c>
      <c r="E302" s="219" t="n">
        <f aca="false">IF(Calculator!$E$15="YES",IF(A302&lt;Calculator!$G$15,0,MIN(MIN(MOD(A302/Calculator!$F$15,1),1-MOD(A302/Calculator!$F$15,1)),ABS(MOD(A302/Calculator!$F$15,1)-0.5))),1)</f>
        <v>0.231052631578947</v>
      </c>
      <c r="F302" s="219" t="n">
        <f aca="false">IF(Calculator!$E$16="YES",IF(A302&lt;Calculator!$G$16,0,MIN(MIN(MOD(A302/Calculator!$F$16,1),1-MOD(A302/Calculator!$F$16,1)),ABS(MOD(A302/Calculator!$F$16,1)-0.5))),1)</f>
        <v>1</v>
      </c>
      <c r="G302" s="219" t="n">
        <f aca="false">IF(Calculator!$E$17="YES",IF(A302&lt;Calculator!$G$17,0,MIN(MIN(MOD(A302/Calculator!$F$17,1),1-MOD(A302/Calculator!$F$17,1)),ABS(MOD(A302/Calculator!$F$17,1)-0.5))),1)</f>
        <v>0.0681578947368418</v>
      </c>
      <c r="H302" s="219" t="n">
        <f aca="false">IF(Calculator!$E$18="YES",IF(A302&lt;Calculator!$G$18,0,MIN(MIN(MOD(A302/Calculator!$F$18,1),1-MOD(A302/Calculator!$F$18,1)),ABS(MOD(A302/Calculator!$F$18,1)-0.5))),1)</f>
        <v>1</v>
      </c>
      <c r="I302" s="219" t="n">
        <f aca="false">IF(Calculator!$E$19="YES",IF(A302&lt;Calculator!$G$19,0,MIN(MIN(MOD(A302/Calculator!$F$19,1),1-MOD(A302/Calculator!$F$19,1)),ABS(MOD(A302/Calculator!$F$19,1)-0.5))),1)</f>
        <v>1</v>
      </c>
      <c r="J302" s="219" t="n">
        <f aca="false">IF(Calculator!$E$20="YES",IF(A302&lt;Calculator!$G$20,0,MIN(MIN(MOD(A302/Calculator!$F$20,1),1-MOD(A302/Calculator!$F$20,1)),ABS(MOD(A302/Calculator!$F$20,1)-0.5))),1)</f>
        <v>1</v>
      </c>
      <c r="K302" s="219" t="n">
        <f aca="false">IF(Calculator!$E$21="YES",IF(A302&lt;Calculator!$G$21,0,MIN(MIN(MOD(A302/Calculator!$F$21,1),1-MOD(A302/Calculator!$F$21,1)),ABS(MOD(A302/Calculator!$F$21,1)-0.5))),1)</f>
        <v>0.0152631578947373</v>
      </c>
      <c r="L302" s="219" t="n">
        <f aca="false">IF(Calculator!$E$22="YES",IF(A302&lt;Calculator!$G$22,0,MIN(MIN(MOD(A302/Calculator!$F$22,1),1-MOD(A302/Calculator!$F$22,1)),ABS(MOD(A302/Calculator!$F$22,1)-0.5))),1)</f>
        <v>1</v>
      </c>
      <c r="M302" s="219" t="n">
        <f aca="false">MIN(B302:L302)</f>
        <v>0.0152631578947373</v>
      </c>
      <c r="N302" s="219" t="n">
        <f aca="false">SUMPRODUCT(($M$7:$M$557&gt;M302)*1)+SUMPRODUCT(($M$7:$M$557=M302)*(ROW($M$7:$M$557)&lt;ROW(M302)))+1</f>
        <v>420</v>
      </c>
      <c r="O302" s="219" t="str">
        <f aca="false">IF(M302&gt;=0.2,"★★★ EXCELLENT",IF(M302&gt;=0.12,"★★  GOOD",IF(M302&gt;=0.07,"★  FAIR",IF(M302&gt;=0.025,"⚠  MARGINAL","✗  AVOID"))))</f>
        <v>✗  AVOID</v>
      </c>
    </row>
    <row r="303" customFormat="false" ht="15" hidden="false" customHeight="true" outlineLevel="0" collapsed="false">
      <c r="A303" s="216" t="n">
        <v>34.6</v>
      </c>
      <c r="B303" s="217" t="n">
        <f aca="false">IF(Calculator!$E$12="YES",IF(A303&lt;Calculator!$G$12,0,MIN(MIN(MOD(A303/Calculator!$F$12,1),1-MOD(A303/Calculator!$F$12,1)),ABS(MOD(A303/Calculator!$F$12,1)-0.5))),1)</f>
        <v>1</v>
      </c>
      <c r="C303" s="217" t="n">
        <f aca="false">IF(Calculator!$E$13="YES",IF(A303&lt;Calculator!$G$13,0,MIN(MIN(MOD(A303/Calculator!$F$13,1),1-MOD(A303/Calculator!$F$13,1)),ABS(MOD(A303/Calculator!$F$13,1)-0.5))),1)</f>
        <v>1</v>
      </c>
      <c r="D303" s="217" t="n">
        <f aca="false">IF(Calculator!$E$14="YES",IF(A303&lt;Calculator!$G$14,0,MIN(MIN(MOD(A303/Calculator!$F$14,1),1-MOD(A303/Calculator!$F$14,1)),ABS(MOD(A303/Calculator!$F$14,1)-0.5))),1)</f>
        <v>1</v>
      </c>
      <c r="E303" s="217" t="n">
        <f aca="false">IF(Calculator!$E$15="YES",IF(A303&lt;Calculator!$G$15,0,MIN(MIN(MOD(A303/Calculator!$F$15,1),1-MOD(A303/Calculator!$F$15,1)),ABS(MOD(A303/Calculator!$F$15,1)-0.5))),1)</f>
        <v>0.236070175438597</v>
      </c>
      <c r="F303" s="217" t="n">
        <f aca="false">IF(Calculator!$E$16="YES",IF(A303&lt;Calculator!$G$16,0,MIN(MIN(MOD(A303/Calculator!$F$16,1),1-MOD(A303/Calculator!$F$16,1)),ABS(MOD(A303/Calculator!$F$16,1)-0.5))),1)</f>
        <v>1</v>
      </c>
      <c r="G303" s="217" t="n">
        <f aca="false">IF(Calculator!$E$17="YES",IF(A303&lt;Calculator!$G$17,0,MIN(MIN(MOD(A303/Calculator!$F$17,1),1-MOD(A303/Calculator!$F$17,1)),ABS(MOD(A303/Calculator!$F$17,1)-0.5))),1)</f>
        <v>0.058210526315789</v>
      </c>
      <c r="H303" s="217" t="n">
        <f aca="false">IF(Calculator!$E$18="YES",IF(A303&lt;Calculator!$G$18,0,MIN(MIN(MOD(A303/Calculator!$F$18,1),1-MOD(A303/Calculator!$F$18,1)),ABS(MOD(A303/Calculator!$F$18,1)-0.5))),1)</f>
        <v>1</v>
      </c>
      <c r="I303" s="217" t="n">
        <f aca="false">IF(Calculator!$E$19="YES",IF(A303&lt;Calculator!$G$19,0,MIN(MIN(MOD(A303/Calculator!$F$19,1),1-MOD(A303/Calculator!$F$19,1)),ABS(MOD(A303/Calculator!$F$19,1)-0.5))),1)</f>
        <v>1</v>
      </c>
      <c r="J303" s="217" t="n">
        <f aca="false">IF(Calculator!$E$20="YES",IF(A303&lt;Calculator!$G$20,0,MIN(MIN(MOD(A303/Calculator!$F$20,1),1-MOD(A303/Calculator!$F$20,1)),ABS(MOD(A303/Calculator!$F$20,1)-0.5))),1)</f>
        <v>1</v>
      </c>
      <c r="K303" s="217" t="n">
        <f aca="false">IF(Calculator!$E$21="YES",IF(A303&lt;Calculator!$G$21,0,MIN(MIN(MOD(A303/Calculator!$F$21,1),1-MOD(A303/Calculator!$F$21,1)),ABS(MOD(A303/Calculator!$F$21,1)-0.5))),1)</f>
        <v>0.00498245614035131</v>
      </c>
      <c r="L303" s="217" t="n">
        <f aca="false">IF(Calculator!$E$22="YES",IF(A303&lt;Calculator!$G$22,0,MIN(MIN(MOD(A303/Calculator!$F$22,1),1-MOD(A303/Calculator!$F$22,1)),ABS(MOD(A303/Calculator!$F$22,1)-0.5))),1)</f>
        <v>1</v>
      </c>
      <c r="M303" s="217" t="n">
        <f aca="false">MIN(B303:L303)</f>
        <v>0.00498245614035131</v>
      </c>
      <c r="N303" s="217" t="n">
        <f aca="false">SUMPRODUCT(($M$7:$M$557&gt;M303)*1)+SUMPRODUCT(($M$7:$M$557=M303)*(ROW($M$7:$M$557)&lt;ROW(M303)))+1</f>
        <v>471</v>
      </c>
      <c r="O303" s="217" t="str">
        <f aca="false">IF(M303&gt;=0.2,"★★★ EXCELLENT",IF(M303&gt;=0.12,"★★  GOOD",IF(M303&gt;=0.07,"★  FAIR",IF(M303&gt;=0.025,"⚠  MARGINAL","✗  AVOID"))))</f>
        <v>✗  AVOID</v>
      </c>
    </row>
    <row r="304" customFormat="false" ht="15" hidden="false" customHeight="true" outlineLevel="0" collapsed="false">
      <c r="A304" s="218" t="n">
        <v>34.7</v>
      </c>
      <c r="B304" s="219" t="n">
        <f aca="false">IF(Calculator!$E$12="YES",IF(A304&lt;Calculator!$G$12,0,MIN(MIN(MOD(A304/Calculator!$F$12,1),1-MOD(A304/Calculator!$F$12,1)),ABS(MOD(A304/Calculator!$F$12,1)-0.5))),1)</f>
        <v>1</v>
      </c>
      <c r="C304" s="219" t="n">
        <f aca="false">IF(Calculator!$E$13="YES",IF(A304&lt;Calculator!$G$13,0,MIN(MIN(MOD(A304/Calculator!$F$13,1),1-MOD(A304/Calculator!$F$13,1)),ABS(MOD(A304/Calculator!$F$13,1)-0.5))),1)</f>
        <v>1</v>
      </c>
      <c r="D304" s="219" t="n">
        <f aca="false">IF(Calculator!$E$14="YES",IF(A304&lt;Calculator!$G$14,0,MIN(MIN(MOD(A304/Calculator!$F$14,1),1-MOD(A304/Calculator!$F$14,1)),ABS(MOD(A304/Calculator!$F$14,1)-0.5))),1)</f>
        <v>1</v>
      </c>
      <c r="E304" s="219" t="n">
        <f aca="false">IF(Calculator!$E$15="YES",IF(A304&lt;Calculator!$G$15,0,MIN(MIN(MOD(A304/Calculator!$F$15,1),1-MOD(A304/Calculator!$F$15,1)),ABS(MOD(A304/Calculator!$F$15,1)-0.5))),1)</f>
        <v>0.241087719298246</v>
      </c>
      <c r="F304" s="219" t="n">
        <f aca="false">IF(Calculator!$E$16="YES",IF(A304&lt;Calculator!$G$16,0,MIN(MIN(MOD(A304/Calculator!$F$16,1),1-MOD(A304/Calculator!$F$16,1)),ABS(MOD(A304/Calculator!$F$16,1)-0.5))),1)</f>
        <v>1</v>
      </c>
      <c r="G304" s="219" t="n">
        <f aca="false">IF(Calculator!$E$17="YES",IF(A304&lt;Calculator!$G$17,0,MIN(MIN(MOD(A304/Calculator!$F$17,1),1-MOD(A304/Calculator!$F$17,1)),ABS(MOD(A304/Calculator!$F$17,1)-0.5))),1)</f>
        <v>0.0482631578947363</v>
      </c>
      <c r="H304" s="219" t="n">
        <f aca="false">IF(Calculator!$E$18="YES",IF(A304&lt;Calculator!$G$18,0,MIN(MIN(MOD(A304/Calculator!$F$18,1),1-MOD(A304/Calculator!$F$18,1)),ABS(MOD(A304/Calculator!$F$18,1)-0.5))),1)</f>
        <v>1</v>
      </c>
      <c r="I304" s="219" t="n">
        <f aca="false">IF(Calculator!$E$19="YES",IF(A304&lt;Calculator!$G$19,0,MIN(MIN(MOD(A304/Calculator!$F$19,1),1-MOD(A304/Calculator!$F$19,1)),ABS(MOD(A304/Calculator!$F$19,1)-0.5))),1)</f>
        <v>1</v>
      </c>
      <c r="J304" s="219" t="n">
        <f aca="false">IF(Calculator!$E$20="YES",IF(A304&lt;Calculator!$G$20,0,MIN(MIN(MOD(A304/Calculator!$F$20,1),1-MOD(A304/Calculator!$F$20,1)),ABS(MOD(A304/Calculator!$F$20,1)-0.5))),1)</f>
        <v>1</v>
      </c>
      <c r="K304" s="219" t="n">
        <f aca="false">IF(Calculator!$E$21="YES",IF(A304&lt;Calculator!$G$21,0,MIN(MIN(MOD(A304/Calculator!$F$21,1),1-MOD(A304/Calculator!$F$21,1)),ABS(MOD(A304/Calculator!$F$21,1)-0.5))),1)</f>
        <v>0.025228070175439</v>
      </c>
      <c r="L304" s="219" t="n">
        <f aca="false">IF(Calculator!$E$22="YES",IF(A304&lt;Calculator!$G$22,0,MIN(MIN(MOD(A304/Calculator!$F$22,1),1-MOD(A304/Calculator!$F$22,1)),ABS(MOD(A304/Calculator!$F$22,1)-0.5))),1)</f>
        <v>1</v>
      </c>
      <c r="M304" s="219" t="n">
        <f aca="false">MIN(B304:L304)</f>
        <v>0.025228070175439</v>
      </c>
      <c r="N304" s="219" t="n">
        <f aca="false">SUMPRODUCT(($M$7:$M$557&gt;M304)*1)+SUMPRODUCT(($M$7:$M$557=M304)*(ROW($M$7:$M$557)&lt;ROW(M304)))+1</f>
        <v>381</v>
      </c>
      <c r="O304" s="219" t="str">
        <f aca="false">IF(M304&gt;=0.2,"★★★ EXCELLENT",IF(M304&gt;=0.12,"★★  GOOD",IF(M304&gt;=0.07,"★  FAIR",IF(M304&gt;=0.025,"⚠  MARGINAL","✗  AVOID"))))</f>
        <v>⚠  MARGINAL</v>
      </c>
    </row>
    <row r="305" customFormat="false" ht="15" hidden="false" customHeight="true" outlineLevel="0" collapsed="false">
      <c r="A305" s="216" t="n">
        <v>34.8</v>
      </c>
      <c r="B305" s="217" t="n">
        <f aca="false">IF(Calculator!$E$12="YES",IF(A305&lt;Calculator!$G$12,0,MIN(MIN(MOD(A305/Calculator!$F$12,1),1-MOD(A305/Calculator!$F$12,1)),ABS(MOD(A305/Calculator!$F$12,1)-0.5))),1)</f>
        <v>1</v>
      </c>
      <c r="C305" s="217" t="n">
        <f aca="false">IF(Calculator!$E$13="YES",IF(A305&lt;Calculator!$G$13,0,MIN(MIN(MOD(A305/Calculator!$F$13,1),1-MOD(A305/Calculator!$F$13,1)),ABS(MOD(A305/Calculator!$F$13,1)-0.5))),1)</f>
        <v>1</v>
      </c>
      <c r="D305" s="217" t="n">
        <f aca="false">IF(Calculator!$E$14="YES",IF(A305&lt;Calculator!$G$14,0,MIN(MIN(MOD(A305/Calculator!$F$14,1),1-MOD(A305/Calculator!$F$14,1)),ABS(MOD(A305/Calculator!$F$14,1)-0.5))),1)</f>
        <v>1</v>
      </c>
      <c r="E305" s="217" t="n">
        <f aca="false">IF(Calculator!$E$15="YES",IF(A305&lt;Calculator!$G$15,0,MIN(MIN(MOD(A305/Calculator!$F$15,1),1-MOD(A305/Calculator!$F$15,1)),ABS(MOD(A305/Calculator!$F$15,1)-0.5))),1)</f>
        <v>0.246105263157895</v>
      </c>
      <c r="F305" s="217" t="n">
        <f aca="false">IF(Calculator!$E$16="YES",IF(A305&lt;Calculator!$G$16,0,MIN(MIN(MOD(A305/Calculator!$F$16,1),1-MOD(A305/Calculator!$F$16,1)),ABS(MOD(A305/Calculator!$F$16,1)-0.5))),1)</f>
        <v>1</v>
      </c>
      <c r="G305" s="217" t="n">
        <f aca="false">IF(Calculator!$E$17="YES",IF(A305&lt;Calculator!$G$17,0,MIN(MIN(MOD(A305/Calculator!$F$17,1),1-MOD(A305/Calculator!$F$17,1)),ABS(MOD(A305/Calculator!$F$17,1)-0.5))),1)</f>
        <v>0.0383157894736841</v>
      </c>
      <c r="H305" s="217" t="n">
        <f aca="false">IF(Calculator!$E$18="YES",IF(A305&lt;Calculator!$G$18,0,MIN(MIN(MOD(A305/Calculator!$F$18,1),1-MOD(A305/Calculator!$F$18,1)),ABS(MOD(A305/Calculator!$F$18,1)-0.5))),1)</f>
        <v>1</v>
      </c>
      <c r="I305" s="217" t="n">
        <f aca="false">IF(Calculator!$E$19="YES",IF(A305&lt;Calculator!$G$19,0,MIN(MIN(MOD(A305/Calculator!$F$19,1),1-MOD(A305/Calculator!$F$19,1)),ABS(MOD(A305/Calculator!$F$19,1)-0.5))),1)</f>
        <v>1</v>
      </c>
      <c r="J305" s="217" t="n">
        <f aca="false">IF(Calculator!$E$20="YES",IF(A305&lt;Calculator!$G$20,0,MIN(MIN(MOD(A305/Calculator!$F$20,1),1-MOD(A305/Calculator!$F$20,1)),ABS(MOD(A305/Calculator!$F$20,1)-0.5))),1)</f>
        <v>1</v>
      </c>
      <c r="K305" s="217" t="n">
        <f aca="false">IF(Calculator!$E$21="YES",IF(A305&lt;Calculator!$G$21,0,MIN(MIN(MOD(A305/Calculator!$F$21,1),1-MOD(A305/Calculator!$F$21,1)),ABS(MOD(A305/Calculator!$F$21,1)-0.5))),1)</f>
        <v>0.0454736842105259</v>
      </c>
      <c r="L305" s="217" t="n">
        <f aca="false">IF(Calculator!$E$22="YES",IF(A305&lt;Calculator!$G$22,0,MIN(MIN(MOD(A305/Calculator!$F$22,1),1-MOD(A305/Calculator!$F$22,1)),ABS(MOD(A305/Calculator!$F$22,1)-0.5))),1)</f>
        <v>1</v>
      </c>
      <c r="M305" s="217" t="n">
        <f aca="false">MIN(B305:L305)</f>
        <v>0.0383157894736841</v>
      </c>
      <c r="N305" s="217" t="n">
        <f aca="false">SUMPRODUCT(($M$7:$M$557&gt;M305)*1)+SUMPRODUCT(($M$7:$M$557=M305)*(ROW($M$7:$M$557)&lt;ROW(M305)))+1</f>
        <v>331</v>
      </c>
      <c r="O305" s="217" t="str">
        <f aca="false">IF(M305&gt;=0.2,"★★★ EXCELLENT",IF(M305&gt;=0.12,"★★  GOOD",IF(M305&gt;=0.07,"★  FAIR",IF(M305&gt;=0.025,"⚠  MARGINAL","✗  AVOID"))))</f>
        <v>⚠  MARGINAL</v>
      </c>
    </row>
    <row r="306" customFormat="false" ht="15" hidden="false" customHeight="true" outlineLevel="0" collapsed="false">
      <c r="A306" s="218" t="n">
        <v>34.9</v>
      </c>
      <c r="B306" s="219" t="n">
        <f aca="false">IF(Calculator!$E$12="YES",IF(A306&lt;Calculator!$G$12,0,MIN(MIN(MOD(A306/Calculator!$F$12,1),1-MOD(A306/Calculator!$F$12,1)),ABS(MOD(A306/Calculator!$F$12,1)-0.5))),1)</f>
        <v>1</v>
      </c>
      <c r="C306" s="219" t="n">
        <f aca="false">IF(Calculator!$E$13="YES",IF(A306&lt;Calculator!$G$13,0,MIN(MIN(MOD(A306/Calculator!$F$13,1),1-MOD(A306/Calculator!$F$13,1)),ABS(MOD(A306/Calculator!$F$13,1)-0.5))),1)</f>
        <v>1</v>
      </c>
      <c r="D306" s="219" t="n">
        <f aca="false">IF(Calculator!$E$14="YES",IF(A306&lt;Calculator!$G$14,0,MIN(MIN(MOD(A306/Calculator!$F$14,1),1-MOD(A306/Calculator!$F$14,1)),ABS(MOD(A306/Calculator!$F$14,1)-0.5))),1)</f>
        <v>1</v>
      </c>
      <c r="E306" s="219" t="n">
        <f aca="false">IF(Calculator!$E$15="YES",IF(A306&lt;Calculator!$G$15,0,MIN(MIN(MOD(A306/Calculator!$F$15,1),1-MOD(A306/Calculator!$F$15,1)),ABS(MOD(A306/Calculator!$F$15,1)-0.5))),1)</f>
        <v>0.248877192982456</v>
      </c>
      <c r="F306" s="219" t="n">
        <f aca="false">IF(Calculator!$E$16="YES",IF(A306&lt;Calculator!$G$16,0,MIN(MIN(MOD(A306/Calculator!$F$16,1),1-MOD(A306/Calculator!$F$16,1)),ABS(MOD(A306/Calculator!$F$16,1)-0.5))),1)</f>
        <v>1</v>
      </c>
      <c r="G306" s="219" t="n">
        <f aca="false">IF(Calculator!$E$17="YES",IF(A306&lt;Calculator!$G$17,0,MIN(MIN(MOD(A306/Calculator!$F$17,1),1-MOD(A306/Calculator!$F$17,1)),ABS(MOD(A306/Calculator!$F$17,1)-0.5))),1)</f>
        <v>0.0283684210526314</v>
      </c>
      <c r="H306" s="219" t="n">
        <f aca="false">IF(Calculator!$E$18="YES",IF(A306&lt;Calculator!$G$18,0,MIN(MIN(MOD(A306/Calculator!$F$18,1),1-MOD(A306/Calculator!$F$18,1)),ABS(MOD(A306/Calculator!$F$18,1)-0.5))),1)</f>
        <v>1</v>
      </c>
      <c r="I306" s="219" t="n">
        <f aca="false">IF(Calculator!$E$19="YES",IF(A306&lt;Calculator!$G$19,0,MIN(MIN(MOD(A306/Calculator!$F$19,1),1-MOD(A306/Calculator!$F$19,1)),ABS(MOD(A306/Calculator!$F$19,1)-0.5))),1)</f>
        <v>1</v>
      </c>
      <c r="J306" s="219" t="n">
        <f aca="false">IF(Calculator!$E$20="YES",IF(A306&lt;Calculator!$G$20,0,MIN(MIN(MOD(A306/Calculator!$F$20,1),1-MOD(A306/Calculator!$F$20,1)),ABS(MOD(A306/Calculator!$F$20,1)-0.5))),1)</f>
        <v>1</v>
      </c>
      <c r="K306" s="219" t="n">
        <f aca="false">IF(Calculator!$E$21="YES",IF(A306&lt;Calculator!$G$21,0,MIN(MIN(MOD(A306/Calculator!$F$21,1),1-MOD(A306/Calculator!$F$21,1)),ABS(MOD(A306/Calculator!$F$21,1)-0.5))),1)</f>
        <v>0.0657192982456136</v>
      </c>
      <c r="L306" s="219" t="n">
        <f aca="false">IF(Calculator!$E$22="YES",IF(A306&lt;Calculator!$G$22,0,MIN(MIN(MOD(A306/Calculator!$F$22,1),1-MOD(A306/Calculator!$F$22,1)),ABS(MOD(A306/Calculator!$F$22,1)-0.5))),1)</f>
        <v>1</v>
      </c>
      <c r="M306" s="219" t="n">
        <f aca="false">MIN(B306:L306)</f>
        <v>0.0283684210526314</v>
      </c>
      <c r="N306" s="219" t="n">
        <f aca="false">SUMPRODUCT(($M$7:$M$557&gt;M306)*1)+SUMPRODUCT(($M$7:$M$557=M306)*(ROW($M$7:$M$557)&lt;ROW(M306)))+1</f>
        <v>371</v>
      </c>
      <c r="O306" s="219" t="str">
        <f aca="false">IF(M306&gt;=0.2,"★★★ EXCELLENT",IF(M306&gt;=0.12,"★★  GOOD",IF(M306&gt;=0.07,"★  FAIR",IF(M306&gt;=0.025,"⚠  MARGINAL","✗  AVOID"))))</f>
        <v>⚠  MARGINAL</v>
      </c>
    </row>
    <row r="307" customFormat="false" ht="15" hidden="false" customHeight="true" outlineLevel="0" collapsed="false">
      <c r="A307" s="216" t="n">
        <v>35</v>
      </c>
      <c r="B307" s="217" t="n">
        <f aca="false">IF(Calculator!$E$12="YES",IF(A307&lt;Calculator!$G$12,0,MIN(MIN(MOD(A307/Calculator!$F$12,1),1-MOD(A307/Calculator!$F$12,1)),ABS(MOD(A307/Calculator!$F$12,1)-0.5))),1)</f>
        <v>1</v>
      </c>
      <c r="C307" s="217" t="n">
        <f aca="false">IF(Calculator!$E$13="YES",IF(A307&lt;Calculator!$G$13,0,MIN(MIN(MOD(A307/Calculator!$F$13,1),1-MOD(A307/Calculator!$F$13,1)),ABS(MOD(A307/Calculator!$F$13,1)-0.5))),1)</f>
        <v>1</v>
      </c>
      <c r="D307" s="217" t="n">
        <f aca="false">IF(Calculator!$E$14="YES",IF(A307&lt;Calculator!$G$14,0,MIN(MIN(MOD(A307/Calculator!$F$14,1),1-MOD(A307/Calculator!$F$14,1)),ABS(MOD(A307/Calculator!$F$14,1)-0.5))),1)</f>
        <v>1</v>
      </c>
      <c r="E307" s="217" t="n">
        <f aca="false">IF(Calculator!$E$15="YES",IF(A307&lt;Calculator!$G$15,0,MIN(MIN(MOD(A307/Calculator!$F$15,1),1-MOD(A307/Calculator!$F$15,1)),ABS(MOD(A307/Calculator!$F$15,1)-0.5))),1)</f>
        <v>0.243859649122807</v>
      </c>
      <c r="F307" s="217" t="n">
        <f aca="false">IF(Calculator!$E$16="YES",IF(A307&lt;Calculator!$G$16,0,MIN(MIN(MOD(A307/Calculator!$F$16,1),1-MOD(A307/Calculator!$F$16,1)),ABS(MOD(A307/Calculator!$F$16,1)-0.5))),1)</f>
        <v>1</v>
      </c>
      <c r="G307" s="217" t="n">
        <f aca="false">IF(Calculator!$E$17="YES",IF(A307&lt;Calculator!$G$17,0,MIN(MIN(MOD(A307/Calculator!$F$17,1),1-MOD(A307/Calculator!$F$17,1)),ABS(MOD(A307/Calculator!$F$17,1)-0.5))),1)</f>
        <v>0.0184210526315787</v>
      </c>
      <c r="H307" s="217" t="n">
        <f aca="false">IF(Calculator!$E$18="YES",IF(A307&lt;Calculator!$G$18,0,MIN(MIN(MOD(A307/Calculator!$F$18,1),1-MOD(A307/Calculator!$F$18,1)),ABS(MOD(A307/Calculator!$F$18,1)-0.5))),1)</f>
        <v>1</v>
      </c>
      <c r="I307" s="217" t="n">
        <f aca="false">IF(Calculator!$E$19="YES",IF(A307&lt;Calculator!$G$19,0,MIN(MIN(MOD(A307/Calculator!$F$19,1),1-MOD(A307/Calculator!$F$19,1)),ABS(MOD(A307/Calculator!$F$19,1)-0.5))),1)</f>
        <v>1</v>
      </c>
      <c r="J307" s="217" t="n">
        <f aca="false">IF(Calculator!$E$20="YES",IF(A307&lt;Calculator!$G$20,0,MIN(MIN(MOD(A307/Calculator!$F$20,1),1-MOD(A307/Calculator!$F$20,1)),ABS(MOD(A307/Calculator!$F$20,1)-0.5))),1)</f>
        <v>1</v>
      </c>
      <c r="K307" s="217" t="n">
        <f aca="false">IF(Calculator!$E$21="YES",IF(A307&lt;Calculator!$G$21,0,MIN(MIN(MOD(A307/Calculator!$F$21,1),1-MOD(A307/Calculator!$F$21,1)),ABS(MOD(A307/Calculator!$F$21,1)-0.5))),1)</f>
        <v>0.0859649122807014</v>
      </c>
      <c r="L307" s="217" t="n">
        <f aca="false">IF(Calculator!$E$22="YES",IF(A307&lt;Calculator!$G$22,0,MIN(MIN(MOD(A307/Calculator!$F$22,1),1-MOD(A307/Calculator!$F$22,1)),ABS(MOD(A307/Calculator!$F$22,1)-0.5))),1)</f>
        <v>1</v>
      </c>
      <c r="M307" s="217" t="n">
        <f aca="false">MIN(B307:L307)</f>
        <v>0.0184210526315787</v>
      </c>
      <c r="N307" s="217" t="n">
        <f aca="false">SUMPRODUCT(($M$7:$M$557&gt;M307)*1)+SUMPRODUCT(($M$7:$M$557=M307)*(ROW($M$7:$M$557)&lt;ROW(M307)))+1</f>
        <v>410</v>
      </c>
      <c r="O307" s="217" t="str">
        <f aca="false">IF(M307&gt;=0.2,"★★★ EXCELLENT",IF(M307&gt;=0.12,"★★  GOOD",IF(M307&gt;=0.07,"★  FAIR",IF(M307&gt;=0.025,"⚠  MARGINAL","✗  AVOID"))))</f>
        <v>✗  AVOID</v>
      </c>
    </row>
    <row r="308" customFormat="false" ht="15" hidden="false" customHeight="true" outlineLevel="0" collapsed="false">
      <c r="A308" s="218" t="n">
        <v>35.1</v>
      </c>
      <c r="B308" s="219" t="n">
        <f aca="false">IF(Calculator!$E$12="YES",IF(A308&lt;Calculator!$G$12,0,MIN(MIN(MOD(A308/Calculator!$F$12,1),1-MOD(A308/Calculator!$F$12,1)),ABS(MOD(A308/Calculator!$F$12,1)-0.5))),1)</f>
        <v>1</v>
      </c>
      <c r="C308" s="219" t="n">
        <f aca="false">IF(Calculator!$E$13="YES",IF(A308&lt;Calculator!$G$13,0,MIN(MIN(MOD(A308/Calculator!$F$13,1),1-MOD(A308/Calculator!$F$13,1)),ABS(MOD(A308/Calculator!$F$13,1)-0.5))),1)</f>
        <v>1</v>
      </c>
      <c r="D308" s="219" t="n">
        <f aca="false">IF(Calculator!$E$14="YES",IF(A308&lt;Calculator!$G$14,0,MIN(MIN(MOD(A308/Calculator!$F$14,1),1-MOD(A308/Calculator!$F$14,1)),ABS(MOD(A308/Calculator!$F$14,1)-0.5))),1)</f>
        <v>1</v>
      </c>
      <c r="E308" s="219" t="n">
        <f aca="false">IF(Calculator!$E$15="YES",IF(A308&lt;Calculator!$G$15,0,MIN(MIN(MOD(A308/Calculator!$F$15,1),1-MOD(A308/Calculator!$F$15,1)),ABS(MOD(A308/Calculator!$F$15,1)-0.5))),1)</f>
        <v>0.238842105263158</v>
      </c>
      <c r="F308" s="219" t="n">
        <f aca="false">IF(Calculator!$E$16="YES",IF(A308&lt;Calculator!$G$16,0,MIN(MIN(MOD(A308/Calculator!$F$16,1),1-MOD(A308/Calculator!$F$16,1)),ABS(MOD(A308/Calculator!$F$16,1)-0.5))),1)</f>
        <v>1</v>
      </c>
      <c r="G308" s="219" t="n">
        <f aca="false">IF(Calculator!$E$17="YES",IF(A308&lt;Calculator!$G$17,0,MIN(MIN(MOD(A308/Calculator!$F$17,1),1-MOD(A308/Calculator!$F$17,1)),ABS(MOD(A308/Calculator!$F$17,1)-0.5))),1)</f>
        <v>0.00847368421052597</v>
      </c>
      <c r="H308" s="219" t="n">
        <f aca="false">IF(Calculator!$E$18="YES",IF(A308&lt;Calculator!$G$18,0,MIN(MIN(MOD(A308/Calculator!$F$18,1),1-MOD(A308/Calculator!$F$18,1)),ABS(MOD(A308/Calculator!$F$18,1)-0.5))),1)</f>
        <v>1</v>
      </c>
      <c r="I308" s="219" t="n">
        <f aca="false">IF(Calculator!$E$19="YES",IF(A308&lt;Calculator!$G$19,0,MIN(MIN(MOD(A308/Calculator!$F$19,1),1-MOD(A308/Calculator!$F$19,1)),ABS(MOD(A308/Calculator!$F$19,1)-0.5))),1)</f>
        <v>1</v>
      </c>
      <c r="J308" s="219" t="n">
        <f aca="false">IF(Calculator!$E$20="YES",IF(A308&lt;Calculator!$G$20,0,MIN(MIN(MOD(A308/Calculator!$F$20,1),1-MOD(A308/Calculator!$F$20,1)),ABS(MOD(A308/Calculator!$F$20,1)-0.5))),1)</f>
        <v>1</v>
      </c>
      <c r="K308" s="219" t="n">
        <f aca="false">IF(Calculator!$E$21="YES",IF(A308&lt;Calculator!$G$21,0,MIN(MIN(MOD(A308/Calculator!$F$21,1),1-MOD(A308/Calculator!$F$21,1)),ABS(MOD(A308/Calculator!$F$21,1)-0.5))),1)</f>
        <v>0.10621052631579</v>
      </c>
      <c r="L308" s="219" t="n">
        <f aca="false">IF(Calculator!$E$22="YES",IF(A308&lt;Calculator!$G$22,0,MIN(MIN(MOD(A308/Calculator!$F$22,1),1-MOD(A308/Calculator!$F$22,1)),ABS(MOD(A308/Calculator!$F$22,1)-0.5))),1)</f>
        <v>1</v>
      </c>
      <c r="M308" s="219" t="n">
        <f aca="false">MIN(B308:L308)</f>
        <v>0.00847368421052597</v>
      </c>
      <c r="N308" s="219" t="n">
        <f aca="false">SUMPRODUCT(($M$7:$M$557&gt;M308)*1)+SUMPRODUCT(($M$7:$M$557=M308)*(ROW($M$7:$M$557)&lt;ROW(M308)))+1</f>
        <v>453</v>
      </c>
      <c r="O308" s="219" t="str">
        <f aca="false">IF(M308&gt;=0.2,"★★★ EXCELLENT",IF(M308&gt;=0.12,"★★  GOOD",IF(M308&gt;=0.07,"★  FAIR",IF(M308&gt;=0.025,"⚠  MARGINAL","✗  AVOID"))))</f>
        <v>✗  AVOID</v>
      </c>
    </row>
    <row r="309" customFormat="false" ht="15" hidden="false" customHeight="true" outlineLevel="0" collapsed="false">
      <c r="A309" s="216" t="n">
        <v>35.2</v>
      </c>
      <c r="B309" s="217" t="n">
        <f aca="false">IF(Calculator!$E$12="YES",IF(A309&lt;Calculator!$G$12,0,MIN(MIN(MOD(A309/Calculator!$F$12,1),1-MOD(A309/Calculator!$F$12,1)),ABS(MOD(A309/Calculator!$F$12,1)-0.5))),1)</f>
        <v>1</v>
      </c>
      <c r="C309" s="217" t="n">
        <f aca="false">IF(Calculator!$E$13="YES",IF(A309&lt;Calculator!$G$13,0,MIN(MIN(MOD(A309/Calculator!$F$13,1),1-MOD(A309/Calculator!$F$13,1)),ABS(MOD(A309/Calculator!$F$13,1)-0.5))),1)</f>
        <v>1</v>
      </c>
      <c r="D309" s="217" t="n">
        <f aca="false">IF(Calculator!$E$14="YES",IF(A309&lt;Calculator!$G$14,0,MIN(MIN(MOD(A309/Calculator!$F$14,1),1-MOD(A309/Calculator!$F$14,1)),ABS(MOD(A309/Calculator!$F$14,1)-0.5))),1)</f>
        <v>1</v>
      </c>
      <c r="E309" s="217" t="n">
        <f aca="false">IF(Calculator!$E$15="YES",IF(A309&lt;Calculator!$G$15,0,MIN(MIN(MOD(A309/Calculator!$F$15,1),1-MOD(A309/Calculator!$F$15,1)),ABS(MOD(A309/Calculator!$F$15,1)-0.5))),1)</f>
        <v>0.233824561403509</v>
      </c>
      <c r="F309" s="217" t="n">
        <f aca="false">IF(Calculator!$E$16="YES",IF(A309&lt;Calculator!$G$16,0,MIN(MIN(MOD(A309/Calculator!$F$16,1),1-MOD(A309/Calculator!$F$16,1)),ABS(MOD(A309/Calculator!$F$16,1)-0.5))),1)</f>
        <v>1</v>
      </c>
      <c r="G309" s="217" t="n">
        <f aca="false">IF(Calculator!$E$17="YES",IF(A309&lt;Calculator!$G$17,0,MIN(MIN(MOD(A309/Calculator!$F$17,1),1-MOD(A309/Calculator!$F$17,1)),ABS(MOD(A309/Calculator!$F$17,1)-0.5))),1)</f>
        <v>0.00147368421052674</v>
      </c>
      <c r="H309" s="217" t="n">
        <f aca="false">IF(Calculator!$E$18="YES",IF(A309&lt;Calculator!$G$18,0,MIN(MIN(MOD(A309/Calculator!$F$18,1),1-MOD(A309/Calculator!$F$18,1)),ABS(MOD(A309/Calculator!$F$18,1)-0.5))),1)</f>
        <v>1</v>
      </c>
      <c r="I309" s="217" t="n">
        <f aca="false">IF(Calculator!$E$19="YES",IF(A309&lt;Calculator!$G$19,0,MIN(MIN(MOD(A309/Calculator!$F$19,1),1-MOD(A309/Calculator!$F$19,1)),ABS(MOD(A309/Calculator!$F$19,1)-0.5))),1)</f>
        <v>1</v>
      </c>
      <c r="J309" s="217" t="n">
        <f aca="false">IF(Calculator!$E$20="YES",IF(A309&lt;Calculator!$G$20,0,MIN(MIN(MOD(A309/Calculator!$F$20,1),1-MOD(A309/Calculator!$F$20,1)),ABS(MOD(A309/Calculator!$F$20,1)-0.5))),1)</f>
        <v>1</v>
      </c>
      <c r="K309" s="217" t="n">
        <f aca="false">IF(Calculator!$E$21="YES",IF(A309&lt;Calculator!$G$21,0,MIN(MIN(MOD(A309/Calculator!$F$21,1),1-MOD(A309/Calculator!$F$21,1)),ABS(MOD(A309/Calculator!$F$21,1)-0.5))),1)</f>
        <v>0.126456140350878</v>
      </c>
      <c r="L309" s="217" t="n">
        <f aca="false">IF(Calculator!$E$22="YES",IF(A309&lt;Calculator!$G$22,0,MIN(MIN(MOD(A309/Calculator!$F$22,1),1-MOD(A309/Calculator!$F$22,1)),ABS(MOD(A309/Calculator!$F$22,1)-0.5))),1)</f>
        <v>1</v>
      </c>
      <c r="M309" s="217" t="n">
        <f aca="false">MIN(B309:L309)</f>
        <v>0.00147368421052674</v>
      </c>
      <c r="N309" s="217" t="n">
        <f aca="false">SUMPRODUCT(($M$7:$M$557&gt;M309)*1)+SUMPRODUCT(($M$7:$M$557=M309)*(ROW($M$7:$M$557)&lt;ROW(M309)))+1</f>
        <v>491</v>
      </c>
      <c r="O309" s="217" t="str">
        <f aca="false">IF(M309&gt;=0.2,"★★★ EXCELLENT",IF(M309&gt;=0.12,"★★  GOOD",IF(M309&gt;=0.07,"★  FAIR",IF(M309&gt;=0.025,"⚠  MARGINAL","✗  AVOID"))))</f>
        <v>✗  AVOID</v>
      </c>
    </row>
    <row r="310" customFormat="false" ht="15" hidden="false" customHeight="true" outlineLevel="0" collapsed="false">
      <c r="A310" s="218" t="n">
        <v>35.3</v>
      </c>
      <c r="B310" s="219" t="n">
        <f aca="false">IF(Calculator!$E$12="YES",IF(A310&lt;Calculator!$G$12,0,MIN(MIN(MOD(A310/Calculator!$F$12,1),1-MOD(A310/Calculator!$F$12,1)),ABS(MOD(A310/Calculator!$F$12,1)-0.5))),1)</f>
        <v>1</v>
      </c>
      <c r="C310" s="219" t="n">
        <f aca="false">IF(Calculator!$E$13="YES",IF(A310&lt;Calculator!$G$13,0,MIN(MIN(MOD(A310/Calculator!$F$13,1),1-MOD(A310/Calculator!$F$13,1)),ABS(MOD(A310/Calculator!$F$13,1)-0.5))),1)</f>
        <v>1</v>
      </c>
      <c r="D310" s="219" t="n">
        <f aca="false">IF(Calculator!$E$14="YES",IF(A310&lt;Calculator!$G$14,0,MIN(MIN(MOD(A310/Calculator!$F$14,1),1-MOD(A310/Calculator!$F$14,1)),ABS(MOD(A310/Calculator!$F$14,1)-0.5))),1)</f>
        <v>1</v>
      </c>
      <c r="E310" s="219" t="n">
        <f aca="false">IF(Calculator!$E$15="YES",IF(A310&lt;Calculator!$G$15,0,MIN(MIN(MOD(A310/Calculator!$F$15,1),1-MOD(A310/Calculator!$F$15,1)),ABS(MOD(A310/Calculator!$F$15,1)-0.5))),1)</f>
        <v>0.22880701754386</v>
      </c>
      <c r="F310" s="219" t="n">
        <f aca="false">IF(Calculator!$E$16="YES",IF(A310&lt;Calculator!$G$16,0,MIN(MIN(MOD(A310/Calculator!$F$16,1),1-MOD(A310/Calculator!$F$16,1)),ABS(MOD(A310/Calculator!$F$16,1)-0.5))),1)</f>
        <v>1</v>
      </c>
      <c r="G310" s="219" t="n">
        <f aca="false">IF(Calculator!$E$17="YES",IF(A310&lt;Calculator!$G$17,0,MIN(MIN(MOD(A310/Calculator!$F$17,1),1-MOD(A310/Calculator!$F$17,1)),ABS(MOD(A310/Calculator!$F$17,1)-0.5))),1)</f>
        <v>0.011421052631579</v>
      </c>
      <c r="H310" s="219" t="n">
        <f aca="false">IF(Calculator!$E$18="YES",IF(A310&lt;Calculator!$G$18,0,MIN(MIN(MOD(A310/Calculator!$F$18,1),1-MOD(A310/Calculator!$F$18,1)),ABS(MOD(A310/Calculator!$F$18,1)-0.5))),1)</f>
        <v>1</v>
      </c>
      <c r="I310" s="219" t="n">
        <f aca="false">IF(Calculator!$E$19="YES",IF(A310&lt;Calculator!$G$19,0,MIN(MIN(MOD(A310/Calculator!$F$19,1),1-MOD(A310/Calculator!$F$19,1)),ABS(MOD(A310/Calculator!$F$19,1)-0.5))),1)</f>
        <v>1</v>
      </c>
      <c r="J310" s="219" t="n">
        <f aca="false">IF(Calculator!$E$20="YES",IF(A310&lt;Calculator!$G$20,0,MIN(MIN(MOD(A310/Calculator!$F$20,1),1-MOD(A310/Calculator!$F$20,1)),ABS(MOD(A310/Calculator!$F$20,1)-0.5))),1)</f>
        <v>1</v>
      </c>
      <c r="K310" s="219" t="n">
        <f aca="false">IF(Calculator!$E$21="YES",IF(A310&lt;Calculator!$G$21,0,MIN(MIN(MOD(A310/Calculator!$F$21,1),1-MOD(A310/Calculator!$F$21,1)),ABS(MOD(A310/Calculator!$F$21,1)-0.5))),1)</f>
        <v>0.146701754385965</v>
      </c>
      <c r="L310" s="219" t="n">
        <f aca="false">IF(Calculator!$E$22="YES",IF(A310&lt;Calculator!$G$22,0,MIN(MIN(MOD(A310/Calculator!$F$22,1),1-MOD(A310/Calculator!$F$22,1)),ABS(MOD(A310/Calculator!$F$22,1)-0.5))),1)</f>
        <v>1</v>
      </c>
      <c r="M310" s="219" t="n">
        <f aca="false">MIN(B310:L310)</f>
        <v>0.011421052631579</v>
      </c>
      <c r="N310" s="219" t="n">
        <f aca="false">SUMPRODUCT(($M$7:$M$557&gt;M310)*1)+SUMPRODUCT(($M$7:$M$557=M310)*(ROW($M$7:$M$557)&lt;ROW(M310)))+1</f>
        <v>436</v>
      </c>
      <c r="O310" s="219" t="str">
        <f aca="false">IF(M310&gt;=0.2,"★★★ EXCELLENT",IF(M310&gt;=0.12,"★★  GOOD",IF(M310&gt;=0.07,"★  FAIR",IF(M310&gt;=0.025,"⚠  MARGINAL","✗  AVOID"))))</f>
        <v>✗  AVOID</v>
      </c>
    </row>
    <row r="311" customFormat="false" ht="15" hidden="false" customHeight="true" outlineLevel="0" collapsed="false">
      <c r="A311" s="216" t="n">
        <v>35.4</v>
      </c>
      <c r="B311" s="217" t="n">
        <f aca="false">IF(Calculator!$E$12="YES",IF(A311&lt;Calculator!$G$12,0,MIN(MIN(MOD(A311/Calculator!$F$12,1),1-MOD(A311/Calculator!$F$12,1)),ABS(MOD(A311/Calculator!$F$12,1)-0.5))),1)</f>
        <v>1</v>
      </c>
      <c r="C311" s="217" t="n">
        <f aca="false">IF(Calculator!$E$13="YES",IF(A311&lt;Calculator!$G$13,0,MIN(MIN(MOD(A311/Calculator!$F$13,1),1-MOD(A311/Calculator!$F$13,1)),ABS(MOD(A311/Calculator!$F$13,1)-0.5))),1)</f>
        <v>1</v>
      </c>
      <c r="D311" s="217" t="n">
        <f aca="false">IF(Calculator!$E$14="YES",IF(A311&lt;Calculator!$G$14,0,MIN(MIN(MOD(A311/Calculator!$F$14,1),1-MOD(A311/Calculator!$F$14,1)),ABS(MOD(A311/Calculator!$F$14,1)-0.5))),1)</f>
        <v>1</v>
      </c>
      <c r="E311" s="217" t="n">
        <f aca="false">IF(Calculator!$E$15="YES",IF(A311&lt;Calculator!$G$15,0,MIN(MIN(MOD(A311/Calculator!$F$15,1),1-MOD(A311/Calculator!$F$15,1)),ABS(MOD(A311/Calculator!$F$15,1)-0.5))),1)</f>
        <v>0.223789473684211</v>
      </c>
      <c r="F311" s="217" t="n">
        <f aca="false">IF(Calculator!$E$16="YES",IF(A311&lt;Calculator!$G$16,0,MIN(MIN(MOD(A311/Calculator!$F$16,1),1-MOD(A311/Calculator!$F$16,1)),ABS(MOD(A311/Calculator!$F$16,1)-0.5))),1)</f>
        <v>1</v>
      </c>
      <c r="G311" s="217" t="n">
        <f aca="false">IF(Calculator!$E$17="YES",IF(A311&lt;Calculator!$G$17,0,MIN(MIN(MOD(A311/Calculator!$F$17,1),1-MOD(A311/Calculator!$F$17,1)),ABS(MOD(A311/Calculator!$F$17,1)-0.5))),1)</f>
        <v>0.0213684210526317</v>
      </c>
      <c r="H311" s="217" t="n">
        <f aca="false">IF(Calculator!$E$18="YES",IF(A311&lt;Calculator!$G$18,0,MIN(MIN(MOD(A311/Calculator!$F$18,1),1-MOD(A311/Calculator!$F$18,1)),ABS(MOD(A311/Calculator!$F$18,1)-0.5))),1)</f>
        <v>1</v>
      </c>
      <c r="I311" s="217" t="n">
        <f aca="false">IF(Calculator!$E$19="YES",IF(A311&lt;Calculator!$G$19,0,MIN(MIN(MOD(A311/Calculator!$F$19,1),1-MOD(A311/Calculator!$F$19,1)),ABS(MOD(A311/Calculator!$F$19,1)-0.5))),1)</f>
        <v>1</v>
      </c>
      <c r="J311" s="217" t="n">
        <f aca="false">IF(Calculator!$E$20="YES",IF(A311&lt;Calculator!$G$20,0,MIN(MIN(MOD(A311/Calculator!$F$20,1),1-MOD(A311/Calculator!$F$20,1)),ABS(MOD(A311/Calculator!$F$20,1)-0.5))),1)</f>
        <v>1</v>
      </c>
      <c r="K311" s="217" t="n">
        <f aca="false">IF(Calculator!$E$21="YES",IF(A311&lt;Calculator!$G$21,0,MIN(MIN(MOD(A311/Calculator!$F$21,1),1-MOD(A311/Calculator!$F$21,1)),ABS(MOD(A311/Calculator!$F$21,1)-0.5))),1)</f>
        <v>0.166947368421052</v>
      </c>
      <c r="L311" s="217" t="n">
        <f aca="false">IF(Calculator!$E$22="YES",IF(A311&lt;Calculator!$G$22,0,MIN(MIN(MOD(A311/Calculator!$F$22,1),1-MOD(A311/Calculator!$F$22,1)),ABS(MOD(A311/Calculator!$F$22,1)-0.5))),1)</f>
        <v>1</v>
      </c>
      <c r="M311" s="217" t="n">
        <f aca="false">MIN(B311:L311)</f>
        <v>0.0213684210526317</v>
      </c>
      <c r="N311" s="217" t="n">
        <f aca="false">SUMPRODUCT(($M$7:$M$557&gt;M311)*1)+SUMPRODUCT(($M$7:$M$557=M311)*(ROW($M$7:$M$557)&lt;ROW(M311)))+1</f>
        <v>397</v>
      </c>
      <c r="O311" s="217" t="str">
        <f aca="false">IF(M311&gt;=0.2,"★★★ EXCELLENT",IF(M311&gt;=0.12,"★★  GOOD",IF(M311&gt;=0.07,"★  FAIR",IF(M311&gt;=0.025,"⚠  MARGINAL","✗  AVOID"))))</f>
        <v>✗  AVOID</v>
      </c>
    </row>
    <row r="312" customFormat="false" ht="15" hidden="false" customHeight="true" outlineLevel="0" collapsed="false">
      <c r="A312" s="218" t="n">
        <v>35.5</v>
      </c>
      <c r="B312" s="219" t="n">
        <f aca="false">IF(Calculator!$E$12="YES",IF(A312&lt;Calculator!$G$12,0,MIN(MIN(MOD(A312/Calculator!$F$12,1),1-MOD(A312/Calculator!$F$12,1)),ABS(MOD(A312/Calculator!$F$12,1)-0.5))),1)</f>
        <v>1</v>
      </c>
      <c r="C312" s="219" t="n">
        <f aca="false">IF(Calculator!$E$13="YES",IF(A312&lt;Calculator!$G$13,0,MIN(MIN(MOD(A312/Calculator!$F$13,1),1-MOD(A312/Calculator!$F$13,1)),ABS(MOD(A312/Calculator!$F$13,1)-0.5))),1)</f>
        <v>1</v>
      </c>
      <c r="D312" s="219" t="n">
        <f aca="false">IF(Calculator!$E$14="YES",IF(A312&lt;Calculator!$G$14,0,MIN(MIN(MOD(A312/Calculator!$F$14,1),1-MOD(A312/Calculator!$F$14,1)),ABS(MOD(A312/Calculator!$F$14,1)-0.5))),1)</f>
        <v>1</v>
      </c>
      <c r="E312" s="219" t="n">
        <f aca="false">IF(Calculator!$E$15="YES",IF(A312&lt;Calculator!$G$15,0,MIN(MIN(MOD(A312/Calculator!$F$15,1),1-MOD(A312/Calculator!$F$15,1)),ABS(MOD(A312/Calculator!$F$15,1)-0.5))),1)</f>
        <v>0.218771929824561</v>
      </c>
      <c r="F312" s="219" t="n">
        <f aca="false">IF(Calculator!$E$16="YES",IF(A312&lt;Calculator!$G$16,0,MIN(MIN(MOD(A312/Calculator!$F$16,1),1-MOD(A312/Calculator!$F$16,1)),ABS(MOD(A312/Calculator!$F$16,1)-0.5))),1)</f>
        <v>1</v>
      </c>
      <c r="G312" s="219" t="n">
        <f aca="false">IF(Calculator!$E$17="YES",IF(A312&lt;Calculator!$G$17,0,MIN(MIN(MOD(A312/Calculator!$F$17,1),1-MOD(A312/Calculator!$F$17,1)),ABS(MOD(A312/Calculator!$F$17,1)-0.5))),1)</f>
        <v>0.0313157894736844</v>
      </c>
      <c r="H312" s="219" t="n">
        <f aca="false">IF(Calculator!$E$18="YES",IF(A312&lt;Calculator!$G$18,0,MIN(MIN(MOD(A312/Calculator!$F$18,1),1-MOD(A312/Calculator!$F$18,1)),ABS(MOD(A312/Calculator!$F$18,1)-0.5))),1)</f>
        <v>1</v>
      </c>
      <c r="I312" s="219" t="n">
        <f aca="false">IF(Calculator!$E$19="YES",IF(A312&lt;Calculator!$G$19,0,MIN(MIN(MOD(A312/Calculator!$F$19,1),1-MOD(A312/Calculator!$F$19,1)),ABS(MOD(A312/Calculator!$F$19,1)-0.5))),1)</f>
        <v>1</v>
      </c>
      <c r="J312" s="219" t="n">
        <f aca="false">IF(Calculator!$E$20="YES",IF(A312&lt;Calculator!$G$20,0,MIN(MIN(MOD(A312/Calculator!$F$20,1),1-MOD(A312/Calculator!$F$20,1)),ABS(MOD(A312/Calculator!$F$20,1)-0.5))),1)</f>
        <v>1</v>
      </c>
      <c r="K312" s="219" t="n">
        <f aca="false">IF(Calculator!$E$21="YES",IF(A312&lt;Calculator!$G$21,0,MIN(MIN(MOD(A312/Calculator!$F$21,1),1-MOD(A312/Calculator!$F$21,1)),ABS(MOD(A312/Calculator!$F$21,1)-0.5))),1)</f>
        <v>0.18719298245614</v>
      </c>
      <c r="L312" s="219" t="n">
        <f aca="false">IF(Calculator!$E$22="YES",IF(A312&lt;Calculator!$G$22,0,MIN(MIN(MOD(A312/Calculator!$F$22,1),1-MOD(A312/Calculator!$F$22,1)),ABS(MOD(A312/Calculator!$F$22,1)-0.5))),1)</f>
        <v>1</v>
      </c>
      <c r="M312" s="219" t="n">
        <f aca="false">MIN(B312:L312)</f>
        <v>0.0313157894736844</v>
      </c>
      <c r="N312" s="219" t="n">
        <f aca="false">SUMPRODUCT(($M$7:$M$557&gt;M312)*1)+SUMPRODUCT(($M$7:$M$557=M312)*(ROW($M$7:$M$557)&lt;ROW(M312)))+1</f>
        <v>359</v>
      </c>
      <c r="O312" s="219" t="str">
        <f aca="false">IF(M312&gt;=0.2,"★★★ EXCELLENT",IF(M312&gt;=0.12,"★★  GOOD",IF(M312&gt;=0.07,"★  FAIR",IF(M312&gt;=0.025,"⚠  MARGINAL","✗  AVOID"))))</f>
        <v>⚠  MARGINAL</v>
      </c>
    </row>
    <row r="313" customFormat="false" ht="15" hidden="false" customHeight="true" outlineLevel="0" collapsed="false">
      <c r="A313" s="216" t="n">
        <v>35.6</v>
      </c>
      <c r="B313" s="217" t="n">
        <f aca="false">IF(Calculator!$E$12="YES",IF(A313&lt;Calculator!$G$12,0,MIN(MIN(MOD(A313/Calculator!$F$12,1),1-MOD(A313/Calculator!$F$12,1)),ABS(MOD(A313/Calculator!$F$12,1)-0.5))),1)</f>
        <v>1</v>
      </c>
      <c r="C313" s="217" t="n">
        <f aca="false">IF(Calculator!$E$13="YES",IF(A313&lt;Calculator!$G$13,0,MIN(MIN(MOD(A313/Calculator!$F$13,1),1-MOD(A313/Calculator!$F$13,1)),ABS(MOD(A313/Calculator!$F$13,1)-0.5))),1)</f>
        <v>1</v>
      </c>
      <c r="D313" s="217" t="n">
        <f aca="false">IF(Calculator!$E$14="YES",IF(A313&lt;Calculator!$G$14,0,MIN(MIN(MOD(A313/Calculator!$F$14,1),1-MOD(A313/Calculator!$F$14,1)),ABS(MOD(A313/Calculator!$F$14,1)-0.5))),1)</f>
        <v>1</v>
      </c>
      <c r="E313" s="217" t="n">
        <f aca="false">IF(Calculator!$E$15="YES",IF(A313&lt;Calculator!$G$15,0,MIN(MIN(MOD(A313/Calculator!$F$15,1),1-MOD(A313/Calculator!$F$15,1)),ABS(MOD(A313/Calculator!$F$15,1)-0.5))),1)</f>
        <v>0.213754385964912</v>
      </c>
      <c r="F313" s="217" t="n">
        <f aca="false">IF(Calculator!$E$16="YES",IF(A313&lt;Calculator!$G$16,0,MIN(MIN(MOD(A313/Calculator!$F$16,1),1-MOD(A313/Calculator!$F$16,1)),ABS(MOD(A313/Calculator!$F$16,1)-0.5))),1)</f>
        <v>1</v>
      </c>
      <c r="G313" s="217" t="n">
        <f aca="false">IF(Calculator!$E$17="YES",IF(A313&lt;Calculator!$G$17,0,MIN(MIN(MOD(A313/Calculator!$F$17,1),1-MOD(A313/Calculator!$F$17,1)),ABS(MOD(A313/Calculator!$F$17,1)-0.5))),1)</f>
        <v>0.0412631578947371</v>
      </c>
      <c r="H313" s="217" t="n">
        <f aca="false">IF(Calculator!$E$18="YES",IF(A313&lt;Calculator!$G$18,0,MIN(MIN(MOD(A313/Calculator!$F$18,1),1-MOD(A313/Calculator!$F$18,1)),ABS(MOD(A313/Calculator!$F$18,1)-0.5))),1)</f>
        <v>1</v>
      </c>
      <c r="I313" s="217" t="n">
        <f aca="false">IF(Calculator!$E$19="YES",IF(A313&lt;Calculator!$G$19,0,MIN(MIN(MOD(A313/Calculator!$F$19,1),1-MOD(A313/Calculator!$F$19,1)),ABS(MOD(A313/Calculator!$F$19,1)-0.5))),1)</f>
        <v>1</v>
      </c>
      <c r="J313" s="217" t="n">
        <f aca="false">IF(Calculator!$E$20="YES",IF(A313&lt;Calculator!$G$20,0,MIN(MIN(MOD(A313/Calculator!$F$20,1),1-MOD(A313/Calculator!$F$20,1)),ABS(MOD(A313/Calculator!$F$20,1)-0.5))),1)</f>
        <v>1</v>
      </c>
      <c r="K313" s="217" t="n">
        <f aca="false">IF(Calculator!$E$21="YES",IF(A313&lt;Calculator!$G$21,0,MIN(MIN(MOD(A313/Calculator!$F$21,1),1-MOD(A313/Calculator!$F$21,1)),ABS(MOD(A313/Calculator!$F$21,1)-0.5))),1)</f>
        <v>0.207438596491229</v>
      </c>
      <c r="L313" s="217" t="n">
        <f aca="false">IF(Calculator!$E$22="YES",IF(A313&lt;Calculator!$G$22,0,MIN(MIN(MOD(A313/Calculator!$F$22,1),1-MOD(A313/Calculator!$F$22,1)),ABS(MOD(A313/Calculator!$F$22,1)-0.5))),1)</f>
        <v>1</v>
      </c>
      <c r="M313" s="217" t="n">
        <f aca="false">MIN(B313:L313)</f>
        <v>0.0412631578947371</v>
      </c>
      <c r="N313" s="217" t="n">
        <f aca="false">SUMPRODUCT(($M$7:$M$557&gt;M313)*1)+SUMPRODUCT(($M$7:$M$557=M313)*(ROW($M$7:$M$557)&lt;ROW(M313)))+1</f>
        <v>320</v>
      </c>
      <c r="O313" s="217" t="str">
        <f aca="false">IF(M313&gt;=0.2,"★★★ EXCELLENT",IF(M313&gt;=0.12,"★★  GOOD",IF(M313&gt;=0.07,"★  FAIR",IF(M313&gt;=0.025,"⚠  MARGINAL","✗  AVOID"))))</f>
        <v>⚠  MARGINAL</v>
      </c>
    </row>
    <row r="314" customFormat="false" ht="15" hidden="false" customHeight="true" outlineLevel="0" collapsed="false">
      <c r="A314" s="218" t="n">
        <v>35.7</v>
      </c>
      <c r="B314" s="219" t="n">
        <f aca="false">IF(Calculator!$E$12="YES",IF(A314&lt;Calculator!$G$12,0,MIN(MIN(MOD(A314/Calculator!$F$12,1),1-MOD(A314/Calculator!$F$12,1)),ABS(MOD(A314/Calculator!$F$12,1)-0.5))),1)</f>
        <v>1</v>
      </c>
      <c r="C314" s="219" t="n">
        <f aca="false">IF(Calculator!$E$13="YES",IF(A314&lt;Calculator!$G$13,0,MIN(MIN(MOD(A314/Calculator!$F$13,1),1-MOD(A314/Calculator!$F$13,1)),ABS(MOD(A314/Calculator!$F$13,1)-0.5))),1)</f>
        <v>1</v>
      </c>
      <c r="D314" s="219" t="n">
        <f aca="false">IF(Calculator!$E$14="YES",IF(A314&lt;Calculator!$G$14,0,MIN(MIN(MOD(A314/Calculator!$F$14,1),1-MOD(A314/Calculator!$F$14,1)),ABS(MOD(A314/Calculator!$F$14,1)-0.5))),1)</f>
        <v>1</v>
      </c>
      <c r="E314" s="219" t="n">
        <f aca="false">IF(Calculator!$E$15="YES",IF(A314&lt;Calculator!$G$15,0,MIN(MIN(MOD(A314/Calculator!$F$15,1),1-MOD(A314/Calculator!$F$15,1)),ABS(MOD(A314/Calculator!$F$15,1)-0.5))),1)</f>
        <v>0.208736842105263</v>
      </c>
      <c r="F314" s="219" t="n">
        <f aca="false">IF(Calculator!$E$16="YES",IF(A314&lt;Calculator!$G$16,0,MIN(MIN(MOD(A314/Calculator!$F$16,1),1-MOD(A314/Calculator!$F$16,1)),ABS(MOD(A314/Calculator!$F$16,1)-0.5))),1)</f>
        <v>1</v>
      </c>
      <c r="G314" s="219" t="n">
        <f aca="false">IF(Calculator!$E$17="YES",IF(A314&lt;Calculator!$G$17,0,MIN(MIN(MOD(A314/Calculator!$F$17,1),1-MOD(A314/Calculator!$F$17,1)),ABS(MOD(A314/Calculator!$F$17,1)-0.5))),1)</f>
        <v>0.0512105263157898</v>
      </c>
      <c r="H314" s="219" t="n">
        <f aca="false">IF(Calculator!$E$18="YES",IF(A314&lt;Calculator!$G$18,0,MIN(MIN(MOD(A314/Calculator!$F$18,1),1-MOD(A314/Calculator!$F$18,1)),ABS(MOD(A314/Calculator!$F$18,1)-0.5))),1)</f>
        <v>1</v>
      </c>
      <c r="I314" s="219" t="n">
        <f aca="false">IF(Calculator!$E$19="YES",IF(A314&lt;Calculator!$G$19,0,MIN(MIN(MOD(A314/Calculator!$F$19,1),1-MOD(A314/Calculator!$F$19,1)),ABS(MOD(A314/Calculator!$F$19,1)-0.5))),1)</f>
        <v>1</v>
      </c>
      <c r="J314" s="219" t="n">
        <f aca="false">IF(Calculator!$E$20="YES",IF(A314&lt;Calculator!$G$20,0,MIN(MIN(MOD(A314/Calculator!$F$20,1),1-MOD(A314/Calculator!$F$20,1)),ABS(MOD(A314/Calculator!$F$20,1)-0.5))),1)</f>
        <v>1</v>
      </c>
      <c r="K314" s="219" t="n">
        <f aca="false">IF(Calculator!$E$21="YES",IF(A314&lt;Calculator!$G$21,0,MIN(MIN(MOD(A314/Calculator!$F$21,1),1-MOD(A314/Calculator!$F$21,1)),ABS(MOD(A314/Calculator!$F$21,1)-0.5))),1)</f>
        <v>0.227684210526316</v>
      </c>
      <c r="L314" s="219" t="n">
        <f aca="false">IF(Calculator!$E$22="YES",IF(A314&lt;Calculator!$G$22,0,MIN(MIN(MOD(A314/Calculator!$F$22,1),1-MOD(A314/Calculator!$F$22,1)),ABS(MOD(A314/Calculator!$F$22,1)-0.5))),1)</f>
        <v>1</v>
      </c>
      <c r="M314" s="219" t="n">
        <f aca="false">MIN(B314:L314)</f>
        <v>0.0512105263157898</v>
      </c>
      <c r="N314" s="219" t="n">
        <f aca="false">SUMPRODUCT(($M$7:$M$557&gt;M314)*1)+SUMPRODUCT(($M$7:$M$557=M314)*(ROW($M$7:$M$557)&lt;ROW(M314)))+1</f>
        <v>280</v>
      </c>
      <c r="O314" s="219" t="str">
        <f aca="false">IF(M314&gt;=0.2,"★★★ EXCELLENT",IF(M314&gt;=0.12,"★★  GOOD",IF(M314&gt;=0.07,"★  FAIR",IF(M314&gt;=0.025,"⚠  MARGINAL","✗  AVOID"))))</f>
        <v>⚠  MARGINAL</v>
      </c>
    </row>
    <row r="315" customFormat="false" ht="15" hidden="false" customHeight="true" outlineLevel="0" collapsed="false">
      <c r="A315" s="216" t="n">
        <v>35.8</v>
      </c>
      <c r="B315" s="217" t="n">
        <f aca="false">IF(Calculator!$E$12="YES",IF(A315&lt;Calculator!$G$12,0,MIN(MIN(MOD(A315/Calculator!$F$12,1),1-MOD(A315/Calculator!$F$12,1)),ABS(MOD(A315/Calculator!$F$12,1)-0.5))),1)</f>
        <v>1</v>
      </c>
      <c r="C315" s="217" t="n">
        <f aca="false">IF(Calculator!$E$13="YES",IF(A315&lt;Calculator!$G$13,0,MIN(MIN(MOD(A315/Calculator!$F$13,1),1-MOD(A315/Calculator!$F$13,1)),ABS(MOD(A315/Calculator!$F$13,1)-0.5))),1)</f>
        <v>1</v>
      </c>
      <c r="D315" s="217" t="n">
        <f aca="false">IF(Calculator!$E$14="YES",IF(A315&lt;Calculator!$G$14,0,MIN(MIN(MOD(A315/Calculator!$F$14,1),1-MOD(A315/Calculator!$F$14,1)),ABS(MOD(A315/Calculator!$F$14,1)-0.5))),1)</f>
        <v>1</v>
      </c>
      <c r="E315" s="217" t="n">
        <f aca="false">IF(Calculator!$E$15="YES",IF(A315&lt;Calculator!$G$15,0,MIN(MIN(MOD(A315/Calculator!$F$15,1),1-MOD(A315/Calculator!$F$15,1)),ABS(MOD(A315/Calculator!$F$15,1)-0.5))),1)</f>
        <v>0.203719298245614</v>
      </c>
      <c r="F315" s="217" t="n">
        <f aca="false">IF(Calculator!$E$16="YES",IF(A315&lt;Calculator!$G$16,0,MIN(MIN(MOD(A315/Calculator!$F$16,1),1-MOD(A315/Calculator!$F$16,1)),ABS(MOD(A315/Calculator!$F$16,1)-0.5))),1)</f>
        <v>1</v>
      </c>
      <c r="G315" s="217" t="n">
        <f aca="false">IF(Calculator!$E$17="YES",IF(A315&lt;Calculator!$G$17,0,MIN(MIN(MOD(A315/Calculator!$F$17,1),1-MOD(A315/Calculator!$F$17,1)),ABS(MOD(A315/Calculator!$F$17,1)-0.5))),1)</f>
        <v>0.0611578947368421</v>
      </c>
      <c r="H315" s="217" t="n">
        <f aca="false">IF(Calculator!$E$18="YES",IF(A315&lt;Calculator!$G$18,0,MIN(MIN(MOD(A315/Calculator!$F$18,1),1-MOD(A315/Calculator!$F$18,1)),ABS(MOD(A315/Calculator!$F$18,1)-0.5))),1)</f>
        <v>1</v>
      </c>
      <c r="I315" s="217" t="n">
        <f aca="false">IF(Calculator!$E$19="YES",IF(A315&lt;Calculator!$G$19,0,MIN(MIN(MOD(A315/Calculator!$F$19,1),1-MOD(A315/Calculator!$F$19,1)),ABS(MOD(A315/Calculator!$F$19,1)-0.5))),1)</f>
        <v>1</v>
      </c>
      <c r="J315" s="217" t="n">
        <f aca="false">IF(Calculator!$E$20="YES",IF(A315&lt;Calculator!$G$20,0,MIN(MIN(MOD(A315/Calculator!$F$20,1),1-MOD(A315/Calculator!$F$20,1)),ABS(MOD(A315/Calculator!$F$20,1)-0.5))),1)</f>
        <v>1</v>
      </c>
      <c r="K315" s="217" t="n">
        <f aca="false">IF(Calculator!$E$21="YES",IF(A315&lt;Calculator!$G$21,0,MIN(MIN(MOD(A315/Calculator!$F$21,1),1-MOD(A315/Calculator!$F$21,1)),ABS(MOD(A315/Calculator!$F$21,1)-0.5))),1)</f>
        <v>0.247929824561403</v>
      </c>
      <c r="L315" s="217" t="n">
        <f aca="false">IF(Calculator!$E$22="YES",IF(A315&lt;Calculator!$G$22,0,MIN(MIN(MOD(A315/Calculator!$F$22,1),1-MOD(A315/Calculator!$F$22,1)),ABS(MOD(A315/Calculator!$F$22,1)-0.5))),1)</f>
        <v>1</v>
      </c>
      <c r="M315" s="217" t="n">
        <f aca="false">MIN(B315:L315)</f>
        <v>0.0611578947368421</v>
      </c>
      <c r="N315" s="217" t="n">
        <f aca="false">SUMPRODUCT(($M$7:$M$557&gt;M315)*1)+SUMPRODUCT(($M$7:$M$557=M315)*(ROW($M$7:$M$557)&lt;ROW(M315)))+1</f>
        <v>240</v>
      </c>
      <c r="O315" s="217" t="str">
        <f aca="false">IF(M315&gt;=0.2,"★★★ EXCELLENT",IF(M315&gt;=0.12,"★★  GOOD",IF(M315&gt;=0.07,"★  FAIR",IF(M315&gt;=0.025,"⚠  MARGINAL","✗  AVOID"))))</f>
        <v>⚠  MARGINAL</v>
      </c>
    </row>
    <row r="316" customFormat="false" ht="15" hidden="false" customHeight="true" outlineLevel="0" collapsed="false">
      <c r="A316" s="218" t="n">
        <v>35.9</v>
      </c>
      <c r="B316" s="219" t="n">
        <f aca="false">IF(Calculator!$E$12="YES",IF(A316&lt;Calculator!$G$12,0,MIN(MIN(MOD(A316/Calculator!$F$12,1),1-MOD(A316/Calculator!$F$12,1)),ABS(MOD(A316/Calculator!$F$12,1)-0.5))),1)</f>
        <v>1</v>
      </c>
      <c r="C316" s="219" t="n">
        <f aca="false">IF(Calculator!$E$13="YES",IF(A316&lt;Calculator!$G$13,0,MIN(MIN(MOD(A316/Calculator!$F$13,1),1-MOD(A316/Calculator!$F$13,1)),ABS(MOD(A316/Calculator!$F$13,1)-0.5))),1)</f>
        <v>1</v>
      </c>
      <c r="D316" s="219" t="n">
        <f aca="false">IF(Calculator!$E$14="YES",IF(A316&lt;Calculator!$G$14,0,MIN(MIN(MOD(A316/Calculator!$F$14,1),1-MOD(A316/Calculator!$F$14,1)),ABS(MOD(A316/Calculator!$F$14,1)-0.5))),1)</f>
        <v>1</v>
      </c>
      <c r="E316" s="219" t="n">
        <f aca="false">IF(Calculator!$E$15="YES",IF(A316&lt;Calculator!$G$15,0,MIN(MIN(MOD(A316/Calculator!$F$15,1),1-MOD(A316/Calculator!$F$15,1)),ABS(MOD(A316/Calculator!$F$15,1)-0.5))),1)</f>
        <v>0.198701754385965</v>
      </c>
      <c r="F316" s="219" t="n">
        <f aca="false">IF(Calculator!$E$16="YES",IF(A316&lt;Calculator!$G$16,0,MIN(MIN(MOD(A316/Calculator!$F$16,1),1-MOD(A316/Calculator!$F$16,1)),ABS(MOD(A316/Calculator!$F$16,1)-0.5))),1)</f>
        <v>1</v>
      </c>
      <c r="G316" s="219" t="n">
        <f aca="false">IF(Calculator!$E$17="YES",IF(A316&lt;Calculator!$G$17,0,MIN(MIN(MOD(A316/Calculator!$F$17,1),1-MOD(A316/Calculator!$F$17,1)),ABS(MOD(A316/Calculator!$F$17,1)-0.5))),1)</f>
        <v>0.0711052631578948</v>
      </c>
      <c r="H316" s="219" t="n">
        <f aca="false">IF(Calculator!$E$18="YES",IF(A316&lt;Calculator!$G$18,0,MIN(MIN(MOD(A316/Calculator!$F$18,1),1-MOD(A316/Calculator!$F$18,1)),ABS(MOD(A316/Calculator!$F$18,1)-0.5))),1)</f>
        <v>1</v>
      </c>
      <c r="I316" s="219" t="n">
        <f aca="false">IF(Calculator!$E$19="YES",IF(A316&lt;Calculator!$G$19,0,MIN(MIN(MOD(A316/Calculator!$F$19,1),1-MOD(A316/Calculator!$F$19,1)),ABS(MOD(A316/Calculator!$F$19,1)-0.5))),1)</f>
        <v>1</v>
      </c>
      <c r="J316" s="219" t="n">
        <f aca="false">IF(Calculator!$E$20="YES",IF(A316&lt;Calculator!$G$20,0,MIN(MIN(MOD(A316/Calculator!$F$20,1),1-MOD(A316/Calculator!$F$20,1)),ABS(MOD(A316/Calculator!$F$20,1)-0.5))),1)</f>
        <v>1</v>
      </c>
      <c r="K316" s="219" t="n">
        <f aca="false">IF(Calculator!$E$21="YES",IF(A316&lt;Calculator!$G$21,0,MIN(MIN(MOD(A316/Calculator!$F$21,1),1-MOD(A316/Calculator!$F$21,1)),ABS(MOD(A316/Calculator!$F$21,1)-0.5))),1)</f>
        <v>0.231824561403509</v>
      </c>
      <c r="L316" s="219" t="n">
        <f aca="false">IF(Calculator!$E$22="YES",IF(A316&lt;Calculator!$G$22,0,MIN(MIN(MOD(A316/Calculator!$F$22,1),1-MOD(A316/Calculator!$F$22,1)),ABS(MOD(A316/Calculator!$F$22,1)-0.5))),1)</f>
        <v>1</v>
      </c>
      <c r="M316" s="219" t="n">
        <f aca="false">MIN(B316:L316)</f>
        <v>0.0711052631578948</v>
      </c>
      <c r="N316" s="219" t="n">
        <f aca="false">SUMPRODUCT(($M$7:$M$557&gt;M316)*1)+SUMPRODUCT(($M$7:$M$557=M316)*(ROW($M$7:$M$557)&lt;ROW(M316)))+1</f>
        <v>203</v>
      </c>
      <c r="O316" s="219" t="str">
        <f aca="false">IF(M316&gt;=0.2,"★★★ EXCELLENT",IF(M316&gt;=0.12,"★★  GOOD",IF(M316&gt;=0.07,"★  FAIR",IF(M316&gt;=0.025,"⚠  MARGINAL","✗  AVOID"))))</f>
        <v>★  FAIR</v>
      </c>
    </row>
    <row r="317" customFormat="false" ht="15" hidden="false" customHeight="true" outlineLevel="0" collapsed="false">
      <c r="A317" s="216" t="n">
        <v>36</v>
      </c>
      <c r="B317" s="217" t="n">
        <f aca="false">IF(Calculator!$E$12="YES",IF(A317&lt;Calculator!$G$12,0,MIN(MIN(MOD(A317/Calculator!$F$12,1),1-MOD(A317/Calculator!$F$12,1)),ABS(MOD(A317/Calculator!$F$12,1)-0.5))),1)</f>
        <v>1</v>
      </c>
      <c r="C317" s="217" t="n">
        <f aca="false">IF(Calculator!$E$13="YES",IF(A317&lt;Calculator!$G$13,0,MIN(MIN(MOD(A317/Calculator!$F$13,1),1-MOD(A317/Calculator!$F$13,1)),ABS(MOD(A317/Calculator!$F$13,1)-0.5))),1)</f>
        <v>1</v>
      </c>
      <c r="D317" s="217" t="n">
        <f aca="false">IF(Calculator!$E$14="YES",IF(A317&lt;Calculator!$G$14,0,MIN(MIN(MOD(A317/Calculator!$F$14,1),1-MOD(A317/Calculator!$F$14,1)),ABS(MOD(A317/Calculator!$F$14,1)-0.5))),1)</f>
        <v>1</v>
      </c>
      <c r="E317" s="217" t="n">
        <f aca="false">IF(Calculator!$E$15="YES",IF(A317&lt;Calculator!$G$15,0,MIN(MIN(MOD(A317/Calculator!$F$15,1),1-MOD(A317/Calculator!$F$15,1)),ABS(MOD(A317/Calculator!$F$15,1)-0.5))),1)</f>
        <v>0.193684210526316</v>
      </c>
      <c r="F317" s="217" t="n">
        <f aca="false">IF(Calculator!$E$16="YES",IF(A317&lt;Calculator!$G$16,0,MIN(MIN(MOD(A317/Calculator!$F$16,1),1-MOD(A317/Calculator!$F$16,1)),ABS(MOD(A317/Calculator!$F$16,1)-0.5))),1)</f>
        <v>1</v>
      </c>
      <c r="G317" s="217" t="n">
        <f aca="false">IF(Calculator!$E$17="YES",IF(A317&lt;Calculator!$G$17,0,MIN(MIN(MOD(A317/Calculator!$F$17,1),1-MOD(A317/Calculator!$F$17,1)),ABS(MOD(A317/Calculator!$F$17,1)-0.5))),1)</f>
        <v>0.0810526315789475</v>
      </c>
      <c r="H317" s="217" t="n">
        <f aca="false">IF(Calculator!$E$18="YES",IF(A317&lt;Calculator!$G$18,0,MIN(MIN(MOD(A317/Calculator!$F$18,1),1-MOD(A317/Calculator!$F$18,1)),ABS(MOD(A317/Calculator!$F$18,1)-0.5))),1)</f>
        <v>1</v>
      </c>
      <c r="I317" s="217" t="n">
        <f aca="false">IF(Calculator!$E$19="YES",IF(A317&lt;Calculator!$G$19,0,MIN(MIN(MOD(A317/Calculator!$F$19,1),1-MOD(A317/Calculator!$F$19,1)),ABS(MOD(A317/Calculator!$F$19,1)-0.5))),1)</f>
        <v>1</v>
      </c>
      <c r="J317" s="217" t="n">
        <f aca="false">IF(Calculator!$E$20="YES",IF(A317&lt;Calculator!$G$20,0,MIN(MIN(MOD(A317/Calculator!$F$20,1),1-MOD(A317/Calculator!$F$20,1)),ABS(MOD(A317/Calculator!$F$20,1)-0.5))),1)</f>
        <v>1</v>
      </c>
      <c r="K317" s="217" t="n">
        <f aca="false">IF(Calculator!$E$21="YES",IF(A317&lt;Calculator!$G$21,0,MIN(MIN(MOD(A317/Calculator!$F$21,1),1-MOD(A317/Calculator!$F$21,1)),ABS(MOD(A317/Calculator!$F$21,1)-0.5))),1)</f>
        <v>0.211578947368421</v>
      </c>
      <c r="L317" s="217" t="n">
        <f aca="false">IF(Calculator!$E$22="YES",IF(A317&lt;Calculator!$G$22,0,MIN(MIN(MOD(A317/Calculator!$F$22,1),1-MOD(A317/Calculator!$F$22,1)),ABS(MOD(A317/Calculator!$F$22,1)-0.5))),1)</f>
        <v>1</v>
      </c>
      <c r="M317" s="217" t="n">
        <f aca="false">MIN(B317:L317)</f>
        <v>0.0810526315789475</v>
      </c>
      <c r="N317" s="217" t="n">
        <f aca="false">SUMPRODUCT(($M$7:$M$557&gt;M317)*1)+SUMPRODUCT(($M$7:$M$557=M317)*(ROW($M$7:$M$557)&lt;ROW(M317)))+1</f>
        <v>164</v>
      </c>
      <c r="O317" s="217" t="str">
        <f aca="false">IF(M317&gt;=0.2,"★★★ EXCELLENT",IF(M317&gt;=0.12,"★★  GOOD",IF(M317&gt;=0.07,"★  FAIR",IF(M317&gt;=0.025,"⚠  MARGINAL","✗  AVOID"))))</f>
        <v>★  FAIR</v>
      </c>
    </row>
    <row r="318" customFormat="false" ht="15" hidden="false" customHeight="true" outlineLevel="0" collapsed="false">
      <c r="A318" s="218" t="n">
        <v>36.1</v>
      </c>
      <c r="B318" s="219" t="n">
        <f aca="false">IF(Calculator!$E$12="YES",IF(A318&lt;Calculator!$G$12,0,MIN(MIN(MOD(A318/Calculator!$F$12,1),1-MOD(A318/Calculator!$F$12,1)),ABS(MOD(A318/Calculator!$F$12,1)-0.5))),1)</f>
        <v>1</v>
      </c>
      <c r="C318" s="219" t="n">
        <f aca="false">IF(Calculator!$E$13="YES",IF(A318&lt;Calculator!$G$13,0,MIN(MIN(MOD(A318/Calculator!$F$13,1),1-MOD(A318/Calculator!$F$13,1)),ABS(MOD(A318/Calculator!$F$13,1)-0.5))),1)</f>
        <v>1</v>
      </c>
      <c r="D318" s="219" t="n">
        <f aca="false">IF(Calculator!$E$14="YES",IF(A318&lt;Calculator!$G$14,0,MIN(MIN(MOD(A318/Calculator!$F$14,1),1-MOD(A318/Calculator!$F$14,1)),ABS(MOD(A318/Calculator!$F$14,1)-0.5))),1)</f>
        <v>1</v>
      </c>
      <c r="E318" s="219" t="n">
        <f aca="false">IF(Calculator!$E$15="YES",IF(A318&lt;Calculator!$G$15,0,MIN(MIN(MOD(A318/Calculator!$F$15,1),1-MOD(A318/Calculator!$F$15,1)),ABS(MOD(A318/Calculator!$F$15,1)-0.5))),1)</f>
        <v>0.188666666666667</v>
      </c>
      <c r="F318" s="219" t="n">
        <f aca="false">IF(Calculator!$E$16="YES",IF(A318&lt;Calculator!$G$16,0,MIN(MIN(MOD(A318/Calculator!$F$16,1),1-MOD(A318/Calculator!$F$16,1)),ABS(MOD(A318/Calculator!$F$16,1)-0.5))),1)</f>
        <v>1</v>
      </c>
      <c r="G318" s="219" t="n">
        <f aca="false">IF(Calculator!$E$17="YES",IF(A318&lt;Calculator!$G$17,0,MIN(MIN(MOD(A318/Calculator!$F$17,1),1-MOD(A318/Calculator!$F$17,1)),ABS(MOD(A318/Calculator!$F$17,1)-0.5))),1)</f>
        <v>0.0910000000000006</v>
      </c>
      <c r="H318" s="219" t="n">
        <f aca="false">IF(Calculator!$E$18="YES",IF(A318&lt;Calculator!$G$18,0,MIN(MIN(MOD(A318/Calculator!$F$18,1),1-MOD(A318/Calculator!$F$18,1)),ABS(MOD(A318/Calculator!$F$18,1)-0.5))),1)</f>
        <v>1</v>
      </c>
      <c r="I318" s="219" t="n">
        <f aca="false">IF(Calculator!$E$19="YES",IF(A318&lt;Calculator!$G$19,0,MIN(MIN(MOD(A318/Calculator!$F$19,1),1-MOD(A318/Calculator!$F$19,1)),ABS(MOD(A318/Calculator!$F$19,1)-0.5))),1)</f>
        <v>1</v>
      </c>
      <c r="J318" s="219" t="n">
        <f aca="false">IF(Calculator!$E$20="YES",IF(A318&lt;Calculator!$G$20,0,MIN(MIN(MOD(A318/Calculator!$F$20,1),1-MOD(A318/Calculator!$F$20,1)),ABS(MOD(A318/Calculator!$F$20,1)-0.5))),1)</f>
        <v>1</v>
      </c>
      <c r="K318" s="219" t="n">
        <f aca="false">IF(Calculator!$E$21="YES",IF(A318&lt;Calculator!$G$21,0,MIN(MIN(MOD(A318/Calculator!$F$21,1),1-MOD(A318/Calculator!$F$21,1)),ABS(MOD(A318/Calculator!$F$21,1)-0.5))),1)</f>
        <v>0.191333333333334</v>
      </c>
      <c r="L318" s="219" t="n">
        <f aca="false">IF(Calculator!$E$22="YES",IF(A318&lt;Calculator!$G$22,0,MIN(MIN(MOD(A318/Calculator!$F$22,1),1-MOD(A318/Calculator!$F$22,1)),ABS(MOD(A318/Calculator!$F$22,1)-0.5))),1)</f>
        <v>1</v>
      </c>
      <c r="M318" s="219" t="n">
        <f aca="false">MIN(B318:L318)</f>
        <v>0.0910000000000006</v>
      </c>
      <c r="N318" s="219" t="n">
        <f aca="false">SUMPRODUCT(($M$7:$M$557&gt;M318)*1)+SUMPRODUCT(($M$7:$M$557=M318)*(ROW($M$7:$M$557)&lt;ROW(M318)))+1</f>
        <v>131</v>
      </c>
      <c r="O318" s="219" t="str">
        <f aca="false">IF(M318&gt;=0.2,"★★★ EXCELLENT",IF(M318&gt;=0.12,"★★  GOOD",IF(M318&gt;=0.07,"★  FAIR",IF(M318&gt;=0.025,"⚠  MARGINAL","✗  AVOID"))))</f>
        <v>★  FAIR</v>
      </c>
    </row>
    <row r="319" customFormat="false" ht="15" hidden="false" customHeight="true" outlineLevel="0" collapsed="false">
      <c r="A319" s="216" t="n">
        <v>36.2</v>
      </c>
      <c r="B319" s="217" t="n">
        <f aca="false">IF(Calculator!$E$12="YES",IF(A319&lt;Calculator!$G$12,0,MIN(MIN(MOD(A319/Calculator!$F$12,1),1-MOD(A319/Calculator!$F$12,1)),ABS(MOD(A319/Calculator!$F$12,1)-0.5))),1)</f>
        <v>1</v>
      </c>
      <c r="C319" s="217" t="n">
        <f aca="false">IF(Calculator!$E$13="YES",IF(A319&lt;Calculator!$G$13,0,MIN(MIN(MOD(A319/Calculator!$F$13,1),1-MOD(A319/Calculator!$F$13,1)),ABS(MOD(A319/Calculator!$F$13,1)-0.5))),1)</f>
        <v>1</v>
      </c>
      <c r="D319" s="217" t="n">
        <f aca="false">IF(Calculator!$E$14="YES",IF(A319&lt;Calculator!$G$14,0,MIN(MIN(MOD(A319/Calculator!$F$14,1),1-MOD(A319/Calculator!$F$14,1)),ABS(MOD(A319/Calculator!$F$14,1)-0.5))),1)</f>
        <v>1</v>
      </c>
      <c r="E319" s="217" t="n">
        <f aca="false">IF(Calculator!$E$15="YES",IF(A319&lt;Calculator!$G$15,0,MIN(MIN(MOD(A319/Calculator!$F$15,1),1-MOD(A319/Calculator!$F$15,1)),ABS(MOD(A319/Calculator!$F$15,1)-0.5))),1)</f>
        <v>0.183649122807017</v>
      </c>
      <c r="F319" s="217" t="n">
        <f aca="false">IF(Calculator!$E$16="YES",IF(A319&lt;Calculator!$G$16,0,MIN(MIN(MOD(A319/Calculator!$F$16,1),1-MOD(A319/Calculator!$F$16,1)),ABS(MOD(A319/Calculator!$F$16,1)-0.5))),1)</f>
        <v>1</v>
      </c>
      <c r="G319" s="217" t="n">
        <f aca="false">IF(Calculator!$E$17="YES",IF(A319&lt;Calculator!$G$17,0,MIN(MIN(MOD(A319/Calculator!$F$17,1),1-MOD(A319/Calculator!$F$17,1)),ABS(MOD(A319/Calculator!$F$17,1)-0.5))),1)</f>
        <v>0.100947368421053</v>
      </c>
      <c r="H319" s="217" t="n">
        <f aca="false">IF(Calculator!$E$18="YES",IF(A319&lt;Calculator!$G$18,0,MIN(MIN(MOD(A319/Calculator!$F$18,1),1-MOD(A319/Calculator!$F$18,1)),ABS(MOD(A319/Calculator!$F$18,1)-0.5))),1)</f>
        <v>1</v>
      </c>
      <c r="I319" s="217" t="n">
        <f aca="false">IF(Calculator!$E$19="YES",IF(A319&lt;Calculator!$G$19,0,MIN(MIN(MOD(A319/Calculator!$F$19,1),1-MOD(A319/Calculator!$F$19,1)),ABS(MOD(A319/Calculator!$F$19,1)-0.5))),1)</f>
        <v>1</v>
      </c>
      <c r="J319" s="217" t="n">
        <f aca="false">IF(Calculator!$E$20="YES",IF(A319&lt;Calculator!$G$20,0,MIN(MIN(MOD(A319/Calculator!$F$20,1),1-MOD(A319/Calculator!$F$20,1)),ABS(MOD(A319/Calculator!$F$20,1)-0.5))),1)</f>
        <v>1</v>
      </c>
      <c r="K319" s="217" t="n">
        <f aca="false">IF(Calculator!$E$21="YES",IF(A319&lt;Calculator!$G$21,0,MIN(MIN(MOD(A319/Calculator!$F$21,1),1-MOD(A319/Calculator!$F$21,1)),ABS(MOD(A319/Calculator!$F$21,1)-0.5))),1)</f>
        <v>0.171087719298245</v>
      </c>
      <c r="L319" s="217" t="n">
        <f aca="false">IF(Calculator!$E$22="YES",IF(A319&lt;Calculator!$G$22,0,MIN(MIN(MOD(A319/Calculator!$F$22,1),1-MOD(A319/Calculator!$F$22,1)),ABS(MOD(A319/Calculator!$F$22,1)-0.5))),1)</f>
        <v>1</v>
      </c>
      <c r="M319" s="217" t="n">
        <f aca="false">MIN(B319:L319)</f>
        <v>0.100947368421053</v>
      </c>
      <c r="N319" s="217" t="n">
        <f aca="false">SUMPRODUCT(($M$7:$M$557&gt;M319)*1)+SUMPRODUCT(($M$7:$M$557=M319)*(ROW($M$7:$M$557)&lt;ROW(M319)))+1</f>
        <v>103</v>
      </c>
      <c r="O319" s="217" t="str">
        <f aca="false">IF(M319&gt;=0.2,"★★★ EXCELLENT",IF(M319&gt;=0.12,"★★  GOOD",IF(M319&gt;=0.07,"★  FAIR",IF(M319&gt;=0.025,"⚠  MARGINAL","✗  AVOID"))))</f>
        <v>★  FAIR</v>
      </c>
    </row>
    <row r="320" customFormat="false" ht="15" hidden="false" customHeight="true" outlineLevel="0" collapsed="false">
      <c r="A320" s="218" t="n">
        <v>36.3</v>
      </c>
      <c r="B320" s="219" t="n">
        <f aca="false">IF(Calculator!$E$12="YES",IF(A320&lt;Calculator!$G$12,0,MIN(MIN(MOD(A320/Calculator!$F$12,1),1-MOD(A320/Calculator!$F$12,1)),ABS(MOD(A320/Calculator!$F$12,1)-0.5))),1)</f>
        <v>1</v>
      </c>
      <c r="C320" s="219" t="n">
        <f aca="false">IF(Calculator!$E$13="YES",IF(A320&lt;Calculator!$G$13,0,MIN(MIN(MOD(A320/Calculator!$F$13,1),1-MOD(A320/Calculator!$F$13,1)),ABS(MOD(A320/Calculator!$F$13,1)-0.5))),1)</f>
        <v>1</v>
      </c>
      <c r="D320" s="219" t="n">
        <f aca="false">IF(Calculator!$E$14="YES",IF(A320&lt;Calculator!$G$14,0,MIN(MIN(MOD(A320/Calculator!$F$14,1),1-MOD(A320/Calculator!$F$14,1)),ABS(MOD(A320/Calculator!$F$14,1)-0.5))),1)</f>
        <v>1</v>
      </c>
      <c r="E320" s="219" t="n">
        <f aca="false">IF(Calculator!$E$15="YES",IF(A320&lt;Calculator!$G$15,0,MIN(MIN(MOD(A320/Calculator!$F$15,1),1-MOD(A320/Calculator!$F$15,1)),ABS(MOD(A320/Calculator!$F$15,1)-0.5))),1)</f>
        <v>0.178631578947368</v>
      </c>
      <c r="F320" s="219" t="n">
        <f aca="false">IF(Calculator!$E$16="YES",IF(A320&lt;Calculator!$G$16,0,MIN(MIN(MOD(A320/Calculator!$F$16,1),1-MOD(A320/Calculator!$F$16,1)),ABS(MOD(A320/Calculator!$F$16,1)-0.5))),1)</f>
        <v>1</v>
      </c>
      <c r="G320" s="219" t="n">
        <f aca="false">IF(Calculator!$E$17="YES",IF(A320&lt;Calculator!$G$17,0,MIN(MIN(MOD(A320/Calculator!$F$17,1),1-MOD(A320/Calculator!$F$17,1)),ABS(MOD(A320/Calculator!$F$17,1)-0.5))),1)</f>
        <v>0.110894736842105</v>
      </c>
      <c r="H320" s="219" t="n">
        <f aca="false">IF(Calculator!$E$18="YES",IF(A320&lt;Calculator!$G$18,0,MIN(MIN(MOD(A320/Calculator!$F$18,1),1-MOD(A320/Calculator!$F$18,1)),ABS(MOD(A320/Calculator!$F$18,1)-0.5))),1)</f>
        <v>1</v>
      </c>
      <c r="I320" s="219" t="n">
        <f aca="false">IF(Calculator!$E$19="YES",IF(A320&lt;Calculator!$G$19,0,MIN(MIN(MOD(A320/Calculator!$F$19,1),1-MOD(A320/Calculator!$F$19,1)),ABS(MOD(A320/Calculator!$F$19,1)-0.5))),1)</f>
        <v>1</v>
      </c>
      <c r="J320" s="219" t="n">
        <f aca="false">IF(Calculator!$E$20="YES",IF(A320&lt;Calculator!$G$20,0,MIN(MIN(MOD(A320/Calculator!$F$20,1),1-MOD(A320/Calculator!$F$20,1)),ABS(MOD(A320/Calculator!$F$20,1)-0.5))),1)</f>
        <v>1</v>
      </c>
      <c r="K320" s="219" t="n">
        <f aca="false">IF(Calculator!$E$21="YES",IF(A320&lt;Calculator!$G$21,0,MIN(MIN(MOD(A320/Calculator!$F$21,1),1-MOD(A320/Calculator!$F$21,1)),ABS(MOD(A320/Calculator!$F$21,1)-0.5))),1)</f>
        <v>0.150842105263159</v>
      </c>
      <c r="L320" s="219" t="n">
        <f aca="false">IF(Calculator!$E$22="YES",IF(A320&lt;Calculator!$G$22,0,MIN(MIN(MOD(A320/Calculator!$F$22,1),1-MOD(A320/Calculator!$F$22,1)),ABS(MOD(A320/Calculator!$F$22,1)-0.5))),1)</f>
        <v>1</v>
      </c>
      <c r="M320" s="219" t="n">
        <f aca="false">MIN(B320:L320)</f>
        <v>0.110894736842105</v>
      </c>
      <c r="N320" s="219" t="n">
        <f aca="false">SUMPRODUCT(($M$7:$M$557&gt;M320)*1)+SUMPRODUCT(($M$7:$M$557=M320)*(ROW($M$7:$M$557)&lt;ROW(M320)))+1</f>
        <v>82</v>
      </c>
      <c r="O320" s="219" t="str">
        <f aca="false">IF(M320&gt;=0.2,"★★★ EXCELLENT",IF(M320&gt;=0.12,"★★  GOOD",IF(M320&gt;=0.07,"★  FAIR",IF(M320&gt;=0.025,"⚠  MARGINAL","✗  AVOID"))))</f>
        <v>★  FAIR</v>
      </c>
    </row>
    <row r="321" customFormat="false" ht="15" hidden="false" customHeight="true" outlineLevel="0" collapsed="false">
      <c r="A321" s="216" t="n">
        <v>36.4</v>
      </c>
      <c r="B321" s="217" t="n">
        <f aca="false">IF(Calculator!$E$12="YES",IF(A321&lt;Calculator!$G$12,0,MIN(MIN(MOD(A321/Calculator!$F$12,1),1-MOD(A321/Calculator!$F$12,1)),ABS(MOD(A321/Calculator!$F$12,1)-0.5))),1)</f>
        <v>1</v>
      </c>
      <c r="C321" s="217" t="n">
        <f aca="false">IF(Calculator!$E$13="YES",IF(A321&lt;Calculator!$G$13,0,MIN(MIN(MOD(A321/Calculator!$F$13,1),1-MOD(A321/Calculator!$F$13,1)),ABS(MOD(A321/Calculator!$F$13,1)-0.5))),1)</f>
        <v>1</v>
      </c>
      <c r="D321" s="217" t="n">
        <f aca="false">IF(Calculator!$E$14="YES",IF(A321&lt;Calculator!$G$14,0,MIN(MIN(MOD(A321/Calculator!$F$14,1),1-MOD(A321/Calculator!$F$14,1)),ABS(MOD(A321/Calculator!$F$14,1)-0.5))),1)</f>
        <v>1</v>
      </c>
      <c r="E321" s="217" t="n">
        <f aca="false">IF(Calculator!$E$15="YES",IF(A321&lt;Calculator!$G$15,0,MIN(MIN(MOD(A321/Calculator!$F$15,1),1-MOD(A321/Calculator!$F$15,1)),ABS(MOD(A321/Calculator!$F$15,1)-0.5))),1)</f>
        <v>0.173614035087719</v>
      </c>
      <c r="F321" s="217" t="n">
        <f aca="false">IF(Calculator!$E$16="YES",IF(A321&lt;Calculator!$G$16,0,MIN(MIN(MOD(A321/Calculator!$F$16,1),1-MOD(A321/Calculator!$F$16,1)),ABS(MOD(A321/Calculator!$F$16,1)-0.5))),1)</f>
        <v>1</v>
      </c>
      <c r="G321" s="217" t="n">
        <f aca="false">IF(Calculator!$E$17="YES",IF(A321&lt;Calculator!$G$17,0,MIN(MIN(MOD(A321/Calculator!$F$17,1),1-MOD(A321/Calculator!$F$17,1)),ABS(MOD(A321/Calculator!$F$17,1)-0.5))),1)</f>
        <v>0.120842105263158</v>
      </c>
      <c r="H321" s="217" t="n">
        <f aca="false">IF(Calculator!$E$18="YES",IF(A321&lt;Calculator!$G$18,0,MIN(MIN(MOD(A321/Calculator!$F$18,1),1-MOD(A321/Calculator!$F$18,1)),ABS(MOD(A321/Calculator!$F$18,1)-0.5))),1)</f>
        <v>1</v>
      </c>
      <c r="I321" s="217" t="n">
        <f aca="false">IF(Calculator!$E$19="YES",IF(A321&lt;Calculator!$G$19,0,MIN(MIN(MOD(A321/Calculator!$F$19,1),1-MOD(A321/Calculator!$F$19,1)),ABS(MOD(A321/Calculator!$F$19,1)-0.5))),1)</f>
        <v>1</v>
      </c>
      <c r="J321" s="217" t="n">
        <f aca="false">IF(Calculator!$E$20="YES",IF(A321&lt;Calculator!$G$20,0,MIN(MIN(MOD(A321/Calculator!$F$20,1),1-MOD(A321/Calculator!$F$20,1)),ABS(MOD(A321/Calculator!$F$20,1)-0.5))),1)</f>
        <v>1</v>
      </c>
      <c r="K321" s="217" t="n">
        <f aca="false">IF(Calculator!$E$21="YES",IF(A321&lt;Calculator!$G$21,0,MIN(MIN(MOD(A321/Calculator!$F$21,1),1-MOD(A321/Calculator!$F$21,1)),ABS(MOD(A321/Calculator!$F$21,1)-0.5))),1)</f>
        <v>0.13059649122807</v>
      </c>
      <c r="L321" s="217" t="n">
        <f aca="false">IF(Calculator!$E$22="YES",IF(A321&lt;Calculator!$G$22,0,MIN(MIN(MOD(A321/Calculator!$F$22,1),1-MOD(A321/Calculator!$F$22,1)),ABS(MOD(A321/Calculator!$F$22,1)-0.5))),1)</f>
        <v>1</v>
      </c>
      <c r="M321" s="217" t="n">
        <f aca="false">MIN(B321:L321)</f>
        <v>0.120842105263158</v>
      </c>
      <c r="N321" s="217" t="n">
        <f aca="false">SUMPRODUCT(($M$7:$M$557&gt;M321)*1)+SUMPRODUCT(($M$7:$M$557=M321)*(ROW($M$7:$M$557)&lt;ROW(M321)))+1</f>
        <v>65</v>
      </c>
      <c r="O321" s="217" t="str">
        <f aca="false">IF(M321&gt;=0.2,"★★★ EXCELLENT",IF(M321&gt;=0.12,"★★  GOOD",IF(M321&gt;=0.07,"★  FAIR",IF(M321&gt;=0.025,"⚠  MARGINAL","✗  AVOID"))))</f>
        <v>★★  GOOD</v>
      </c>
    </row>
    <row r="322" customFormat="false" ht="15" hidden="false" customHeight="true" outlineLevel="0" collapsed="false">
      <c r="A322" s="218" t="n">
        <v>36.5</v>
      </c>
      <c r="B322" s="219" t="n">
        <f aca="false">IF(Calculator!$E$12="YES",IF(A322&lt;Calculator!$G$12,0,MIN(MIN(MOD(A322/Calculator!$F$12,1),1-MOD(A322/Calculator!$F$12,1)),ABS(MOD(A322/Calculator!$F$12,1)-0.5))),1)</f>
        <v>1</v>
      </c>
      <c r="C322" s="219" t="n">
        <f aca="false">IF(Calculator!$E$13="YES",IF(A322&lt;Calculator!$G$13,0,MIN(MIN(MOD(A322/Calculator!$F$13,1),1-MOD(A322/Calculator!$F$13,1)),ABS(MOD(A322/Calculator!$F$13,1)-0.5))),1)</f>
        <v>1</v>
      </c>
      <c r="D322" s="219" t="n">
        <f aca="false">IF(Calculator!$E$14="YES",IF(A322&lt;Calculator!$G$14,0,MIN(MIN(MOD(A322/Calculator!$F$14,1),1-MOD(A322/Calculator!$F$14,1)),ABS(MOD(A322/Calculator!$F$14,1)-0.5))),1)</f>
        <v>1</v>
      </c>
      <c r="E322" s="219" t="n">
        <f aca="false">IF(Calculator!$E$15="YES",IF(A322&lt;Calculator!$G$15,0,MIN(MIN(MOD(A322/Calculator!$F$15,1),1-MOD(A322/Calculator!$F$15,1)),ABS(MOD(A322/Calculator!$F$15,1)-0.5))),1)</f>
        <v>0.16859649122807</v>
      </c>
      <c r="F322" s="219" t="n">
        <f aca="false">IF(Calculator!$E$16="YES",IF(A322&lt;Calculator!$G$16,0,MIN(MIN(MOD(A322/Calculator!$F$16,1),1-MOD(A322/Calculator!$F$16,1)),ABS(MOD(A322/Calculator!$F$16,1)-0.5))),1)</f>
        <v>1</v>
      </c>
      <c r="G322" s="219" t="n">
        <f aca="false">IF(Calculator!$E$17="YES",IF(A322&lt;Calculator!$G$17,0,MIN(MIN(MOD(A322/Calculator!$F$17,1),1-MOD(A322/Calculator!$F$17,1)),ABS(MOD(A322/Calculator!$F$17,1)-0.5))),1)</f>
        <v>0.130789473684211</v>
      </c>
      <c r="H322" s="219" t="n">
        <f aca="false">IF(Calculator!$E$18="YES",IF(A322&lt;Calculator!$G$18,0,MIN(MIN(MOD(A322/Calculator!$F$18,1),1-MOD(A322/Calculator!$F$18,1)),ABS(MOD(A322/Calculator!$F$18,1)-0.5))),1)</f>
        <v>1</v>
      </c>
      <c r="I322" s="219" t="n">
        <f aca="false">IF(Calculator!$E$19="YES",IF(A322&lt;Calculator!$G$19,0,MIN(MIN(MOD(A322/Calculator!$F$19,1),1-MOD(A322/Calculator!$F$19,1)),ABS(MOD(A322/Calculator!$F$19,1)-0.5))),1)</f>
        <v>1</v>
      </c>
      <c r="J322" s="219" t="n">
        <f aca="false">IF(Calculator!$E$20="YES",IF(A322&lt;Calculator!$G$20,0,MIN(MIN(MOD(A322/Calculator!$F$20,1),1-MOD(A322/Calculator!$F$20,1)),ABS(MOD(A322/Calculator!$F$20,1)-0.5))),1)</f>
        <v>1</v>
      </c>
      <c r="K322" s="219" t="n">
        <f aca="false">IF(Calculator!$E$21="YES",IF(A322&lt;Calculator!$G$21,0,MIN(MIN(MOD(A322/Calculator!$F$21,1),1-MOD(A322/Calculator!$F$21,1)),ABS(MOD(A322/Calculator!$F$21,1)-0.5))),1)</f>
        <v>0.110350877192983</v>
      </c>
      <c r="L322" s="219" t="n">
        <f aca="false">IF(Calculator!$E$22="YES",IF(A322&lt;Calculator!$G$22,0,MIN(MIN(MOD(A322/Calculator!$F$22,1),1-MOD(A322/Calculator!$F$22,1)),ABS(MOD(A322/Calculator!$F$22,1)-0.5))),1)</f>
        <v>1</v>
      </c>
      <c r="M322" s="219" t="n">
        <f aca="false">MIN(B322:L322)</f>
        <v>0.110350877192983</v>
      </c>
      <c r="N322" s="219" t="n">
        <f aca="false">SUMPRODUCT(($M$7:$M$557&gt;M322)*1)+SUMPRODUCT(($M$7:$M$557=M322)*(ROW($M$7:$M$557)&lt;ROW(M322)))+1</f>
        <v>83</v>
      </c>
      <c r="O322" s="219" t="str">
        <f aca="false">IF(M322&gt;=0.2,"★★★ EXCELLENT",IF(M322&gt;=0.12,"★★  GOOD",IF(M322&gt;=0.07,"★  FAIR",IF(M322&gt;=0.025,"⚠  MARGINAL","✗  AVOID"))))</f>
        <v>★  FAIR</v>
      </c>
    </row>
    <row r="323" customFormat="false" ht="15" hidden="false" customHeight="true" outlineLevel="0" collapsed="false">
      <c r="A323" s="216" t="n">
        <v>36.6</v>
      </c>
      <c r="B323" s="217" t="n">
        <f aca="false">IF(Calculator!$E$12="YES",IF(A323&lt;Calculator!$G$12,0,MIN(MIN(MOD(A323/Calculator!$F$12,1),1-MOD(A323/Calculator!$F$12,1)),ABS(MOD(A323/Calculator!$F$12,1)-0.5))),1)</f>
        <v>1</v>
      </c>
      <c r="C323" s="217" t="n">
        <f aca="false">IF(Calculator!$E$13="YES",IF(A323&lt;Calculator!$G$13,0,MIN(MIN(MOD(A323/Calculator!$F$13,1),1-MOD(A323/Calculator!$F$13,1)),ABS(MOD(A323/Calculator!$F$13,1)-0.5))),1)</f>
        <v>1</v>
      </c>
      <c r="D323" s="217" t="n">
        <f aca="false">IF(Calculator!$E$14="YES",IF(A323&lt;Calculator!$G$14,0,MIN(MIN(MOD(A323/Calculator!$F$14,1),1-MOD(A323/Calculator!$F$14,1)),ABS(MOD(A323/Calculator!$F$14,1)-0.5))),1)</f>
        <v>1</v>
      </c>
      <c r="E323" s="217" t="n">
        <f aca="false">IF(Calculator!$E$15="YES",IF(A323&lt;Calculator!$G$15,0,MIN(MIN(MOD(A323/Calculator!$F$15,1),1-MOD(A323/Calculator!$F$15,1)),ABS(MOD(A323/Calculator!$F$15,1)-0.5))),1)</f>
        <v>0.163578947368421</v>
      </c>
      <c r="F323" s="217" t="n">
        <f aca="false">IF(Calculator!$E$16="YES",IF(A323&lt;Calculator!$G$16,0,MIN(MIN(MOD(A323/Calculator!$F$16,1),1-MOD(A323/Calculator!$F$16,1)),ABS(MOD(A323/Calculator!$F$16,1)-0.5))),1)</f>
        <v>1</v>
      </c>
      <c r="G323" s="217" t="n">
        <f aca="false">IF(Calculator!$E$17="YES",IF(A323&lt;Calculator!$G$17,0,MIN(MIN(MOD(A323/Calculator!$F$17,1),1-MOD(A323/Calculator!$F$17,1)),ABS(MOD(A323/Calculator!$F$17,1)-0.5))),1)</f>
        <v>0.140736842105264</v>
      </c>
      <c r="H323" s="217" t="n">
        <f aca="false">IF(Calculator!$E$18="YES",IF(A323&lt;Calculator!$G$18,0,MIN(MIN(MOD(A323/Calculator!$F$18,1),1-MOD(A323/Calculator!$F$18,1)),ABS(MOD(A323/Calculator!$F$18,1)-0.5))),1)</f>
        <v>1</v>
      </c>
      <c r="I323" s="217" t="n">
        <f aca="false">IF(Calculator!$E$19="YES",IF(A323&lt;Calculator!$G$19,0,MIN(MIN(MOD(A323/Calculator!$F$19,1),1-MOD(A323/Calculator!$F$19,1)),ABS(MOD(A323/Calculator!$F$19,1)-0.5))),1)</f>
        <v>1</v>
      </c>
      <c r="J323" s="217" t="n">
        <f aca="false">IF(Calculator!$E$20="YES",IF(A323&lt;Calculator!$G$20,0,MIN(MIN(MOD(A323/Calculator!$F$20,1),1-MOD(A323/Calculator!$F$20,1)),ABS(MOD(A323/Calculator!$F$20,1)-0.5))),1)</f>
        <v>1</v>
      </c>
      <c r="K323" s="217" t="n">
        <f aca="false">IF(Calculator!$E$21="YES",IF(A323&lt;Calculator!$G$21,0,MIN(MIN(MOD(A323/Calculator!$F$21,1),1-MOD(A323/Calculator!$F$21,1)),ABS(MOD(A323/Calculator!$F$21,1)-0.5))),1)</f>
        <v>0.0901052631578949</v>
      </c>
      <c r="L323" s="217" t="n">
        <f aca="false">IF(Calculator!$E$22="YES",IF(A323&lt;Calculator!$G$22,0,MIN(MIN(MOD(A323/Calculator!$F$22,1),1-MOD(A323/Calculator!$F$22,1)),ABS(MOD(A323/Calculator!$F$22,1)-0.5))),1)</f>
        <v>1</v>
      </c>
      <c r="M323" s="217" t="n">
        <f aca="false">MIN(B323:L323)</f>
        <v>0.0901052631578949</v>
      </c>
      <c r="N323" s="217" t="n">
        <f aca="false">SUMPRODUCT(($M$7:$M$557&gt;M323)*1)+SUMPRODUCT(($M$7:$M$557=M323)*(ROW($M$7:$M$557)&lt;ROW(M323)))+1</f>
        <v>134</v>
      </c>
      <c r="O323" s="217" t="str">
        <f aca="false">IF(M323&gt;=0.2,"★★★ EXCELLENT",IF(M323&gt;=0.12,"★★  GOOD",IF(M323&gt;=0.07,"★  FAIR",IF(M323&gt;=0.025,"⚠  MARGINAL","✗  AVOID"))))</f>
        <v>★  FAIR</v>
      </c>
    </row>
    <row r="324" customFormat="false" ht="15" hidden="false" customHeight="true" outlineLevel="0" collapsed="false">
      <c r="A324" s="218" t="n">
        <v>36.7</v>
      </c>
      <c r="B324" s="219" t="n">
        <f aca="false">IF(Calculator!$E$12="YES",IF(A324&lt;Calculator!$G$12,0,MIN(MIN(MOD(A324/Calculator!$F$12,1),1-MOD(A324/Calculator!$F$12,1)),ABS(MOD(A324/Calculator!$F$12,1)-0.5))),1)</f>
        <v>1</v>
      </c>
      <c r="C324" s="219" t="n">
        <f aca="false">IF(Calculator!$E$13="YES",IF(A324&lt;Calculator!$G$13,0,MIN(MIN(MOD(A324/Calculator!$F$13,1),1-MOD(A324/Calculator!$F$13,1)),ABS(MOD(A324/Calculator!$F$13,1)-0.5))),1)</f>
        <v>1</v>
      </c>
      <c r="D324" s="219" t="n">
        <f aca="false">IF(Calculator!$E$14="YES",IF(A324&lt;Calculator!$G$14,0,MIN(MIN(MOD(A324/Calculator!$F$14,1),1-MOD(A324/Calculator!$F$14,1)),ABS(MOD(A324/Calculator!$F$14,1)-0.5))),1)</f>
        <v>1</v>
      </c>
      <c r="E324" s="219" t="n">
        <f aca="false">IF(Calculator!$E$15="YES",IF(A324&lt;Calculator!$G$15,0,MIN(MIN(MOD(A324/Calculator!$F$15,1),1-MOD(A324/Calculator!$F$15,1)),ABS(MOD(A324/Calculator!$F$15,1)-0.5))),1)</f>
        <v>0.158561403508772</v>
      </c>
      <c r="F324" s="219" t="n">
        <f aca="false">IF(Calculator!$E$16="YES",IF(A324&lt;Calculator!$G$16,0,MIN(MIN(MOD(A324/Calculator!$F$16,1),1-MOD(A324/Calculator!$F$16,1)),ABS(MOD(A324/Calculator!$F$16,1)-0.5))),1)</f>
        <v>1</v>
      </c>
      <c r="G324" s="219" t="n">
        <f aca="false">IF(Calculator!$E$17="YES",IF(A324&lt;Calculator!$G$17,0,MIN(MIN(MOD(A324/Calculator!$F$17,1),1-MOD(A324/Calculator!$F$17,1)),ABS(MOD(A324/Calculator!$F$17,1)-0.5))),1)</f>
        <v>0.150684210526316</v>
      </c>
      <c r="H324" s="219" t="n">
        <f aca="false">IF(Calculator!$E$18="YES",IF(A324&lt;Calculator!$G$18,0,MIN(MIN(MOD(A324/Calculator!$F$18,1),1-MOD(A324/Calculator!$F$18,1)),ABS(MOD(A324/Calculator!$F$18,1)-0.5))),1)</f>
        <v>1</v>
      </c>
      <c r="I324" s="219" t="n">
        <f aca="false">IF(Calculator!$E$19="YES",IF(A324&lt;Calculator!$G$19,0,MIN(MIN(MOD(A324/Calculator!$F$19,1),1-MOD(A324/Calculator!$F$19,1)),ABS(MOD(A324/Calculator!$F$19,1)-0.5))),1)</f>
        <v>1</v>
      </c>
      <c r="J324" s="219" t="n">
        <f aca="false">IF(Calculator!$E$20="YES",IF(A324&lt;Calculator!$G$20,0,MIN(MIN(MOD(A324/Calculator!$F$20,1),1-MOD(A324/Calculator!$F$20,1)),ABS(MOD(A324/Calculator!$F$20,1)-0.5))),1)</f>
        <v>1</v>
      </c>
      <c r="K324" s="219" t="n">
        <f aca="false">IF(Calculator!$E$21="YES",IF(A324&lt;Calculator!$G$21,0,MIN(MIN(MOD(A324/Calculator!$F$21,1),1-MOD(A324/Calculator!$F$21,1)),ABS(MOD(A324/Calculator!$F$21,1)-0.5))),1)</f>
        <v>0.0698596491228063</v>
      </c>
      <c r="L324" s="219" t="n">
        <f aca="false">IF(Calculator!$E$22="YES",IF(A324&lt;Calculator!$G$22,0,MIN(MIN(MOD(A324/Calculator!$F$22,1),1-MOD(A324/Calculator!$F$22,1)),ABS(MOD(A324/Calculator!$F$22,1)-0.5))),1)</f>
        <v>1</v>
      </c>
      <c r="M324" s="219" t="n">
        <f aca="false">MIN(B324:L324)</f>
        <v>0.0698596491228063</v>
      </c>
      <c r="N324" s="219" t="n">
        <f aca="false">SUMPRODUCT(($M$7:$M$557&gt;M324)*1)+SUMPRODUCT(($M$7:$M$557=M324)*(ROW($M$7:$M$557)&lt;ROW(M324)))+1</f>
        <v>208</v>
      </c>
      <c r="O324" s="219" t="str">
        <f aca="false">IF(M324&gt;=0.2,"★★★ EXCELLENT",IF(M324&gt;=0.12,"★★  GOOD",IF(M324&gt;=0.07,"★  FAIR",IF(M324&gt;=0.025,"⚠  MARGINAL","✗  AVOID"))))</f>
        <v>⚠  MARGINAL</v>
      </c>
    </row>
    <row r="325" customFormat="false" ht="15" hidden="false" customHeight="true" outlineLevel="0" collapsed="false">
      <c r="A325" s="216" t="n">
        <v>36.8</v>
      </c>
      <c r="B325" s="217" t="n">
        <f aca="false">IF(Calculator!$E$12="YES",IF(A325&lt;Calculator!$G$12,0,MIN(MIN(MOD(A325/Calculator!$F$12,1),1-MOD(A325/Calculator!$F$12,1)),ABS(MOD(A325/Calculator!$F$12,1)-0.5))),1)</f>
        <v>1</v>
      </c>
      <c r="C325" s="217" t="n">
        <f aca="false">IF(Calculator!$E$13="YES",IF(A325&lt;Calculator!$G$13,0,MIN(MIN(MOD(A325/Calculator!$F$13,1),1-MOD(A325/Calculator!$F$13,1)),ABS(MOD(A325/Calculator!$F$13,1)-0.5))),1)</f>
        <v>1</v>
      </c>
      <c r="D325" s="217" t="n">
        <f aca="false">IF(Calculator!$E$14="YES",IF(A325&lt;Calculator!$G$14,0,MIN(MIN(MOD(A325/Calculator!$F$14,1),1-MOD(A325/Calculator!$F$14,1)),ABS(MOD(A325/Calculator!$F$14,1)-0.5))),1)</f>
        <v>1</v>
      </c>
      <c r="E325" s="217" t="n">
        <f aca="false">IF(Calculator!$E$15="YES",IF(A325&lt;Calculator!$G$15,0,MIN(MIN(MOD(A325/Calculator!$F$15,1),1-MOD(A325/Calculator!$F$15,1)),ABS(MOD(A325/Calculator!$F$15,1)-0.5))),1)</f>
        <v>0.153543859649123</v>
      </c>
      <c r="F325" s="217" t="n">
        <f aca="false">IF(Calculator!$E$16="YES",IF(A325&lt;Calculator!$G$16,0,MIN(MIN(MOD(A325/Calculator!$F$16,1),1-MOD(A325/Calculator!$F$16,1)),ABS(MOD(A325/Calculator!$F$16,1)-0.5))),1)</f>
        <v>1</v>
      </c>
      <c r="G325" s="217" t="n">
        <f aca="false">IF(Calculator!$E$17="YES",IF(A325&lt;Calculator!$G$17,0,MIN(MIN(MOD(A325/Calculator!$F$17,1),1-MOD(A325/Calculator!$F$17,1)),ABS(MOD(A325/Calculator!$F$17,1)-0.5))),1)</f>
        <v>0.160631578947368</v>
      </c>
      <c r="H325" s="217" t="n">
        <f aca="false">IF(Calculator!$E$18="YES",IF(A325&lt;Calculator!$G$18,0,MIN(MIN(MOD(A325/Calculator!$F$18,1),1-MOD(A325/Calculator!$F$18,1)),ABS(MOD(A325/Calculator!$F$18,1)-0.5))),1)</f>
        <v>1</v>
      </c>
      <c r="I325" s="217" t="n">
        <f aca="false">IF(Calculator!$E$19="YES",IF(A325&lt;Calculator!$G$19,0,MIN(MIN(MOD(A325/Calculator!$F$19,1),1-MOD(A325/Calculator!$F$19,1)),ABS(MOD(A325/Calculator!$F$19,1)-0.5))),1)</f>
        <v>1</v>
      </c>
      <c r="J325" s="217" t="n">
        <f aca="false">IF(Calculator!$E$20="YES",IF(A325&lt;Calculator!$G$20,0,MIN(MIN(MOD(A325/Calculator!$F$20,1),1-MOD(A325/Calculator!$F$20,1)),ABS(MOD(A325/Calculator!$F$20,1)-0.5))),1)</f>
        <v>1</v>
      </c>
      <c r="K325" s="217" t="n">
        <f aca="false">IF(Calculator!$E$21="YES",IF(A325&lt;Calculator!$G$21,0,MIN(MIN(MOD(A325/Calculator!$F$21,1),1-MOD(A325/Calculator!$F$21,1)),ABS(MOD(A325/Calculator!$F$21,1)-0.5))),1)</f>
        <v>0.0496140350877203</v>
      </c>
      <c r="L325" s="217" t="n">
        <f aca="false">IF(Calculator!$E$22="YES",IF(A325&lt;Calculator!$G$22,0,MIN(MIN(MOD(A325/Calculator!$F$22,1),1-MOD(A325/Calculator!$F$22,1)),ABS(MOD(A325/Calculator!$F$22,1)-0.5))),1)</f>
        <v>1</v>
      </c>
      <c r="M325" s="217" t="n">
        <f aca="false">MIN(B325:L325)</f>
        <v>0.0496140350877203</v>
      </c>
      <c r="N325" s="217" t="n">
        <f aca="false">SUMPRODUCT(($M$7:$M$557&gt;M325)*1)+SUMPRODUCT(($M$7:$M$557=M325)*(ROW($M$7:$M$557)&lt;ROW(M325)))+1</f>
        <v>288</v>
      </c>
      <c r="O325" s="217" t="str">
        <f aca="false">IF(M325&gt;=0.2,"★★★ EXCELLENT",IF(M325&gt;=0.12,"★★  GOOD",IF(M325&gt;=0.07,"★  FAIR",IF(M325&gt;=0.025,"⚠  MARGINAL","✗  AVOID"))))</f>
        <v>⚠  MARGINAL</v>
      </c>
    </row>
    <row r="326" customFormat="false" ht="15" hidden="false" customHeight="true" outlineLevel="0" collapsed="false">
      <c r="A326" s="218" t="n">
        <v>36.9</v>
      </c>
      <c r="B326" s="219" t="n">
        <f aca="false">IF(Calculator!$E$12="YES",IF(A326&lt;Calculator!$G$12,0,MIN(MIN(MOD(A326/Calculator!$F$12,1),1-MOD(A326/Calculator!$F$12,1)),ABS(MOD(A326/Calculator!$F$12,1)-0.5))),1)</f>
        <v>1</v>
      </c>
      <c r="C326" s="219" t="n">
        <f aca="false">IF(Calculator!$E$13="YES",IF(A326&lt;Calculator!$G$13,0,MIN(MIN(MOD(A326/Calculator!$F$13,1),1-MOD(A326/Calculator!$F$13,1)),ABS(MOD(A326/Calculator!$F$13,1)-0.5))),1)</f>
        <v>1</v>
      </c>
      <c r="D326" s="219" t="n">
        <f aca="false">IF(Calculator!$E$14="YES",IF(A326&lt;Calculator!$G$14,0,MIN(MIN(MOD(A326/Calculator!$F$14,1),1-MOD(A326/Calculator!$F$14,1)),ABS(MOD(A326/Calculator!$F$14,1)-0.5))),1)</f>
        <v>1</v>
      </c>
      <c r="E326" s="219" t="n">
        <f aca="false">IF(Calculator!$E$15="YES",IF(A326&lt;Calculator!$G$15,0,MIN(MIN(MOD(A326/Calculator!$F$15,1),1-MOD(A326/Calculator!$F$15,1)),ABS(MOD(A326/Calculator!$F$15,1)-0.5))),1)</f>
        <v>0.148526315789474</v>
      </c>
      <c r="F326" s="219" t="n">
        <f aca="false">IF(Calculator!$E$16="YES",IF(A326&lt;Calculator!$G$16,0,MIN(MIN(MOD(A326/Calculator!$F$16,1),1-MOD(A326/Calculator!$F$16,1)),ABS(MOD(A326/Calculator!$F$16,1)-0.5))),1)</f>
        <v>1</v>
      </c>
      <c r="G326" s="219" t="n">
        <f aca="false">IF(Calculator!$E$17="YES",IF(A326&lt;Calculator!$G$17,0,MIN(MIN(MOD(A326/Calculator!$F$17,1),1-MOD(A326/Calculator!$F$17,1)),ABS(MOD(A326/Calculator!$F$17,1)-0.5))),1)</f>
        <v>0.170578947368421</v>
      </c>
      <c r="H326" s="219" t="n">
        <f aca="false">IF(Calculator!$E$18="YES",IF(A326&lt;Calculator!$G$18,0,MIN(MIN(MOD(A326/Calculator!$F$18,1),1-MOD(A326/Calculator!$F$18,1)),ABS(MOD(A326/Calculator!$F$18,1)-0.5))),1)</f>
        <v>1</v>
      </c>
      <c r="I326" s="219" t="n">
        <f aca="false">IF(Calculator!$E$19="YES",IF(A326&lt;Calculator!$G$19,0,MIN(MIN(MOD(A326/Calculator!$F$19,1),1-MOD(A326/Calculator!$F$19,1)),ABS(MOD(A326/Calculator!$F$19,1)-0.5))),1)</f>
        <v>1</v>
      </c>
      <c r="J326" s="219" t="n">
        <f aca="false">IF(Calculator!$E$20="YES",IF(A326&lt;Calculator!$G$20,0,MIN(MIN(MOD(A326/Calculator!$F$20,1),1-MOD(A326/Calculator!$F$20,1)),ABS(MOD(A326/Calculator!$F$20,1)-0.5))),1)</f>
        <v>1</v>
      </c>
      <c r="K326" s="219" t="n">
        <f aca="false">IF(Calculator!$E$21="YES",IF(A326&lt;Calculator!$G$21,0,MIN(MIN(MOD(A326/Calculator!$F$21,1),1-MOD(A326/Calculator!$F$21,1)),ABS(MOD(A326/Calculator!$F$21,1)-0.5))),1)</f>
        <v>0.0293684210526317</v>
      </c>
      <c r="L326" s="219" t="n">
        <f aca="false">IF(Calculator!$E$22="YES",IF(A326&lt;Calculator!$G$22,0,MIN(MIN(MOD(A326/Calculator!$F$22,1),1-MOD(A326/Calculator!$F$22,1)),ABS(MOD(A326/Calculator!$F$22,1)-0.5))),1)</f>
        <v>1</v>
      </c>
      <c r="M326" s="219" t="n">
        <f aca="false">MIN(B326:L326)</f>
        <v>0.0293684210526317</v>
      </c>
      <c r="N326" s="219" t="n">
        <f aca="false">SUMPRODUCT(($M$7:$M$557&gt;M326)*1)+SUMPRODUCT(($M$7:$M$557=M326)*(ROW($M$7:$M$557)&lt;ROW(M326)))+1</f>
        <v>367</v>
      </c>
      <c r="O326" s="219" t="str">
        <f aca="false">IF(M326&gt;=0.2,"★★★ EXCELLENT",IF(M326&gt;=0.12,"★★  GOOD",IF(M326&gt;=0.07,"★  FAIR",IF(M326&gt;=0.025,"⚠  MARGINAL","✗  AVOID"))))</f>
        <v>⚠  MARGINAL</v>
      </c>
    </row>
    <row r="327" customFormat="false" ht="15" hidden="false" customHeight="true" outlineLevel="0" collapsed="false">
      <c r="A327" s="216" t="n">
        <v>37</v>
      </c>
      <c r="B327" s="217" t="n">
        <f aca="false">IF(Calculator!$E$12="YES",IF(A327&lt;Calculator!$G$12,0,MIN(MIN(MOD(A327/Calculator!$F$12,1),1-MOD(A327/Calculator!$F$12,1)),ABS(MOD(A327/Calculator!$F$12,1)-0.5))),1)</f>
        <v>1</v>
      </c>
      <c r="C327" s="217" t="n">
        <f aca="false">IF(Calculator!$E$13="YES",IF(A327&lt;Calculator!$G$13,0,MIN(MIN(MOD(A327/Calculator!$F$13,1),1-MOD(A327/Calculator!$F$13,1)),ABS(MOD(A327/Calculator!$F$13,1)-0.5))),1)</f>
        <v>1</v>
      </c>
      <c r="D327" s="217" t="n">
        <f aca="false">IF(Calculator!$E$14="YES",IF(A327&lt;Calculator!$G$14,0,MIN(MIN(MOD(A327/Calculator!$F$14,1),1-MOD(A327/Calculator!$F$14,1)),ABS(MOD(A327/Calculator!$F$14,1)-0.5))),1)</f>
        <v>1</v>
      </c>
      <c r="E327" s="217" t="n">
        <f aca="false">IF(Calculator!$E$15="YES",IF(A327&lt;Calculator!$G$15,0,MIN(MIN(MOD(A327/Calculator!$F$15,1),1-MOD(A327/Calculator!$F$15,1)),ABS(MOD(A327/Calculator!$F$15,1)-0.5))),1)</f>
        <v>0.143508771929824</v>
      </c>
      <c r="F327" s="217" t="n">
        <f aca="false">IF(Calculator!$E$16="YES",IF(A327&lt;Calculator!$G$16,0,MIN(MIN(MOD(A327/Calculator!$F$16,1),1-MOD(A327/Calculator!$F$16,1)),ABS(MOD(A327/Calculator!$F$16,1)-0.5))),1)</f>
        <v>1</v>
      </c>
      <c r="G327" s="217" t="n">
        <f aca="false">IF(Calculator!$E$17="YES",IF(A327&lt;Calculator!$G$17,0,MIN(MIN(MOD(A327/Calculator!$F$17,1),1-MOD(A327/Calculator!$F$17,1)),ABS(MOD(A327/Calculator!$F$17,1)-0.5))),1)</f>
        <v>0.180526315789474</v>
      </c>
      <c r="H327" s="217" t="n">
        <f aca="false">IF(Calculator!$E$18="YES",IF(A327&lt;Calculator!$G$18,0,MIN(MIN(MOD(A327/Calculator!$F$18,1),1-MOD(A327/Calculator!$F$18,1)),ABS(MOD(A327/Calculator!$F$18,1)-0.5))),1)</f>
        <v>1</v>
      </c>
      <c r="I327" s="217" t="n">
        <f aca="false">IF(Calculator!$E$19="YES",IF(A327&lt;Calculator!$G$19,0,MIN(MIN(MOD(A327/Calculator!$F$19,1),1-MOD(A327/Calculator!$F$19,1)),ABS(MOD(A327/Calculator!$F$19,1)-0.5))),1)</f>
        <v>1</v>
      </c>
      <c r="J327" s="217" t="n">
        <f aca="false">IF(Calculator!$E$20="YES",IF(A327&lt;Calculator!$G$20,0,MIN(MIN(MOD(A327/Calculator!$F$20,1),1-MOD(A327/Calculator!$F$20,1)),ABS(MOD(A327/Calculator!$F$20,1)-0.5))),1)</f>
        <v>1</v>
      </c>
      <c r="K327" s="217" t="n">
        <f aca="false">IF(Calculator!$E$21="YES",IF(A327&lt;Calculator!$G$21,0,MIN(MIN(MOD(A327/Calculator!$F$21,1),1-MOD(A327/Calculator!$F$21,1)),ABS(MOD(A327/Calculator!$F$21,1)-0.5))),1)</f>
        <v>0.00912280701754398</v>
      </c>
      <c r="L327" s="217" t="n">
        <f aca="false">IF(Calculator!$E$22="YES",IF(A327&lt;Calculator!$G$22,0,MIN(MIN(MOD(A327/Calculator!$F$22,1),1-MOD(A327/Calculator!$F$22,1)),ABS(MOD(A327/Calculator!$F$22,1)-0.5))),1)</f>
        <v>1</v>
      </c>
      <c r="M327" s="217" t="n">
        <f aca="false">MIN(B327:L327)</f>
        <v>0.00912280701754398</v>
      </c>
      <c r="N327" s="217" t="n">
        <f aca="false">SUMPRODUCT(($M$7:$M$557&gt;M327)*1)+SUMPRODUCT(($M$7:$M$557=M327)*(ROW($M$7:$M$557)&lt;ROW(M327)))+1</f>
        <v>449</v>
      </c>
      <c r="O327" s="217" t="str">
        <f aca="false">IF(M327&gt;=0.2,"★★★ EXCELLENT",IF(M327&gt;=0.12,"★★  GOOD",IF(M327&gt;=0.07,"★  FAIR",IF(M327&gt;=0.025,"⚠  MARGINAL","✗  AVOID"))))</f>
        <v>✗  AVOID</v>
      </c>
    </row>
    <row r="328" customFormat="false" ht="15" hidden="false" customHeight="true" outlineLevel="0" collapsed="false">
      <c r="A328" s="218" t="n">
        <v>37.1</v>
      </c>
      <c r="B328" s="219" t="n">
        <f aca="false">IF(Calculator!$E$12="YES",IF(A328&lt;Calculator!$G$12,0,MIN(MIN(MOD(A328/Calculator!$F$12,1),1-MOD(A328/Calculator!$F$12,1)),ABS(MOD(A328/Calculator!$F$12,1)-0.5))),1)</f>
        <v>1</v>
      </c>
      <c r="C328" s="219" t="n">
        <f aca="false">IF(Calculator!$E$13="YES",IF(A328&lt;Calculator!$G$13,0,MIN(MIN(MOD(A328/Calculator!$F$13,1),1-MOD(A328/Calculator!$F$13,1)),ABS(MOD(A328/Calculator!$F$13,1)-0.5))),1)</f>
        <v>1</v>
      </c>
      <c r="D328" s="219" t="n">
        <f aca="false">IF(Calculator!$E$14="YES",IF(A328&lt;Calculator!$G$14,0,MIN(MIN(MOD(A328/Calculator!$F$14,1),1-MOD(A328/Calculator!$F$14,1)),ABS(MOD(A328/Calculator!$F$14,1)-0.5))),1)</f>
        <v>1</v>
      </c>
      <c r="E328" s="219" t="n">
        <f aca="false">IF(Calculator!$E$15="YES",IF(A328&lt;Calculator!$G$15,0,MIN(MIN(MOD(A328/Calculator!$F$15,1),1-MOD(A328/Calculator!$F$15,1)),ABS(MOD(A328/Calculator!$F$15,1)-0.5))),1)</f>
        <v>0.138491228070175</v>
      </c>
      <c r="F328" s="219" t="n">
        <f aca="false">IF(Calculator!$E$16="YES",IF(A328&lt;Calculator!$G$16,0,MIN(MIN(MOD(A328/Calculator!$F$16,1),1-MOD(A328/Calculator!$F$16,1)),ABS(MOD(A328/Calculator!$F$16,1)-0.5))),1)</f>
        <v>1</v>
      </c>
      <c r="G328" s="219" t="n">
        <f aca="false">IF(Calculator!$E$17="YES",IF(A328&lt;Calculator!$G$17,0,MIN(MIN(MOD(A328/Calculator!$F$17,1),1-MOD(A328/Calculator!$F$17,1)),ABS(MOD(A328/Calculator!$F$17,1)-0.5))),1)</f>
        <v>0.190473684210527</v>
      </c>
      <c r="H328" s="219" t="n">
        <f aca="false">IF(Calculator!$E$18="YES",IF(A328&lt;Calculator!$G$18,0,MIN(MIN(MOD(A328/Calculator!$F$18,1),1-MOD(A328/Calculator!$F$18,1)),ABS(MOD(A328/Calculator!$F$18,1)-0.5))),1)</f>
        <v>1</v>
      </c>
      <c r="I328" s="219" t="n">
        <f aca="false">IF(Calculator!$E$19="YES",IF(A328&lt;Calculator!$G$19,0,MIN(MIN(MOD(A328/Calculator!$F$19,1),1-MOD(A328/Calculator!$F$19,1)),ABS(MOD(A328/Calculator!$F$19,1)-0.5))),1)</f>
        <v>1</v>
      </c>
      <c r="J328" s="219" t="n">
        <f aca="false">IF(Calculator!$E$20="YES",IF(A328&lt;Calculator!$G$20,0,MIN(MIN(MOD(A328/Calculator!$F$20,1),1-MOD(A328/Calculator!$F$20,1)),ABS(MOD(A328/Calculator!$F$20,1)-0.5))),1)</f>
        <v>1</v>
      </c>
      <c r="K328" s="219" t="n">
        <f aca="false">IF(Calculator!$E$21="YES",IF(A328&lt;Calculator!$G$21,0,MIN(MIN(MOD(A328/Calculator!$F$21,1),1-MOD(A328/Calculator!$F$21,1)),ABS(MOD(A328/Calculator!$F$21,1)-0.5))),1)</f>
        <v>0.0111228070175438</v>
      </c>
      <c r="L328" s="219" t="n">
        <f aca="false">IF(Calculator!$E$22="YES",IF(A328&lt;Calculator!$G$22,0,MIN(MIN(MOD(A328/Calculator!$F$22,1),1-MOD(A328/Calculator!$F$22,1)),ABS(MOD(A328/Calculator!$F$22,1)-0.5))),1)</f>
        <v>1</v>
      </c>
      <c r="M328" s="219" t="n">
        <f aca="false">MIN(B328:L328)</f>
        <v>0.0111228070175438</v>
      </c>
      <c r="N328" s="219" t="n">
        <f aca="false">SUMPRODUCT(($M$7:$M$557&gt;M328)*1)+SUMPRODUCT(($M$7:$M$557=M328)*(ROW($M$7:$M$557)&lt;ROW(M328)))+1</f>
        <v>438</v>
      </c>
      <c r="O328" s="219" t="str">
        <f aca="false">IF(M328&gt;=0.2,"★★★ EXCELLENT",IF(M328&gt;=0.12,"★★  GOOD",IF(M328&gt;=0.07,"★  FAIR",IF(M328&gt;=0.025,"⚠  MARGINAL","✗  AVOID"))))</f>
        <v>✗  AVOID</v>
      </c>
    </row>
    <row r="329" customFormat="false" ht="15" hidden="false" customHeight="true" outlineLevel="0" collapsed="false">
      <c r="A329" s="216" t="n">
        <v>37.2</v>
      </c>
      <c r="B329" s="217" t="n">
        <f aca="false">IF(Calculator!$E$12="YES",IF(A329&lt;Calculator!$G$12,0,MIN(MIN(MOD(A329/Calculator!$F$12,1),1-MOD(A329/Calculator!$F$12,1)),ABS(MOD(A329/Calculator!$F$12,1)-0.5))),1)</f>
        <v>1</v>
      </c>
      <c r="C329" s="217" t="n">
        <f aca="false">IF(Calculator!$E$13="YES",IF(A329&lt;Calculator!$G$13,0,MIN(MIN(MOD(A329/Calculator!$F$13,1),1-MOD(A329/Calculator!$F$13,1)),ABS(MOD(A329/Calculator!$F$13,1)-0.5))),1)</f>
        <v>1</v>
      </c>
      <c r="D329" s="217" t="n">
        <f aca="false">IF(Calculator!$E$14="YES",IF(A329&lt;Calculator!$G$14,0,MIN(MIN(MOD(A329/Calculator!$F$14,1),1-MOD(A329/Calculator!$F$14,1)),ABS(MOD(A329/Calculator!$F$14,1)-0.5))),1)</f>
        <v>1</v>
      </c>
      <c r="E329" s="217" t="n">
        <f aca="false">IF(Calculator!$E$15="YES",IF(A329&lt;Calculator!$G$15,0,MIN(MIN(MOD(A329/Calculator!$F$15,1),1-MOD(A329/Calculator!$F$15,1)),ABS(MOD(A329/Calculator!$F$15,1)-0.5))),1)</f>
        <v>0.133473684210526</v>
      </c>
      <c r="F329" s="217" t="n">
        <f aca="false">IF(Calculator!$E$16="YES",IF(A329&lt;Calculator!$G$16,0,MIN(MIN(MOD(A329/Calculator!$F$16,1),1-MOD(A329/Calculator!$F$16,1)),ABS(MOD(A329/Calculator!$F$16,1)-0.5))),1)</f>
        <v>1</v>
      </c>
      <c r="G329" s="217" t="n">
        <f aca="false">IF(Calculator!$E$17="YES",IF(A329&lt;Calculator!$G$17,0,MIN(MIN(MOD(A329/Calculator!$F$17,1),1-MOD(A329/Calculator!$F$17,1)),ABS(MOD(A329/Calculator!$F$17,1)-0.5))),1)</f>
        <v>0.20042105263158</v>
      </c>
      <c r="H329" s="217" t="n">
        <f aca="false">IF(Calculator!$E$18="YES",IF(A329&lt;Calculator!$G$18,0,MIN(MIN(MOD(A329/Calculator!$F$18,1),1-MOD(A329/Calculator!$F$18,1)),ABS(MOD(A329/Calculator!$F$18,1)-0.5))),1)</f>
        <v>1</v>
      </c>
      <c r="I329" s="217" t="n">
        <f aca="false">IF(Calculator!$E$19="YES",IF(A329&lt;Calculator!$G$19,0,MIN(MIN(MOD(A329/Calculator!$F$19,1),1-MOD(A329/Calculator!$F$19,1)),ABS(MOD(A329/Calculator!$F$19,1)-0.5))),1)</f>
        <v>1</v>
      </c>
      <c r="J329" s="217" t="n">
        <f aca="false">IF(Calculator!$E$20="YES",IF(A329&lt;Calculator!$G$20,0,MIN(MIN(MOD(A329/Calculator!$F$20,1),1-MOD(A329/Calculator!$F$20,1)),ABS(MOD(A329/Calculator!$F$20,1)-0.5))),1)</f>
        <v>1</v>
      </c>
      <c r="K329" s="217" t="n">
        <f aca="false">IF(Calculator!$E$21="YES",IF(A329&lt;Calculator!$G$21,0,MIN(MIN(MOD(A329/Calculator!$F$21,1),1-MOD(A329/Calculator!$F$21,1)),ABS(MOD(A329/Calculator!$F$21,1)-0.5))),1)</f>
        <v>0.0313684210526324</v>
      </c>
      <c r="L329" s="217" t="n">
        <f aca="false">IF(Calculator!$E$22="YES",IF(A329&lt;Calculator!$G$22,0,MIN(MIN(MOD(A329/Calculator!$F$22,1),1-MOD(A329/Calculator!$F$22,1)),ABS(MOD(A329/Calculator!$F$22,1)-0.5))),1)</f>
        <v>1</v>
      </c>
      <c r="M329" s="217" t="n">
        <f aca="false">MIN(B329:L329)</f>
        <v>0.0313684210526324</v>
      </c>
      <c r="N329" s="217" t="n">
        <f aca="false">SUMPRODUCT(($M$7:$M$557&gt;M329)*1)+SUMPRODUCT(($M$7:$M$557=M329)*(ROW($M$7:$M$557)&lt;ROW(M329)))+1</f>
        <v>357</v>
      </c>
      <c r="O329" s="217" t="str">
        <f aca="false">IF(M329&gt;=0.2,"★★★ EXCELLENT",IF(M329&gt;=0.12,"★★  GOOD",IF(M329&gt;=0.07,"★  FAIR",IF(M329&gt;=0.025,"⚠  MARGINAL","✗  AVOID"))))</f>
        <v>⚠  MARGINAL</v>
      </c>
    </row>
    <row r="330" customFormat="false" ht="15" hidden="false" customHeight="true" outlineLevel="0" collapsed="false">
      <c r="A330" s="218" t="n">
        <v>37.3</v>
      </c>
      <c r="B330" s="219" t="n">
        <f aca="false">IF(Calculator!$E$12="YES",IF(A330&lt;Calculator!$G$12,0,MIN(MIN(MOD(A330/Calculator!$F$12,1),1-MOD(A330/Calculator!$F$12,1)),ABS(MOD(A330/Calculator!$F$12,1)-0.5))),1)</f>
        <v>1</v>
      </c>
      <c r="C330" s="219" t="n">
        <f aca="false">IF(Calculator!$E$13="YES",IF(A330&lt;Calculator!$G$13,0,MIN(MIN(MOD(A330/Calculator!$F$13,1),1-MOD(A330/Calculator!$F$13,1)),ABS(MOD(A330/Calculator!$F$13,1)-0.5))),1)</f>
        <v>1</v>
      </c>
      <c r="D330" s="219" t="n">
        <f aca="false">IF(Calculator!$E$14="YES",IF(A330&lt;Calculator!$G$14,0,MIN(MIN(MOD(A330/Calculator!$F$14,1),1-MOD(A330/Calculator!$F$14,1)),ABS(MOD(A330/Calculator!$F$14,1)-0.5))),1)</f>
        <v>1</v>
      </c>
      <c r="E330" s="219" t="n">
        <f aca="false">IF(Calculator!$E$15="YES",IF(A330&lt;Calculator!$G$15,0,MIN(MIN(MOD(A330/Calculator!$F$15,1),1-MOD(A330/Calculator!$F$15,1)),ABS(MOD(A330/Calculator!$F$15,1)-0.5))),1)</f>
        <v>0.128456140350877</v>
      </c>
      <c r="F330" s="219" t="n">
        <f aca="false">IF(Calculator!$E$16="YES",IF(A330&lt;Calculator!$G$16,0,MIN(MIN(MOD(A330/Calculator!$F$16,1),1-MOD(A330/Calculator!$F$16,1)),ABS(MOD(A330/Calculator!$F$16,1)-0.5))),1)</f>
        <v>1</v>
      </c>
      <c r="G330" s="219" t="n">
        <f aca="false">IF(Calculator!$E$17="YES",IF(A330&lt;Calculator!$G$17,0,MIN(MIN(MOD(A330/Calculator!$F$17,1),1-MOD(A330/Calculator!$F$17,1)),ABS(MOD(A330/Calculator!$F$17,1)-0.5))),1)</f>
        <v>0.210368421052632</v>
      </c>
      <c r="H330" s="219" t="n">
        <f aca="false">IF(Calculator!$E$18="YES",IF(A330&lt;Calculator!$G$18,0,MIN(MIN(MOD(A330/Calculator!$F$18,1),1-MOD(A330/Calculator!$F$18,1)),ABS(MOD(A330/Calculator!$F$18,1)-0.5))),1)</f>
        <v>1</v>
      </c>
      <c r="I330" s="219" t="n">
        <f aca="false">IF(Calculator!$E$19="YES",IF(A330&lt;Calculator!$G$19,0,MIN(MIN(MOD(A330/Calculator!$F$19,1),1-MOD(A330/Calculator!$F$19,1)),ABS(MOD(A330/Calculator!$F$19,1)-0.5))),1)</f>
        <v>1</v>
      </c>
      <c r="J330" s="219" t="n">
        <f aca="false">IF(Calculator!$E$20="YES",IF(A330&lt;Calculator!$G$20,0,MIN(MIN(MOD(A330/Calculator!$F$20,1),1-MOD(A330/Calculator!$F$20,1)),ABS(MOD(A330/Calculator!$F$20,1)-0.5))),1)</f>
        <v>1</v>
      </c>
      <c r="K330" s="219" t="n">
        <f aca="false">IF(Calculator!$E$21="YES",IF(A330&lt;Calculator!$G$21,0,MIN(MIN(MOD(A330/Calculator!$F$21,1),1-MOD(A330/Calculator!$F$21,1)),ABS(MOD(A330/Calculator!$F$21,1)-0.5))),1)</f>
        <v>0.0516140350877183</v>
      </c>
      <c r="L330" s="219" t="n">
        <f aca="false">IF(Calculator!$E$22="YES",IF(A330&lt;Calculator!$G$22,0,MIN(MIN(MOD(A330/Calculator!$F$22,1),1-MOD(A330/Calculator!$F$22,1)),ABS(MOD(A330/Calculator!$F$22,1)-0.5))),1)</f>
        <v>1</v>
      </c>
      <c r="M330" s="219" t="n">
        <f aca="false">MIN(B330:L330)</f>
        <v>0.0516140350877183</v>
      </c>
      <c r="N330" s="219" t="n">
        <f aca="false">SUMPRODUCT(($M$7:$M$557&gt;M330)*1)+SUMPRODUCT(($M$7:$M$557=M330)*(ROW($M$7:$M$557)&lt;ROW(M330)))+1</f>
        <v>277</v>
      </c>
      <c r="O330" s="219" t="str">
        <f aca="false">IF(M330&gt;=0.2,"★★★ EXCELLENT",IF(M330&gt;=0.12,"★★  GOOD",IF(M330&gt;=0.07,"★  FAIR",IF(M330&gt;=0.025,"⚠  MARGINAL","✗  AVOID"))))</f>
        <v>⚠  MARGINAL</v>
      </c>
    </row>
    <row r="331" customFormat="false" ht="15" hidden="false" customHeight="true" outlineLevel="0" collapsed="false">
      <c r="A331" s="216" t="n">
        <v>37.4</v>
      </c>
      <c r="B331" s="217" t="n">
        <f aca="false">IF(Calculator!$E$12="YES",IF(A331&lt;Calculator!$G$12,0,MIN(MIN(MOD(A331/Calculator!$F$12,1),1-MOD(A331/Calculator!$F$12,1)),ABS(MOD(A331/Calculator!$F$12,1)-0.5))),1)</f>
        <v>1</v>
      </c>
      <c r="C331" s="217" t="n">
        <f aca="false">IF(Calculator!$E$13="YES",IF(A331&lt;Calculator!$G$13,0,MIN(MIN(MOD(A331/Calculator!$F$13,1),1-MOD(A331/Calculator!$F$13,1)),ABS(MOD(A331/Calculator!$F$13,1)-0.5))),1)</f>
        <v>1</v>
      </c>
      <c r="D331" s="217" t="n">
        <f aca="false">IF(Calculator!$E$14="YES",IF(A331&lt;Calculator!$G$14,0,MIN(MIN(MOD(A331/Calculator!$F$14,1),1-MOD(A331/Calculator!$F$14,1)),ABS(MOD(A331/Calculator!$F$14,1)-0.5))),1)</f>
        <v>1</v>
      </c>
      <c r="E331" s="217" t="n">
        <f aca="false">IF(Calculator!$E$15="YES",IF(A331&lt;Calculator!$G$15,0,MIN(MIN(MOD(A331/Calculator!$F$15,1),1-MOD(A331/Calculator!$F$15,1)),ABS(MOD(A331/Calculator!$F$15,1)-0.5))),1)</f>
        <v>0.123438596491228</v>
      </c>
      <c r="F331" s="217" t="n">
        <f aca="false">IF(Calculator!$E$16="YES",IF(A331&lt;Calculator!$G$16,0,MIN(MIN(MOD(A331/Calculator!$F$16,1),1-MOD(A331/Calculator!$F$16,1)),ABS(MOD(A331/Calculator!$F$16,1)-0.5))),1)</f>
        <v>1</v>
      </c>
      <c r="G331" s="217" t="n">
        <f aca="false">IF(Calculator!$E$17="YES",IF(A331&lt;Calculator!$G$17,0,MIN(MIN(MOD(A331/Calculator!$F$17,1),1-MOD(A331/Calculator!$F$17,1)),ABS(MOD(A331/Calculator!$F$17,1)-0.5))),1)</f>
        <v>0.220315789473684</v>
      </c>
      <c r="H331" s="217" t="n">
        <f aca="false">IF(Calculator!$E$18="YES",IF(A331&lt;Calculator!$G$18,0,MIN(MIN(MOD(A331/Calculator!$F$18,1),1-MOD(A331/Calculator!$F$18,1)),ABS(MOD(A331/Calculator!$F$18,1)-0.5))),1)</f>
        <v>1</v>
      </c>
      <c r="I331" s="217" t="n">
        <f aca="false">IF(Calculator!$E$19="YES",IF(A331&lt;Calculator!$G$19,0,MIN(MIN(MOD(A331/Calculator!$F$19,1),1-MOD(A331/Calculator!$F$19,1)),ABS(MOD(A331/Calculator!$F$19,1)-0.5))),1)</f>
        <v>1</v>
      </c>
      <c r="J331" s="217" t="n">
        <f aca="false">IF(Calculator!$E$20="YES",IF(A331&lt;Calculator!$G$20,0,MIN(MIN(MOD(A331/Calculator!$F$20,1),1-MOD(A331/Calculator!$F$20,1)),ABS(MOD(A331/Calculator!$F$20,1)-0.5))),1)</f>
        <v>1</v>
      </c>
      <c r="K331" s="217" t="n">
        <f aca="false">IF(Calculator!$E$21="YES",IF(A331&lt;Calculator!$G$21,0,MIN(MIN(MOD(A331/Calculator!$F$21,1),1-MOD(A331/Calculator!$F$21,1)),ABS(MOD(A331/Calculator!$F$21,1)-0.5))),1)</f>
        <v>0.071859649122807</v>
      </c>
      <c r="L331" s="217" t="n">
        <f aca="false">IF(Calculator!$E$22="YES",IF(A331&lt;Calculator!$G$22,0,MIN(MIN(MOD(A331/Calculator!$F$22,1),1-MOD(A331/Calculator!$F$22,1)),ABS(MOD(A331/Calculator!$F$22,1)-0.5))),1)</f>
        <v>1</v>
      </c>
      <c r="M331" s="217" t="n">
        <f aca="false">MIN(B331:L331)</f>
        <v>0.071859649122807</v>
      </c>
      <c r="N331" s="217" t="n">
        <f aca="false">SUMPRODUCT(($M$7:$M$557&gt;M331)*1)+SUMPRODUCT(($M$7:$M$557=M331)*(ROW($M$7:$M$557)&lt;ROW(M331)))+1</f>
        <v>197</v>
      </c>
      <c r="O331" s="217" t="str">
        <f aca="false">IF(M331&gt;=0.2,"★★★ EXCELLENT",IF(M331&gt;=0.12,"★★  GOOD",IF(M331&gt;=0.07,"★  FAIR",IF(M331&gt;=0.025,"⚠  MARGINAL","✗  AVOID"))))</f>
        <v>★  FAIR</v>
      </c>
    </row>
    <row r="332" customFormat="false" ht="15" hidden="false" customHeight="true" outlineLevel="0" collapsed="false">
      <c r="A332" s="218" t="n">
        <v>37.5</v>
      </c>
      <c r="B332" s="219" t="n">
        <f aca="false">IF(Calculator!$E$12="YES",IF(A332&lt;Calculator!$G$12,0,MIN(MIN(MOD(A332/Calculator!$F$12,1),1-MOD(A332/Calculator!$F$12,1)),ABS(MOD(A332/Calculator!$F$12,1)-0.5))),1)</f>
        <v>1</v>
      </c>
      <c r="C332" s="219" t="n">
        <f aca="false">IF(Calculator!$E$13="YES",IF(A332&lt;Calculator!$G$13,0,MIN(MIN(MOD(A332/Calculator!$F$13,1),1-MOD(A332/Calculator!$F$13,1)),ABS(MOD(A332/Calculator!$F$13,1)-0.5))),1)</f>
        <v>1</v>
      </c>
      <c r="D332" s="219" t="n">
        <f aca="false">IF(Calculator!$E$14="YES",IF(A332&lt;Calculator!$G$14,0,MIN(MIN(MOD(A332/Calculator!$F$14,1),1-MOD(A332/Calculator!$F$14,1)),ABS(MOD(A332/Calculator!$F$14,1)-0.5))),1)</f>
        <v>1</v>
      </c>
      <c r="E332" s="219" t="n">
        <f aca="false">IF(Calculator!$E$15="YES",IF(A332&lt;Calculator!$G$15,0,MIN(MIN(MOD(A332/Calculator!$F$15,1),1-MOD(A332/Calculator!$F$15,1)),ABS(MOD(A332/Calculator!$F$15,1)-0.5))),1)</f>
        <v>0.118421052631579</v>
      </c>
      <c r="F332" s="219" t="n">
        <f aca="false">IF(Calculator!$E$16="YES",IF(A332&lt;Calculator!$G$16,0,MIN(MIN(MOD(A332/Calculator!$F$16,1),1-MOD(A332/Calculator!$F$16,1)),ABS(MOD(A332/Calculator!$F$16,1)-0.5))),1)</f>
        <v>1</v>
      </c>
      <c r="G332" s="219" t="n">
        <f aca="false">IF(Calculator!$E$17="YES",IF(A332&lt;Calculator!$G$17,0,MIN(MIN(MOD(A332/Calculator!$F$17,1),1-MOD(A332/Calculator!$F$17,1)),ABS(MOD(A332/Calculator!$F$17,1)-0.5))),1)</f>
        <v>0.230263157894737</v>
      </c>
      <c r="H332" s="219" t="n">
        <f aca="false">IF(Calculator!$E$18="YES",IF(A332&lt;Calculator!$G$18,0,MIN(MIN(MOD(A332/Calculator!$F$18,1),1-MOD(A332/Calculator!$F$18,1)),ABS(MOD(A332/Calculator!$F$18,1)-0.5))),1)</f>
        <v>1</v>
      </c>
      <c r="I332" s="219" t="n">
        <f aca="false">IF(Calculator!$E$19="YES",IF(A332&lt;Calculator!$G$19,0,MIN(MIN(MOD(A332/Calculator!$F$19,1),1-MOD(A332/Calculator!$F$19,1)),ABS(MOD(A332/Calculator!$F$19,1)-0.5))),1)</f>
        <v>1</v>
      </c>
      <c r="J332" s="219" t="n">
        <f aca="false">IF(Calculator!$E$20="YES",IF(A332&lt;Calculator!$G$20,0,MIN(MIN(MOD(A332/Calculator!$F$20,1),1-MOD(A332/Calculator!$F$20,1)),ABS(MOD(A332/Calculator!$F$20,1)-0.5))),1)</f>
        <v>1</v>
      </c>
      <c r="K332" s="219" t="n">
        <f aca="false">IF(Calculator!$E$21="YES",IF(A332&lt;Calculator!$G$21,0,MIN(MIN(MOD(A332/Calculator!$F$21,1),1-MOD(A332/Calculator!$F$21,1)),ABS(MOD(A332/Calculator!$F$21,1)-0.5))),1)</f>
        <v>0.0921052631578947</v>
      </c>
      <c r="L332" s="219" t="n">
        <f aca="false">IF(Calculator!$E$22="YES",IF(A332&lt;Calculator!$G$22,0,MIN(MIN(MOD(A332/Calculator!$F$22,1),1-MOD(A332/Calculator!$F$22,1)),ABS(MOD(A332/Calculator!$F$22,1)-0.5))),1)</f>
        <v>1</v>
      </c>
      <c r="M332" s="219" t="n">
        <f aca="false">MIN(B332:L332)</f>
        <v>0.0921052631578947</v>
      </c>
      <c r="N332" s="219" t="n">
        <f aca="false">SUMPRODUCT(($M$7:$M$557&gt;M332)*1)+SUMPRODUCT(($M$7:$M$557=M332)*(ROW($M$7:$M$557)&lt;ROW(M332)))+1</f>
        <v>124</v>
      </c>
      <c r="O332" s="219" t="str">
        <f aca="false">IF(M332&gt;=0.2,"★★★ EXCELLENT",IF(M332&gt;=0.12,"★★  GOOD",IF(M332&gt;=0.07,"★  FAIR",IF(M332&gt;=0.025,"⚠  MARGINAL","✗  AVOID"))))</f>
        <v>★  FAIR</v>
      </c>
    </row>
    <row r="333" customFormat="false" ht="15" hidden="false" customHeight="true" outlineLevel="0" collapsed="false">
      <c r="A333" s="216" t="n">
        <v>37.6</v>
      </c>
      <c r="B333" s="217" t="n">
        <f aca="false">IF(Calculator!$E$12="YES",IF(A333&lt;Calculator!$G$12,0,MIN(MIN(MOD(A333/Calculator!$F$12,1),1-MOD(A333/Calculator!$F$12,1)),ABS(MOD(A333/Calculator!$F$12,1)-0.5))),1)</f>
        <v>1</v>
      </c>
      <c r="C333" s="217" t="n">
        <f aca="false">IF(Calculator!$E$13="YES",IF(A333&lt;Calculator!$G$13,0,MIN(MIN(MOD(A333/Calculator!$F$13,1),1-MOD(A333/Calculator!$F$13,1)),ABS(MOD(A333/Calculator!$F$13,1)-0.5))),1)</f>
        <v>1</v>
      </c>
      <c r="D333" s="217" t="n">
        <f aca="false">IF(Calculator!$E$14="YES",IF(A333&lt;Calculator!$G$14,0,MIN(MIN(MOD(A333/Calculator!$F$14,1),1-MOD(A333/Calculator!$F$14,1)),ABS(MOD(A333/Calculator!$F$14,1)-0.5))),1)</f>
        <v>1</v>
      </c>
      <c r="E333" s="217" t="n">
        <f aca="false">IF(Calculator!$E$15="YES",IF(A333&lt;Calculator!$G$15,0,MIN(MIN(MOD(A333/Calculator!$F$15,1),1-MOD(A333/Calculator!$F$15,1)),ABS(MOD(A333/Calculator!$F$15,1)-0.5))),1)</f>
        <v>0.11340350877193</v>
      </c>
      <c r="F333" s="217" t="n">
        <f aca="false">IF(Calculator!$E$16="YES",IF(A333&lt;Calculator!$G$16,0,MIN(MIN(MOD(A333/Calculator!$F$16,1),1-MOD(A333/Calculator!$F$16,1)),ABS(MOD(A333/Calculator!$F$16,1)-0.5))),1)</f>
        <v>1</v>
      </c>
      <c r="G333" s="217" t="n">
        <f aca="false">IF(Calculator!$E$17="YES",IF(A333&lt;Calculator!$G$17,0,MIN(MIN(MOD(A333/Calculator!$F$17,1),1-MOD(A333/Calculator!$F$17,1)),ABS(MOD(A333/Calculator!$F$17,1)-0.5))),1)</f>
        <v>0.24021052631579</v>
      </c>
      <c r="H333" s="217" t="n">
        <f aca="false">IF(Calculator!$E$18="YES",IF(A333&lt;Calculator!$G$18,0,MIN(MIN(MOD(A333/Calculator!$F$18,1),1-MOD(A333/Calculator!$F$18,1)),ABS(MOD(A333/Calculator!$F$18,1)-0.5))),1)</f>
        <v>1</v>
      </c>
      <c r="I333" s="217" t="n">
        <f aca="false">IF(Calculator!$E$19="YES",IF(A333&lt;Calculator!$G$19,0,MIN(MIN(MOD(A333/Calculator!$F$19,1),1-MOD(A333/Calculator!$F$19,1)),ABS(MOD(A333/Calculator!$F$19,1)-0.5))),1)</f>
        <v>1</v>
      </c>
      <c r="J333" s="217" t="n">
        <f aca="false">IF(Calculator!$E$20="YES",IF(A333&lt;Calculator!$G$20,0,MIN(MIN(MOD(A333/Calculator!$F$20,1),1-MOD(A333/Calculator!$F$20,1)),ABS(MOD(A333/Calculator!$F$20,1)-0.5))),1)</f>
        <v>1</v>
      </c>
      <c r="K333" s="217" t="n">
        <f aca="false">IF(Calculator!$E$21="YES",IF(A333&lt;Calculator!$G$21,0,MIN(MIN(MOD(A333/Calculator!$F$21,1),1-MOD(A333/Calculator!$F$21,1)),ABS(MOD(A333/Calculator!$F$21,1)-0.5))),1)</f>
        <v>0.112350877192982</v>
      </c>
      <c r="L333" s="217" t="n">
        <f aca="false">IF(Calculator!$E$22="YES",IF(A333&lt;Calculator!$G$22,0,MIN(MIN(MOD(A333/Calculator!$F$22,1),1-MOD(A333/Calculator!$F$22,1)),ABS(MOD(A333/Calculator!$F$22,1)-0.5))),1)</f>
        <v>1</v>
      </c>
      <c r="M333" s="217" t="n">
        <f aca="false">MIN(B333:L333)</f>
        <v>0.112350877192982</v>
      </c>
      <c r="N333" s="217" t="n">
        <f aca="false">SUMPRODUCT(($M$7:$M$557&gt;M333)*1)+SUMPRODUCT(($M$7:$M$557=M333)*(ROW($M$7:$M$557)&lt;ROW(M333)))+1</f>
        <v>77</v>
      </c>
      <c r="O333" s="217" t="str">
        <f aca="false">IF(M333&gt;=0.2,"★★★ EXCELLENT",IF(M333&gt;=0.12,"★★  GOOD",IF(M333&gt;=0.07,"★  FAIR",IF(M333&gt;=0.025,"⚠  MARGINAL","✗  AVOID"))))</f>
        <v>★  FAIR</v>
      </c>
    </row>
    <row r="334" customFormat="false" ht="15" hidden="false" customHeight="true" outlineLevel="0" collapsed="false">
      <c r="A334" s="218" t="n">
        <v>37.7</v>
      </c>
      <c r="B334" s="219" t="n">
        <f aca="false">IF(Calculator!$E$12="YES",IF(A334&lt;Calculator!$G$12,0,MIN(MIN(MOD(A334/Calculator!$F$12,1),1-MOD(A334/Calculator!$F$12,1)),ABS(MOD(A334/Calculator!$F$12,1)-0.5))),1)</f>
        <v>1</v>
      </c>
      <c r="C334" s="219" t="n">
        <f aca="false">IF(Calculator!$E$13="YES",IF(A334&lt;Calculator!$G$13,0,MIN(MIN(MOD(A334/Calculator!$F$13,1),1-MOD(A334/Calculator!$F$13,1)),ABS(MOD(A334/Calculator!$F$13,1)-0.5))),1)</f>
        <v>1</v>
      </c>
      <c r="D334" s="219" t="n">
        <f aca="false">IF(Calculator!$E$14="YES",IF(A334&lt;Calculator!$G$14,0,MIN(MIN(MOD(A334/Calculator!$F$14,1),1-MOD(A334/Calculator!$F$14,1)),ABS(MOD(A334/Calculator!$F$14,1)-0.5))),1)</f>
        <v>1</v>
      </c>
      <c r="E334" s="219" t="n">
        <f aca="false">IF(Calculator!$E$15="YES",IF(A334&lt;Calculator!$G$15,0,MIN(MIN(MOD(A334/Calculator!$F$15,1),1-MOD(A334/Calculator!$F$15,1)),ABS(MOD(A334/Calculator!$F$15,1)-0.5))),1)</f>
        <v>0.10838596491228</v>
      </c>
      <c r="F334" s="219" t="n">
        <f aca="false">IF(Calculator!$E$16="YES",IF(A334&lt;Calculator!$G$16,0,MIN(MIN(MOD(A334/Calculator!$F$16,1),1-MOD(A334/Calculator!$F$16,1)),ABS(MOD(A334/Calculator!$F$16,1)-0.5))),1)</f>
        <v>1</v>
      </c>
      <c r="G334" s="219" t="n">
        <f aca="false">IF(Calculator!$E$17="YES",IF(A334&lt;Calculator!$G$17,0,MIN(MIN(MOD(A334/Calculator!$F$17,1),1-MOD(A334/Calculator!$F$17,1)),ABS(MOD(A334/Calculator!$F$17,1)-0.5))),1)</f>
        <v>0.249842105263157</v>
      </c>
      <c r="H334" s="219" t="n">
        <f aca="false">IF(Calculator!$E$18="YES",IF(A334&lt;Calculator!$G$18,0,MIN(MIN(MOD(A334/Calculator!$F$18,1),1-MOD(A334/Calculator!$F$18,1)),ABS(MOD(A334/Calculator!$F$18,1)-0.5))),1)</f>
        <v>1</v>
      </c>
      <c r="I334" s="219" t="n">
        <f aca="false">IF(Calculator!$E$19="YES",IF(A334&lt;Calculator!$G$19,0,MIN(MIN(MOD(A334/Calculator!$F$19,1),1-MOD(A334/Calculator!$F$19,1)),ABS(MOD(A334/Calculator!$F$19,1)-0.5))),1)</f>
        <v>1</v>
      </c>
      <c r="J334" s="219" t="n">
        <f aca="false">IF(Calculator!$E$20="YES",IF(A334&lt;Calculator!$G$20,0,MIN(MIN(MOD(A334/Calculator!$F$20,1),1-MOD(A334/Calculator!$F$20,1)),ABS(MOD(A334/Calculator!$F$20,1)-0.5))),1)</f>
        <v>1</v>
      </c>
      <c r="K334" s="219" t="n">
        <f aca="false">IF(Calculator!$E$21="YES",IF(A334&lt;Calculator!$G$21,0,MIN(MIN(MOD(A334/Calculator!$F$21,1),1-MOD(A334/Calculator!$F$21,1)),ABS(MOD(A334/Calculator!$F$21,1)-0.5))),1)</f>
        <v>0.132596491228071</v>
      </c>
      <c r="L334" s="219" t="n">
        <f aca="false">IF(Calculator!$E$22="YES",IF(A334&lt;Calculator!$G$22,0,MIN(MIN(MOD(A334/Calculator!$F$22,1),1-MOD(A334/Calculator!$F$22,1)),ABS(MOD(A334/Calculator!$F$22,1)-0.5))),1)</f>
        <v>1</v>
      </c>
      <c r="M334" s="219" t="n">
        <f aca="false">MIN(B334:L334)</f>
        <v>0.10838596491228</v>
      </c>
      <c r="N334" s="219" t="n">
        <f aca="false">SUMPRODUCT(($M$7:$M$557&gt;M334)*1)+SUMPRODUCT(($M$7:$M$557=M334)*(ROW($M$7:$M$557)&lt;ROW(M334)))+1</f>
        <v>86</v>
      </c>
      <c r="O334" s="219" t="str">
        <f aca="false">IF(M334&gt;=0.2,"★★★ EXCELLENT",IF(M334&gt;=0.12,"★★  GOOD",IF(M334&gt;=0.07,"★  FAIR",IF(M334&gt;=0.025,"⚠  MARGINAL","✗  AVOID"))))</f>
        <v>★  FAIR</v>
      </c>
    </row>
    <row r="335" customFormat="false" ht="15" hidden="false" customHeight="true" outlineLevel="0" collapsed="false">
      <c r="A335" s="216" t="n">
        <v>37.8</v>
      </c>
      <c r="B335" s="217" t="n">
        <f aca="false">IF(Calculator!$E$12="YES",IF(A335&lt;Calculator!$G$12,0,MIN(MIN(MOD(A335/Calculator!$F$12,1),1-MOD(A335/Calculator!$F$12,1)),ABS(MOD(A335/Calculator!$F$12,1)-0.5))),1)</f>
        <v>1</v>
      </c>
      <c r="C335" s="217" t="n">
        <f aca="false">IF(Calculator!$E$13="YES",IF(A335&lt;Calculator!$G$13,0,MIN(MIN(MOD(A335/Calculator!$F$13,1),1-MOD(A335/Calculator!$F$13,1)),ABS(MOD(A335/Calculator!$F$13,1)-0.5))),1)</f>
        <v>1</v>
      </c>
      <c r="D335" s="217" t="n">
        <f aca="false">IF(Calculator!$E$14="YES",IF(A335&lt;Calculator!$G$14,0,MIN(MIN(MOD(A335/Calculator!$F$14,1),1-MOD(A335/Calculator!$F$14,1)),ABS(MOD(A335/Calculator!$F$14,1)-0.5))),1)</f>
        <v>1</v>
      </c>
      <c r="E335" s="217" t="n">
        <f aca="false">IF(Calculator!$E$15="YES",IF(A335&lt;Calculator!$G$15,0,MIN(MIN(MOD(A335/Calculator!$F$15,1),1-MOD(A335/Calculator!$F$15,1)),ABS(MOD(A335/Calculator!$F$15,1)-0.5))),1)</f>
        <v>0.103368421052632</v>
      </c>
      <c r="F335" s="217" t="n">
        <f aca="false">IF(Calculator!$E$16="YES",IF(A335&lt;Calculator!$G$16,0,MIN(MIN(MOD(A335/Calculator!$F$16,1),1-MOD(A335/Calculator!$F$16,1)),ABS(MOD(A335/Calculator!$F$16,1)-0.5))),1)</f>
        <v>1</v>
      </c>
      <c r="G335" s="217" t="n">
        <f aca="false">IF(Calculator!$E$17="YES",IF(A335&lt;Calculator!$G$17,0,MIN(MIN(MOD(A335/Calculator!$F$17,1),1-MOD(A335/Calculator!$F$17,1)),ABS(MOD(A335/Calculator!$F$17,1)-0.5))),1)</f>
        <v>0.239894736842105</v>
      </c>
      <c r="H335" s="217" t="n">
        <f aca="false">IF(Calculator!$E$18="YES",IF(A335&lt;Calculator!$G$18,0,MIN(MIN(MOD(A335/Calculator!$F$18,1),1-MOD(A335/Calculator!$F$18,1)),ABS(MOD(A335/Calculator!$F$18,1)-0.5))),1)</f>
        <v>1</v>
      </c>
      <c r="I335" s="217" t="n">
        <f aca="false">IF(Calculator!$E$19="YES",IF(A335&lt;Calculator!$G$19,0,MIN(MIN(MOD(A335/Calculator!$F$19,1),1-MOD(A335/Calculator!$F$19,1)),ABS(MOD(A335/Calculator!$F$19,1)-0.5))),1)</f>
        <v>1</v>
      </c>
      <c r="J335" s="217" t="n">
        <f aca="false">IF(Calculator!$E$20="YES",IF(A335&lt;Calculator!$G$20,0,MIN(MIN(MOD(A335/Calculator!$F$20,1),1-MOD(A335/Calculator!$F$20,1)),ABS(MOD(A335/Calculator!$F$20,1)-0.5))),1)</f>
        <v>1</v>
      </c>
      <c r="K335" s="217" t="n">
        <f aca="false">IF(Calculator!$E$21="YES",IF(A335&lt;Calculator!$G$21,0,MIN(MIN(MOD(A335/Calculator!$F$21,1),1-MOD(A335/Calculator!$F$21,1)),ABS(MOD(A335/Calculator!$F$21,1)-0.5))),1)</f>
        <v>0.152842105263157</v>
      </c>
      <c r="L335" s="217" t="n">
        <f aca="false">IF(Calculator!$E$22="YES",IF(A335&lt;Calculator!$G$22,0,MIN(MIN(MOD(A335/Calculator!$F$22,1),1-MOD(A335/Calculator!$F$22,1)),ABS(MOD(A335/Calculator!$F$22,1)-0.5))),1)</f>
        <v>1</v>
      </c>
      <c r="M335" s="217" t="n">
        <f aca="false">MIN(B335:L335)</f>
        <v>0.103368421052632</v>
      </c>
      <c r="N335" s="217" t="n">
        <f aca="false">SUMPRODUCT(($M$7:$M$557&gt;M335)*1)+SUMPRODUCT(($M$7:$M$557=M335)*(ROW($M$7:$M$557)&lt;ROW(M335)))+1</f>
        <v>98</v>
      </c>
      <c r="O335" s="217" t="str">
        <f aca="false">IF(M335&gt;=0.2,"★★★ EXCELLENT",IF(M335&gt;=0.12,"★★  GOOD",IF(M335&gt;=0.07,"★  FAIR",IF(M335&gt;=0.025,"⚠  MARGINAL","✗  AVOID"))))</f>
        <v>★  FAIR</v>
      </c>
    </row>
    <row r="336" customFormat="false" ht="15" hidden="false" customHeight="true" outlineLevel="0" collapsed="false">
      <c r="A336" s="218" t="n">
        <v>37.9</v>
      </c>
      <c r="B336" s="219" t="n">
        <f aca="false">IF(Calculator!$E$12="YES",IF(A336&lt;Calculator!$G$12,0,MIN(MIN(MOD(A336/Calculator!$F$12,1),1-MOD(A336/Calculator!$F$12,1)),ABS(MOD(A336/Calculator!$F$12,1)-0.5))),1)</f>
        <v>1</v>
      </c>
      <c r="C336" s="219" t="n">
        <f aca="false">IF(Calculator!$E$13="YES",IF(A336&lt;Calculator!$G$13,0,MIN(MIN(MOD(A336/Calculator!$F$13,1),1-MOD(A336/Calculator!$F$13,1)),ABS(MOD(A336/Calculator!$F$13,1)-0.5))),1)</f>
        <v>1</v>
      </c>
      <c r="D336" s="219" t="n">
        <f aca="false">IF(Calculator!$E$14="YES",IF(A336&lt;Calculator!$G$14,0,MIN(MIN(MOD(A336/Calculator!$F$14,1),1-MOD(A336/Calculator!$F$14,1)),ABS(MOD(A336/Calculator!$F$14,1)-0.5))),1)</f>
        <v>1</v>
      </c>
      <c r="E336" s="219" t="n">
        <f aca="false">IF(Calculator!$E$15="YES",IF(A336&lt;Calculator!$G$15,0,MIN(MIN(MOD(A336/Calculator!$F$15,1),1-MOD(A336/Calculator!$F$15,1)),ABS(MOD(A336/Calculator!$F$15,1)-0.5))),1)</f>
        <v>0.0983508771929824</v>
      </c>
      <c r="F336" s="219" t="n">
        <f aca="false">IF(Calculator!$E$16="YES",IF(A336&lt;Calculator!$G$16,0,MIN(MIN(MOD(A336/Calculator!$F$16,1),1-MOD(A336/Calculator!$F$16,1)),ABS(MOD(A336/Calculator!$F$16,1)-0.5))),1)</f>
        <v>1</v>
      </c>
      <c r="G336" s="219" t="n">
        <f aca="false">IF(Calculator!$E$17="YES",IF(A336&lt;Calculator!$G$17,0,MIN(MIN(MOD(A336/Calculator!$F$17,1),1-MOD(A336/Calculator!$F$17,1)),ABS(MOD(A336/Calculator!$F$17,1)-0.5))),1)</f>
        <v>0.229947368421052</v>
      </c>
      <c r="H336" s="219" t="n">
        <f aca="false">IF(Calculator!$E$18="YES",IF(A336&lt;Calculator!$G$18,0,MIN(MIN(MOD(A336/Calculator!$F$18,1),1-MOD(A336/Calculator!$F$18,1)),ABS(MOD(A336/Calculator!$F$18,1)-0.5))),1)</f>
        <v>1</v>
      </c>
      <c r="I336" s="219" t="n">
        <f aca="false">IF(Calculator!$E$19="YES",IF(A336&lt;Calculator!$G$19,0,MIN(MIN(MOD(A336/Calculator!$F$19,1),1-MOD(A336/Calculator!$F$19,1)),ABS(MOD(A336/Calculator!$F$19,1)-0.5))),1)</f>
        <v>1</v>
      </c>
      <c r="J336" s="219" t="n">
        <f aca="false">IF(Calculator!$E$20="YES",IF(A336&lt;Calculator!$G$20,0,MIN(MIN(MOD(A336/Calculator!$F$20,1),1-MOD(A336/Calculator!$F$20,1)),ABS(MOD(A336/Calculator!$F$20,1)-0.5))),1)</f>
        <v>1</v>
      </c>
      <c r="K336" s="219" t="n">
        <f aca="false">IF(Calculator!$E$21="YES",IF(A336&lt;Calculator!$G$21,0,MIN(MIN(MOD(A336/Calculator!$F$21,1),1-MOD(A336/Calculator!$F$21,1)),ABS(MOD(A336/Calculator!$F$21,1)-0.5))),1)</f>
        <v>0.173087719298246</v>
      </c>
      <c r="L336" s="219" t="n">
        <f aca="false">IF(Calculator!$E$22="YES",IF(A336&lt;Calculator!$G$22,0,MIN(MIN(MOD(A336/Calculator!$F$22,1),1-MOD(A336/Calculator!$F$22,1)),ABS(MOD(A336/Calculator!$F$22,1)-0.5))),1)</f>
        <v>1</v>
      </c>
      <c r="M336" s="219" t="n">
        <f aca="false">MIN(B336:L336)</f>
        <v>0.0983508771929824</v>
      </c>
      <c r="N336" s="219" t="n">
        <f aca="false">SUMPRODUCT(($M$7:$M$557&gt;M336)*1)+SUMPRODUCT(($M$7:$M$557=M336)*(ROW($M$7:$M$557)&lt;ROW(M336)))+1</f>
        <v>110</v>
      </c>
      <c r="O336" s="219" t="str">
        <f aca="false">IF(M336&gt;=0.2,"★★★ EXCELLENT",IF(M336&gt;=0.12,"★★  GOOD",IF(M336&gt;=0.07,"★  FAIR",IF(M336&gt;=0.025,"⚠  MARGINAL","✗  AVOID"))))</f>
        <v>★  FAIR</v>
      </c>
    </row>
    <row r="337" customFormat="false" ht="15" hidden="false" customHeight="true" outlineLevel="0" collapsed="false">
      <c r="A337" s="216" t="n">
        <v>38</v>
      </c>
      <c r="B337" s="217" t="n">
        <f aca="false">IF(Calculator!$E$12="YES",IF(A337&lt;Calculator!$G$12,0,MIN(MIN(MOD(A337/Calculator!$F$12,1),1-MOD(A337/Calculator!$F$12,1)),ABS(MOD(A337/Calculator!$F$12,1)-0.5))),1)</f>
        <v>1</v>
      </c>
      <c r="C337" s="217" t="n">
        <f aca="false">IF(Calculator!$E$13="YES",IF(A337&lt;Calculator!$G$13,0,MIN(MIN(MOD(A337/Calculator!$F$13,1),1-MOD(A337/Calculator!$F$13,1)),ABS(MOD(A337/Calculator!$F$13,1)-0.5))),1)</f>
        <v>1</v>
      </c>
      <c r="D337" s="217" t="n">
        <f aca="false">IF(Calculator!$E$14="YES",IF(A337&lt;Calculator!$G$14,0,MIN(MIN(MOD(A337/Calculator!$F$14,1),1-MOD(A337/Calculator!$F$14,1)),ABS(MOD(A337/Calculator!$F$14,1)-0.5))),1)</f>
        <v>1</v>
      </c>
      <c r="E337" s="217" t="n">
        <f aca="false">IF(Calculator!$E$15="YES",IF(A337&lt;Calculator!$G$15,0,MIN(MIN(MOD(A337/Calculator!$F$15,1),1-MOD(A337/Calculator!$F$15,1)),ABS(MOD(A337/Calculator!$F$15,1)-0.5))),1)</f>
        <v>0.0933333333333333</v>
      </c>
      <c r="F337" s="217" t="n">
        <f aca="false">IF(Calculator!$E$16="YES",IF(A337&lt;Calculator!$G$16,0,MIN(MIN(MOD(A337/Calculator!$F$16,1),1-MOD(A337/Calculator!$F$16,1)),ABS(MOD(A337/Calculator!$F$16,1)-0.5))),1)</f>
        <v>1</v>
      </c>
      <c r="G337" s="217" t="n">
        <f aca="false">IF(Calculator!$E$17="YES",IF(A337&lt;Calculator!$G$17,0,MIN(MIN(MOD(A337/Calculator!$F$17,1),1-MOD(A337/Calculator!$F$17,1)),ABS(MOD(A337/Calculator!$F$17,1)-0.5))),1)</f>
        <v>0.22</v>
      </c>
      <c r="H337" s="217" t="n">
        <f aca="false">IF(Calculator!$E$18="YES",IF(A337&lt;Calculator!$G$18,0,MIN(MIN(MOD(A337/Calculator!$F$18,1),1-MOD(A337/Calculator!$F$18,1)),ABS(MOD(A337/Calculator!$F$18,1)-0.5))),1)</f>
        <v>1</v>
      </c>
      <c r="I337" s="217" t="n">
        <f aca="false">IF(Calculator!$E$19="YES",IF(A337&lt;Calculator!$G$19,0,MIN(MIN(MOD(A337/Calculator!$F$19,1),1-MOD(A337/Calculator!$F$19,1)),ABS(MOD(A337/Calculator!$F$19,1)-0.5))),1)</f>
        <v>1</v>
      </c>
      <c r="J337" s="217" t="n">
        <f aca="false">IF(Calculator!$E$20="YES",IF(A337&lt;Calculator!$G$20,0,MIN(MIN(MOD(A337/Calculator!$F$20,1),1-MOD(A337/Calculator!$F$20,1)),ABS(MOD(A337/Calculator!$F$20,1)-0.5))),1)</f>
        <v>1</v>
      </c>
      <c r="K337" s="217" t="n">
        <f aca="false">IF(Calculator!$E$21="YES",IF(A337&lt;Calculator!$G$21,0,MIN(MIN(MOD(A337/Calculator!$F$21,1),1-MOD(A337/Calculator!$F$21,1)),ABS(MOD(A337/Calculator!$F$21,1)-0.5))),1)</f>
        <v>0.193333333333333</v>
      </c>
      <c r="L337" s="217" t="n">
        <f aca="false">IF(Calculator!$E$22="YES",IF(A337&lt;Calculator!$G$22,0,MIN(MIN(MOD(A337/Calculator!$F$22,1),1-MOD(A337/Calculator!$F$22,1)),ABS(MOD(A337/Calculator!$F$22,1)-0.5))),1)</f>
        <v>1</v>
      </c>
      <c r="M337" s="217" t="n">
        <f aca="false">MIN(B337:L337)</f>
        <v>0.0933333333333333</v>
      </c>
      <c r="N337" s="217" t="n">
        <f aca="false">SUMPRODUCT(($M$7:$M$557&gt;M337)*1)+SUMPRODUCT(($M$7:$M$557=M337)*(ROW($M$7:$M$557)&lt;ROW(M337)))+1</f>
        <v>122</v>
      </c>
      <c r="O337" s="217" t="str">
        <f aca="false">IF(M337&gt;=0.2,"★★★ EXCELLENT",IF(M337&gt;=0.12,"★★  GOOD",IF(M337&gt;=0.07,"★  FAIR",IF(M337&gt;=0.025,"⚠  MARGINAL","✗  AVOID"))))</f>
        <v>★  FAIR</v>
      </c>
    </row>
    <row r="338" customFormat="false" ht="15" hidden="false" customHeight="true" outlineLevel="0" collapsed="false">
      <c r="A338" s="218" t="n">
        <v>38.1</v>
      </c>
      <c r="B338" s="219" t="n">
        <f aca="false">IF(Calculator!$E$12="YES",IF(A338&lt;Calculator!$G$12,0,MIN(MIN(MOD(A338/Calculator!$F$12,1),1-MOD(A338/Calculator!$F$12,1)),ABS(MOD(A338/Calculator!$F$12,1)-0.5))),1)</f>
        <v>1</v>
      </c>
      <c r="C338" s="219" t="n">
        <f aca="false">IF(Calculator!$E$13="YES",IF(A338&lt;Calculator!$G$13,0,MIN(MIN(MOD(A338/Calculator!$F$13,1),1-MOD(A338/Calculator!$F$13,1)),ABS(MOD(A338/Calculator!$F$13,1)-0.5))),1)</f>
        <v>1</v>
      </c>
      <c r="D338" s="219" t="n">
        <f aca="false">IF(Calculator!$E$14="YES",IF(A338&lt;Calculator!$G$14,0,MIN(MIN(MOD(A338/Calculator!$F$14,1),1-MOD(A338/Calculator!$F$14,1)),ABS(MOD(A338/Calculator!$F$14,1)-0.5))),1)</f>
        <v>1</v>
      </c>
      <c r="E338" s="219" t="n">
        <f aca="false">IF(Calculator!$E$15="YES",IF(A338&lt;Calculator!$G$15,0,MIN(MIN(MOD(A338/Calculator!$F$15,1),1-MOD(A338/Calculator!$F$15,1)),ABS(MOD(A338/Calculator!$F$15,1)-0.5))),1)</f>
        <v>0.0883157894736841</v>
      </c>
      <c r="F338" s="219" t="n">
        <f aca="false">IF(Calculator!$E$16="YES",IF(A338&lt;Calculator!$G$16,0,MIN(MIN(MOD(A338/Calculator!$F$16,1),1-MOD(A338/Calculator!$F$16,1)),ABS(MOD(A338/Calculator!$F$16,1)-0.5))),1)</f>
        <v>1</v>
      </c>
      <c r="G338" s="219" t="n">
        <f aca="false">IF(Calculator!$E$17="YES",IF(A338&lt;Calculator!$G$17,0,MIN(MIN(MOD(A338/Calculator!$F$17,1),1-MOD(A338/Calculator!$F$17,1)),ABS(MOD(A338/Calculator!$F$17,1)-0.5))),1)</f>
        <v>0.210052631578947</v>
      </c>
      <c r="H338" s="219" t="n">
        <f aca="false">IF(Calculator!$E$18="YES",IF(A338&lt;Calculator!$G$18,0,MIN(MIN(MOD(A338/Calculator!$F$18,1),1-MOD(A338/Calculator!$F$18,1)),ABS(MOD(A338/Calculator!$F$18,1)-0.5))),1)</f>
        <v>1</v>
      </c>
      <c r="I338" s="219" t="n">
        <f aca="false">IF(Calculator!$E$19="YES",IF(A338&lt;Calculator!$G$19,0,MIN(MIN(MOD(A338/Calculator!$F$19,1),1-MOD(A338/Calculator!$F$19,1)),ABS(MOD(A338/Calculator!$F$19,1)-0.5))),1)</f>
        <v>1</v>
      </c>
      <c r="J338" s="219" t="n">
        <f aca="false">IF(Calculator!$E$20="YES",IF(A338&lt;Calculator!$G$20,0,MIN(MIN(MOD(A338/Calculator!$F$20,1),1-MOD(A338/Calculator!$F$20,1)),ABS(MOD(A338/Calculator!$F$20,1)-0.5))),1)</f>
        <v>1</v>
      </c>
      <c r="K338" s="219" t="n">
        <f aca="false">IF(Calculator!$E$21="YES",IF(A338&lt;Calculator!$G$21,0,MIN(MIN(MOD(A338/Calculator!$F$21,1),1-MOD(A338/Calculator!$F$21,1)),ABS(MOD(A338/Calculator!$F$21,1)-0.5))),1)</f>
        <v>0.213578947368421</v>
      </c>
      <c r="L338" s="219" t="n">
        <f aca="false">IF(Calculator!$E$22="YES",IF(A338&lt;Calculator!$G$22,0,MIN(MIN(MOD(A338/Calculator!$F$22,1),1-MOD(A338/Calculator!$F$22,1)),ABS(MOD(A338/Calculator!$F$22,1)-0.5))),1)</f>
        <v>1</v>
      </c>
      <c r="M338" s="219" t="n">
        <f aca="false">MIN(B338:L338)</f>
        <v>0.0883157894736841</v>
      </c>
      <c r="N338" s="219" t="n">
        <f aca="false">SUMPRODUCT(($M$7:$M$557&gt;M338)*1)+SUMPRODUCT(($M$7:$M$557=M338)*(ROW($M$7:$M$557)&lt;ROW(M338)))+1</f>
        <v>139</v>
      </c>
      <c r="O338" s="219" t="str">
        <f aca="false">IF(M338&gt;=0.2,"★★★ EXCELLENT",IF(M338&gt;=0.12,"★★  GOOD",IF(M338&gt;=0.07,"★  FAIR",IF(M338&gt;=0.025,"⚠  MARGINAL","✗  AVOID"))))</f>
        <v>★  FAIR</v>
      </c>
    </row>
    <row r="339" customFormat="false" ht="15" hidden="false" customHeight="true" outlineLevel="0" collapsed="false">
      <c r="A339" s="216" t="n">
        <v>38.2</v>
      </c>
      <c r="B339" s="217" t="n">
        <f aca="false">IF(Calculator!$E$12="YES",IF(A339&lt;Calculator!$G$12,0,MIN(MIN(MOD(A339/Calculator!$F$12,1),1-MOD(A339/Calculator!$F$12,1)),ABS(MOD(A339/Calculator!$F$12,1)-0.5))),1)</f>
        <v>1</v>
      </c>
      <c r="C339" s="217" t="n">
        <f aca="false">IF(Calculator!$E$13="YES",IF(A339&lt;Calculator!$G$13,0,MIN(MIN(MOD(A339/Calculator!$F$13,1),1-MOD(A339/Calculator!$F$13,1)),ABS(MOD(A339/Calculator!$F$13,1)-0.5))),1)</f>
        <v>1</v>
      </c>
      <c r="D339" s="217" t="n">
        <f aca="false">IF(Calculator!$E$14="YES",IF(A339&lt;Calculator!$G$14,0,MIN(MIN(MOD(A339/Calculator!$F$14,1),1-MOD(A339/Calculator!$F$14,1)),ABS(MOD(A339/Calculator!$F$14,1)-0.5))),1)</f>
        <v>1</v>
      </c>
      <c r="E339" s="217" t="n">
        <f aca="false">IF(Calculator!$E$15="YES",IF(A339&lt;Calculator!$G$15,0,MIN(MIN(MOD(A339/Calculator!$F$15,1),1-MOD(A339/Calculator!$F$15,1)),ABS(MOD(A339/Calculator!$F$15,1)-0.5))),1)</f>
        <v>0.083298245614035</v>
      </c>
      <c r="F339" s="217" t="n">
        <f aca="false">IF(Calculator!$E$16="YES",IF(A339&lt;Calculator!$G$16,0,MIN(MIN(MOD(A339/Calculator!$F$16,1),1-MOD(A339/Calculator!$F$16,1)),ABS(MOD(A339/Calculator!$F$16,1)-0.5))),1)</f>
        <v>1</v>
      </c>
      <c r="G339" s="217" t="n">
        <f aca="false">IF(Calculator!$E$17="YES",IF(A339&lt;Calculator!$G$17,0,MIN(MIN(MOD(A339/Calculator!$F$17,1),1-MOD(A339/Calculator!$F$17,1)),ABS(MOD(A339/Calculator!$F$17,1)-0.5))),1)</f>
        <v>0.200105263157894</v>
      </c>
      <c r="H339" s="217" t="n">
        <f aca="false">IF(Calculator!$E$18="YES",IF(A339&lt;Calculator!$G$18,0,MIN(MIN(MOD(A339/Calculator!$F$18,1),1-MOD(A339/Calculator!$F$18,1)),ABS(MOD(A339/Calculator!$F$18,1)-0.5))),1)</f>
        <v>1</v>
      </c>
      <c r="I339" s="217" t="n">
        <f aca="false">IF(Calculator!$E$19="YES",IF(A339&lt;Calculator!$G$19,0,MIN(MIN(MOD(A339/Calculator!$F$19,1),1-MOD(A339/Calculator!$F$19,1)),ABS(MOD(A339/Calculator!$F$19,1)-0.5))),1)</f>
        <v>1</v>
      </c>
      <c r="J339" s="217" t="n">
        <f aca="false">IF(Calculator!$E$20="YES",IF(A339&lt;Calculator!$G$20,0,MIN(MIN(MOD(A339/Calculator!$F$20,1),1-MOD(A339/Calculator!$F$20,1)),ABS(MOD(A339/Calculator!$F$20,1)-0.5))),1)</f>
        <v>1</v>
      </c>
      <c r="K339" s="217" t="n">
        <f aca="false">IF(Calculator!$E$21="YES",IF(A339&lt;Calculator!$G$21,0,MIN(MIN(MOD(A339/Calculator!$F$21,1),1-MOD(A339/Calculator!$F$21,1)),ABS(MOD(A339/Calculator!$F$21,1)-0.5))),1)</f>
        <v>0.233824561403509</v>
      </c>
      <c r="L339" s="217" t="n">
        <f aca="false">IF(Calculator!$E$22="YES",IF(A339&lt;Calculator!$G$22,0,MIN(MIN(MOD(A339/Calculator!$F$22,1),1-MOD(A339/Calculator!$F$22,1)),ABS(MOD(A339/Calculator!$F$22,1)-0.5))),1)</f>
        <v>1</v>
      </c>
      <c r="M339" s="217" t="n">
        <f aca="false">MIN(B339:L339)</f>
        <v>0.083298245614035</v>
      </c>
      <c r="N339" s="217" t="n">
        <f aca="false">SUMPRODUCT(($M$7:$M$557&gt;M339)*1)+SUMPRODUCT(($M$7:$M$557=M339)*(ROW($M$7:$M$557)&lt;ROW(M339)))+1</f>
        <v>156</v>
      </c>
      <c r="O339" s="217" t="str">
        <f aca="false">IF(M339&gt;=0.2,"★★★ EXCELLENT",IF(M339&gt;=0.12,"★★  GOOD",IF(M339&gt;=0.07,"★  FAIR",IF(M339&gt;=0.025,"⚠  MARGINAL","✗  AVOID"))))</f>
        <v>★  FAIR</v>
      </c>
    </row>
    <row r="340" customFormat="false" ht="15" hidden="false" customHeight="true" outlineLevel="0" collapsed="false">
      <c r="A340" s="218" t="n">
        <v>38.3</v>
      </c>
      <c r="B340" s="219" t="n">
        <f aca="false">IF(Calculator!$E$12="YES",IF(A340&lt;Calculator!$G$12,0,MIN(MIN(MOD(A340/Calculator!$F$12,1),1-MOD(A340/Calculator!$F$12,1)),ABS(MOD(A340/Calculator!$F$12,1)-0.5))),1)</f>
        <v>1</v>
      </c>
      <c r="C340" s="219" t="n">
        <f aca="false">IF(Calculator!$E$13="YES",IF(A340&lt;Calculator!$G$13,0,MIN(MIN(MOD(A340/Calculator!$F$13,1),1-MOD(A340/Calculator!$F$13,1)),ABS(MOD(A340/Calculator!$F$13,1)-0.5))),1)</f>
        <v>1</v>
      </c>
      <c r="D340" s="219" t="n">
        <f aca="false">IF(Calculator!$E$14="YES",IF(A340&lt;Calculator!$G$14,0,MIN(MIN(MOD(A340/Calculator!$F$14,1),1-MOD(A340/Calculator!$F$14,1)),ABS(MOD(A340/Calculator!$F$14,1)-0.5))),1)</f>
        <v>1</v>
      </c>
      <c r="E340" s="219" t="n">
        <f aca="false">IF(Calculator!$E$15="YES",IF(A340&lt;Calculator!$G$15,0,MIN(MIN(MOD(A340/Calculator!$F$15,1),1-MOD(A340/Calculator!$F$15,1)),ABS(MOD(A340/Calculator!$F$15,1)-0.5))),1)</f>
        <v>0.0782807017543861</v>
      </c>
      <c r="F340" s="219" t="n">
        <f aca="false">IF(Calculator!$E$16="YES",IF(A340&lt;Calculator!$G$16,0,MIN(MIN(MOD(A340/Calculator!$F$16,1),1-MOD(A340/Calculator!$F$16,1)),ABS(MOD(A340/Calculator!$F$16,1)-0.5))),1)</f>
        <v>1</v>
      </c>
      <c r="G340" s="219" t="n">
        <f aca="false">IF(Calculator!$E$17="YES",IF(A340&lt;Calculator!$G$17,0,MIN(MIN(MOD(A340/Calculator!$F$17,1),1-MOD(A340/Calculator!$F$17,1)),ABS(MOD(A340/Calculator!$F$17,1)-0.5))),1)</f>
        <v>0.190157894736842</v>
      </c>
      <c r="H340" s="219" t="n">
        <f aca="false">IF(Calculator!$E$18="YES",IF(A340&lt;Calculator!$G$18,0,MIN(MIN(MOD(A340/Calculator!$F$18,1),1-MOD(A340/Calculator!$F$18,1)),ABS(MOD(A340/Calculator!$F$18,1)-0.5))),1)</f>
        <v>1</v>
      </c>
      <c r="I340" s="219" t="n">
        <f aca="false">IF(Calculator!$E$19="YES",IF(A340&lt;Calculator!$G$19,0,MIN(MIN(MOD(A340/Calculator!$F$19,1),1-MOD(A340/Calculator!$F$19,1)),ABS(MOD(A340/Calculator!$F$19,1)-0.5))),1)</f>
        <v>1</v>
      </c>
      <c r="J340" s="219" t="n">
        <f aca="false">IF(Calculator!$E$20="YES",IF(A340&lt;Calculator!$G$20,0,MIN(MIN(MOD(A340/Calculator!$F$20,1),1-MOD(A340/Calculator!$F$20,1)),ABS(MOD(A340/Calculator!$F$20,1)-0.5))),1)</f>
        <v>1</v>
      </c>
      <c r="K340" s="219" t="n">
        <f aca="false">IF(Calculator!$E$21="YES",IF(A340&lt;Calculator!$G$21,0,MIN(MIN(MOD(A340/Calculator!$F$21,1),1-MOD(A340/Calculator!$F$21,1)),ABS(MOD(A340/Calculator!$F$21,1)-0.5))),1)</f>
        <v>0.245929824561404</v>
      </c>
      <c r="L340" s="219" t="n">
        <f aca="false">IF(Calculator!$E$22="YES",IF(A340&lt;Calculator!$G$22,0,MIN(MIN(MOD(A340/Calculator!$F$22,1),1-MOD(A340/Calculator!$F$22,1)),ABS(MOD(A340/Calculator!$F$22,1)-0.5))),1)</f>
        <v>1</v>
      </c>
      <c r="M340" s="219" t="n">
        <f aca="false">MIN(B340:L340)</f>
        <v>0.0782807017543861</v>
      </c>
      <c r="N340" s="219" t="n">
        <f aca="false">SUMPRODUCT(($M$7:$M$557&gt;M340)*1)+SUMPRODUCT(($M$7:$M$557=M340)*(ROW($M$7:$M$557)&lt;ROW(M340)))+1</f>
        <v>175</v>
      </c>
      <c r="O340" s="219" t="str">
        <f aca="false">IF(M340&gt;=0.2,"★★★ EXCELLENT",IF(M340&gt;=0.12,"★★  GOOD",IF(M340&gt;=0.07,"★  FAIR",IF(M340&gt;=0.025,"⚠  MARGINAL","✗  AVOID"))))</f>
        <v>★  FAIR</v>
      </c>
    </row>
    <row r="341" customFormat="false" ht="15" hidden="false" customHeight="true" outlineLevel="0" collapsed="false">
      <c r="A341" s="216" t="n">
        <v>38.4</v>
      </c>
      <c r="B341" s="217" t="n">
        <f aca="false">IF(Calculator!$E$12="YES",IF(A341&lt;Calculator!$G$12,0,MIN(MIN(MOD(A341/Calculator!$F$12,1),1-MOD(A341/Calculator!$F$12,1)),ABS(MOD(A341/Calculator!$F$12,1)-0.5))),1)</f>
        <v>1</v>
      </c>
      <c r="C341" s="217" t="n">
        <f aca="false">IF(Calculator!$E$13="YES",IF(A341&lt;Calculator!$G$13,0,MIN(MIN(MOD(A341/Calculator!$F$13,1),1-MOD(A341/Calculator!$F$13,1)),ABS(MOD(A341/Calculator!$F$13,1)-0.5))),1)</f>
        <v>1</v>
      </c>
      <c r="D341" s="217" t="n">
        <f aca="false">IF(Calculator!$E$14="YES",IF(A341&lt;Calculator!$G$14,0,MIN(MIN(MOD(A341/Calculator!$F$14,1),1-MOD(A341/Calculator!$F$14,1)),ABS(MOD(A341/Calculator!$F$14,1)-0.5))),1)</f>
        <v>1</v>
      </c>
      <c r="E341" s="217" t="n">
        <f aca="false">IF(Calculator!$E$15="YES",IF(A341&lt;Calculator!$G$15,0,MIN(MIN(MOD(A341/Calculator!$F$15,1),1-MOD(A341/Calculator!$F$15,1)),ABS(MOD(A341/Calculator!$F$15,1)-0.5))),1)</f>
        <v>0.0732631578947369</v>
      </c>
      <c r="F341" s="217" t="n">
        <f aca="false">IF(Calculator!$E$16="YES",IF(A341&lt;Calculator!$G$16,0,MIN(MIN(MOD(A341/Calculator!$F$16,1),1-MOD(A341/Calculator!$F$16,1)),ABS(MOD(A341/Calculator!$F$16,1)-0.5))),1)</f>
        <v>1</v>
      </c>
      <c r="G341" s="217" t="n">
        <f aca="false">IF(Calculator!$E$17="YES",IF(A341&lt;Calculator!$G$17,0,MIN(MIN(MOD(A341/Calculator!$F$17,1),1-MOD(A341/Calculator!$F$17,1)),ABS(MOD(A341/Calculator!$F$17,1)-0.5))),1)</f>
        <v>0.180210526315789</v>
      </c>
      <c r="H341" s="217" t="n">
        <f aca="false">IF(Calculator!$E$18="YES",IF(A341&lt;Calculator!$G$18,0,MIN(MIN(MOD(A341/Calculator!$F$18,1),1-MOD(A341/Calculator!$F$18,1)),ABS(MOD(A341/Calculator!$F$18,1)-0.5))),1)</f>
        <v>1</v>
      </c>
      <c r="I341" s="217" t="n">
        <f aca="false">IF(Calculator!$E$19="YES",IF(A341&lt;Calculator!$G$19,0,MIN(MIN(MOD(A341/Calculator!$F$19,1),1-MOD(A341/Calculator!$F$19,1)),ABS(MOD(A341/Calculator!$F$19,1)-0.5))),1)</f>
        <v>1</v>
      </c>
      <c r="J341" s="217" t="n">
        <f aca="false">IF(Calculator!$E$20="YES",IF(A341&lt;Calculator!$G$20,0,MIN(MIN(MOD(A341/Calculator!$F$20,1),1-MOD(A341/Calculator!$F$20,1)),ABS(MOD(A341/Calculator!$F$20,1)-0.5))),1)</f>
        <v>1</v>
      </c>
      <c r="K341" s="217" t="n">
        <f aca="false">IF(Calculator!$E$21="YES",IF(A341&lt;Calculator!$G$21,0,MIN(MIN(MOD(A341/Calculator!$F$21,1),1-MOD(A341/Calculator!$F$21,1)),ABS(MOD(A341/Calculator!$F$21,1)-0.5))),1)</f>
        <v>0.225684210526317</v>
      </c>
      <c r="L341" s="217" t="n">
        <f aca="false">IF(Calculator!$E$22="YES",IF(A341&lt;Calculator!$G$22,0,MIN(MIN(MOD(A341/Calculator!$F$22,1),1-MOD(A341/Calculator!$F$22,1)),ABS(MOD(A341/Calculator!$F$22,1)-0.5))),1)</f>
        <v>1</v>
      </c>
      <c r="M341" s="217" t="n">
        <f aca="false">MIN(B341:L341)</f>
        <v>0.0732631578947369</v>
      </c>
      <c r="N341" s="217" t="n">
        <f aca="false">SUMPRODUCT(($M$7:$M$557&gt;M341)*1)+SUMPRODUCT(($M$7:$M$557=M341)*(ROW($M$7:$M$557)&lt;ROW(M341)))+1</f>
        <v>194</v>
      </c>
      <c r="O341" s="217" t="str">
        <f aca="false">IF(M341&gt;=0.2,"★★★ EXCELLENT",IF(M341&gt;=0.12,"★★  GOOD",IF(M341&gt;=0.07,"★  FAIR",IF(M341&gt;=0.025,"⚠  MARGINAL","✗  AVOID"))))</f>
        <v>★  FAIR</v>
      </c>
    </row>
    <row r="342" customFormat="false" ht="15" hidden="false" customHeight="true" outlineLevel="0" collapsed="false">
      <c r="A342" s="218" t="n">
        <v>38.5</v>
      </c>
      <c r="B342" s="219" t="n">
        <f aca="false">IF(Calculator!$E$12="YES",IF(A342&lt;Calculator!$G$12,0,MIN(MIN(MOD(A342/Calculator!$F$12,1),1-MOD(A342/Calculator!$F$12,1)),ABS(MOD(A342/Calculator!$F$12,1)-0.5))),1)</f>
        <v>1</v>
      </c>
      <c r="C342" s="219" t="n">
        <f aca="false">IF(Calculator!$E$13="YES",IF(A342&lt;Calculator!$G$13,0,MIN(MIN(MOD(A342/Calculator!$F$13,1),1-MOD(A342/Calculator!$F$13,1)),ABS(MOD(A342/Calculator!$F$13,1)-0.5))),1)</f>
        <v>1</v>
      </c>
      <c r="D342" s="219" t="n">
        <f aca="false">IF(Calculator!$E$14="YES",IF(A342&lt;Calculator!$G$14,0,MIN(MIN(MOD(A342/Calculator!$F$14,1),1-MOD(A342/Calculator!$F$14,1)),ABS(MOD(A342/Calculator!$F$14,1)-0.5))),1)</f>
        <v>1</v>
      </c>
      <c r="E342" s="219" t="n">
        <f aca="false">IF(Calculator!$E$15="YES",IF(A342&lt;Calculator!$G$15,0,MIN(MIN(MOD(A342/Calculator!$F$15,1),1-MOD(A342/Calculator!$F$15,1)),ABS(MOD(A342/Calculator!$F$15,1)-0.5))),1)</f>
        <v>0.0682456140350878</v>
      </c>
      <c r="F342" s="219" t="n">
        <f aca="false">IF(Calculator!$E$16="YES",IF(A342&lt;Calculator!$G$16,0,MIN(MIN(MOD(A342/Calculator!$F$16,1),1-MOD(A342/Calculator!$F$16,1)),ABS(MOD(A342/Calculator!$F$16,1)-0.5))),1)</f>
        <v>1</v>
      </c>
      <c r="G342" s="219" t="n">
        <f aca="false">IF(Calculator!$E$17="YES",IF(A342&lt;Calculator!$G$17,0,MIN(MIN(MOD(A342/Calculator!$F$17,1),1-MOD(A342/Calculator!$F$17,1)),ABS(MOD(A342/Calculator!$F$17,1)-0.5))),1)</f>
        <v>0.170263157894737</v>
      </c>
      <c r="H342" s="219" t="n">
        <f aca="false">IF(Calculator!$E$18="YES",IF(A342&lt;Calculator!$G$18,0,MIN(MIN(MOD(A342/Calculator!$F$18,1),1-MOD(A342/Calculator!$F$18,1)),ABS(MOD(A342/Calculator!$F$18,1)-0.5))),1)</f>
        <v>1</v>
      </c>
      <c r="I342" s="219" t="n">
        <f aca="false">IF(Calculator!$E$19="YES",IF(A342&lt;Calculator!$G$19,0,MIN(MIN(MOD(A342/Calculator!$F$19,1),1-MOD(A342/Calculator!$F$19,1)),ABS(MOD(A342/Calculator!$F$19,1)-0.5))),1)</f>
        <v>1</v>
      </c>
      <c r="J342" s="219" t="n">
        <f aca="false">IF(Calculator!$E$20="YES",IF(A342&lt;Calculator!$G$20,0,MIN(MIN(MOD(A342/Calculator!$F$20,1),1-MOD(A342/Calculator!$F$20,1)),ABS(MOD(A342/Calculator!$F$20,1)-0.5))),1)</f>
        <v>1</v>
      </c>
      <c r="K342" s="219" t="n">
        <f aca="false">IF(Calculator!$E$21="YES",IF(A342&lt;Calculator!$G$21,0,MIN(MIN(MOD(A342/Calculator!$F$21,1),1-MOD(A342/Calculator!$F$21,1)),ABS(MOD(A342/Calculator!$F$21,1)-0.5))),1)</f>
        <v>0.205438596491228</v>
      </c>
      <c r="L342" s="219" t="n">
        <f aca="false">IF(Calculator!$E$22="YES",IF(A342&lt;Calculator!$G$22,0,MIN(MIN(MOD(A342/Calculator!$F$22,1),1-MOD(A342/Calculator!$F$22,1)),ABS(MOD(A342/Calculator!$F$22,1)-0.5))),1)</f>
        <v>1</v>
      </c>
      <c r="M342" s="219" t="n">
        <f aca="false">MIN(B342:L342)</f>
        <v>0.0682456140350878</v>
      </c>
      <c r="N342" s="219" t="n">
        <f aca="false">SUMPRODUCT(($M$7:$M$557&gt;M342)*1)+SUMPRODUCT(($M$7:$M$557=M342)*(ROW($M$7:$M$557)&lt;ROW(M342)))+1</f>
        <v>212</v>
      </c>
      <c r="O342" s="219" t="str">
        <f aca="false">IF(M342&gt;=0.2,"★★★ EXCELLENT",IF(M342&gt;=0.12,"★★  GOOD",IF(M342&gt;=0.07,"★  FAIR",IF(M342&gt;=0.025,"⚠  MARGINAL","✗  AVOID"))))</f>
        <v>⚠  MARGINAL</v>
      </c>
    </row>
    <row r="343" customFormat="false" ht="15" hidden="false" customHeight="true" outlineLevel="0" collapsed="false">
      <c r="A343" s="216" t="n">
        <v>38.6</v>
      </c>
      <c r="B343" s="217" t="n">
        <f aca="false">IF(Calculator!$E$12="YES",IF(A343&lt;Calculator!$G$12,0,MIN(MIN(MOD(A343/Calculator!$F$12,1),1-MOD(A343/Calculator!$F$12,1)),ABS(MOD(A343/Calculator!$F$12,1)-0.5))),1)</f>
        <v>1</v>
      </c>
      <c r="C343" s="217" t="n">
        <f aca="false">IF(Calculator!$E$13="YES",IF(A343&lt;Calculator!$G$13,0,MIN(MIN(MOD(A343/Calculator!$F$13,1),1-MOD(A343/Calculator!$F$13,1)),ABS(MOD(A343/Calculator!$F$13,1)-0.5))),1)</f>
        <v>1</v>
      </c>
      <c r="D343" s="217" t="n">
        <f aca="false">IF(Calculator!$E$14="YES",IF(A343&lt;Calculator!$G$14,0,MIN(MIN(MOD(A343/Calculator!$F$14,1),1-MOD(A343/Calculator!$F$14,1)),ABS(MOD(A343/Calculator!$F$14,1)-0.5))),1)</f>
        <v>1</v>
      </c>
      <c r="E343" s="217" t="n">
        <f aca="false">IF(Calculator!$E$15="YES",IF(A343&lt;Calculator!$G$15,0,MIN(MIN(MOD(A343/Calculator!$F$15,1),1-MOD(A343/Calculator!$F$15,1)),ABS(MOD(A343/Calculator!$F$15,1)-0.5))),1)</f>
        <v>0.0632280701754384</v>
      </c>
      <c r="F343" s="217" t="n">
        <f aca="false">IF(Calculator!$E$16="YES",IF(A343&lt;Calculator!$G$16,0,MIN(MIN(MOD(A343/Calculator!$F$16,1),1-MOD(A343/Calculator!$F$16,1)),ABS(MOD(A343/Calculator!$F$16,1)-0.5))),1)</f>
        <v>1</v>
      </c>
      <c r="G343" s="217" t="n">
        <f aca="false">IF(Calculator!$E$17="YES",IF(A343&lt;Calculator!$G$17,0,MIN(MIN(MOD(A343/Calculator!$F$17,1),1-MOD(A343/Calculator!$F$17,1)),ABS(MOD(A343/Calculator!$F$17,1)-0.5))),1)</f>
        <v>0.160315789473684</v>
      </c>
      <c r="H343" s="217" t="n">
        <f aca="false">IF(Calculator!$E$18="YES",IF(A343&lt;Calculator!$G$18,0,MIN(MIN(MOD(A343/Calculator!$F$18,1),1-MOD(A343/Calculator!$F$18,1)),ABS(MOD(A343/Calculator!$F$18,1)-0.5))),1)</f>
        <v>1</v>
      </c>
      <c r="I343" s="217" t="n">
        <f aca="false">IF(Calculator!$E$19="YES",IF(A343&lt;Calculator!$G$19,0,MIN(MIN(MOD(A343/Calculator!$F$19,1),1-MOD(A343/Calculator!$F$19,1)),ABS(MOD(A343/Calculator!$F$19,1)-0.5))),1)</f>
        <v>1</v>
      </c>
      <c r="J343" s="217" t="n">
        <f aca="false">IF(Calculator!$E$20="YES",IF(A343&lt;Calculator!$G$20,0,MIN(MIN(MOD(A343/Calculator!$F$20,1),1-MOD(A343/Calculator!$F$20,1)),ABS(MOD(A343/Calculator!$F$20,1)-0.5))),1)</f>
        <v>1</v>
      </c>
      <c r="K343" s="217" t="n">
        <f aca="false">IF(Calculator!$E$21="YES",IF(A343&lt;Calculator!$G$21,0,MIN(MIN(MOD(A343/Calculator!$F$21,1),1-MOD(A343/Calculator!$F$21,1)),ABS(MOD(A343/Calculator!$F$21,1)-0.5))),1)</f>
        <v>0.18519298245614</v>
      </c>
      <c r="L343" s="217" t="n">
        <f aca="false">IF(Calculator!$E$22="YES",IF(A343&lt;Calculator!$G$22,0,MIN(MIN(MOD(A343/Calculator!$F$22,1),1-MOD(A343/Calculator!$F$22,1)),ABS(MOD(A343/Calculator!$F$22,1)-0.5))),1)</f>
        <v>1</v>
      </c>
      <c r="M343" s="217" t="n">
        <f aca="false">MIN(B343:L343)</f>
        <v>0.0632280701754384</v>
      </c>
      <c r="N343" s="217" t="n">
        <f aca="false">SUMPRODUCT(($M$7:$M$557&gt;M343)*1)+SUMPRODUCT(($M$7:$M$557=M343)*(ROW($M$7:$M$557)&lt;ROW(M343)))+1</f>
        <v>232</v>
      </c>
      <c r="O343" s="217" t="str">
        <f aca="false">IF(M343&gt;=0.2,"★★★ EXCELLENT",IF(M343&gt;=0.12,"★★  GOOD",IF(M343&gt;=0.07,"★  FAIR",IF(M343&gt;=0.025,"⚠  MARGINAL","✗  AVOID"))))</f>
        <v>⚠  MARGINAL</v>
      </c>
    </row>
    <row r="344" customFormat="false" ht="15" hidden="false" customHeight="true" outlineLevel="0" collapsed="false">
      <c r="A344" s="218" t="n">
        <v>38.7</v>
      </c>
      <c r="B344" s="219" t="n">
        <f aca="false">IF(Calculator!$E$12="YES",IF(A344&lt;Calculator!$G$12,0,MIN(MIN(MOD(A344/Calculator!$F$12,1),1-MOD(A344/Calculator!$F$12,1)),ABS(MOD(A344/Calculator!$F$12,1)-0.5))),1)</f>
        <v>1</v>
      </c>
      <c r="C344" s="219" t="n">
        <f aca="false">IF(Calculator!$E$13="YES",IF(A344&lt;Calculator!$G$13,0,MIN(MIN(MOD(A344/Calculator!$F$13,1),1-MOD(A344/Calculator!$F$13,1)),ABS(MOD(A344/Calculator!$F$13,1)-0.5))),1)</f>
        <v>1</v>
      </c>
      <c r="D344" s="219" t="n">
        <f aca="false">IF(Calculator!$E$14="YES",IF(A344&lt;Calculator!$G$14,0,MIN(MIN(MOD(A344/Calculator!$F$14,1),1-MOD(A344/Calculator!$F$14,1)),ABS(MOD(A344/Calculator!$F$14,1)-0.5))),1)</f>
        <v>1</v>
      </c>
      <c r="E344" s="219" t="n">
        <f aca="false">IF(Calculator!$E$15="YES",IF(A344&lt;Calculator!$G$15,0,MIN(MIN(MOD(A344/Calculator!$F$15,1),1-MOD(A344/Calculator!$F$15,1)),ABS(MOD(A344/Calculator!$F$15,1)-0.5))),1)</f>
        <v>0.0582105263157893</v>
      </c>
      <c r="F344" s="219" t="n">
        <f aca="false">IF(Calculator!$E$16="YES",IF(A344&lt;Calculator!$G$16,0,MIN(MIN(MOD(A344/Calculator!$F$16,1),1-MOD(A344/Calculator!$F$16,1)),ABS(MOD(A344/Calculator!$F$16,1)-0.5))),1)</f>
        <v>1</v>
      </c>
      <c r="G344" s="219" t="n">
        <f aca="false">IF(Calculator!$E$17="YES",IF(A344&lt;Calculator!$G$17,0,MIN(MIN(MOD(A344/Calculator!$F$17,1),1-MOD(A344/Calculator!$F$17,1)),ABS(MOD(A344/Calculator!$F$17,1)-0.5))),1)</f>
        <v>0.150368421052631</v>
      </c>
      <c r="H344" s="219" t="n">
        <f aca="false">IF(Calculator!$E$18="YES",IF(A344&lt;Calculator!$G$18,0,MIN(MIN(MOD(A344/Calculator!$F$18,1),1-MOD(A344/Calculator!$F$18,1)),ABS(MOD(A344/Calculator!$F$18,1)-0.5))),1)</f>
        <v>1</v>
      </c>
      <c r="I344" s="219" t="n">
        <f aca="false">IF(Calculator!$E$19="YES",IF(A344&lt;Calculator!$G$19,0,MIN(MIN(MOD(A344/Calculator!$F$19,1),1-MOD(A344/Calculator!$F$19,1)),ABS(MOD(A344/Calculator!$F$19,1)-0.5))),1)</f>
        <v>1</v>
      </c>
      <c r="J344" s="219" t="n">
        <f aca="false">IF(Calculator!$E$20="YES",IF(A344&lt;Calculator!$G$20,0,MIN(MIN(MOD(A344/Calculator!$F$20,1),1-MOD(A344/Calculator!$F$20,1)),ABS(MOD(A344/Calculator!$F$20,1)-0.5))),1)</f>
        <v>1</v>
      </c>
      <c r="K344" s="219" t="n">
        <f aca="false">IF(Calculator!$E$21="YES",IF(A344&lt;Calculator!$G$21,0,MIN(MIN(MOD(A344/Calculator!$F$21,1),1-MOD(A344/Calculator!$F$21,1)),ABS(MOD(A344/Calculator!$F$21,1)-0.5))),1)</f>
        <v>0.164947368421053</v>
      </c>
      <c r="L344" s="219" t="n">
        <f aca="false">IF(Calculator!$E$22="YES",IF(A344&lt;Calculator!$G$22,0,MIN(MIN(MOD(A344/Calculator!$F$22,1),1-MOD(A344/Calculator!$F$22,1)),ABS(MOD(A344/Calculator!$F$22,1)-0.5))),1)</f>
        <v>1</v>
      </c>
      <c r="M344" s="219" t="n">
        <f aca="false">MIN(B344:L344)</f>
        <v>0.0582105263157893</v>
      </c>
      <c r="N344" s="219" t="n">
        <f aca="false">SUMPRODUCT(($M$7:$M$557&gt;M344)*1)+SUMPRODUCT(($M$7:$M$557=M344)*(ROW($M$7:$M$557)&lt;ROW(M344)))+1</f>
        <v>252</v>
      </c>
      <c r="O344" s="219" t="str">
        <f aca="false">IF(M344&gt;=0.2,"★★★ EXCELLENT",IF(M344&gt;=0.12,"★★  GOOD",IF(M344&gt;=0.07,"★  FAIR",IF(M344&gt;=0.025,"⚠  MARGINAL","✗  AVOID"))))</f>
        <v>⚠  MARGINAL</v>
      </c>
    </row>
    <row r="345" customFormat="false" ht="15" hidden="false" customHeight="true" outlineLevel="0" collapsed="false">
      <c r="A345" s="216" t="n">
        <v>38.8</v>
      </c>
      <c r="B345" s="217" t="n">
        <f aca="false">IF(Calculator!$E$12="YES",IF(A345&lt;Calculator!$G$12,0,MIN(MIN(MOD(A345/Calculator!$F$12,1),1-MOD(A345/Calculator!$F$12,1)),ABS(MOD(A345/Calculator!$F$12,1)-0.5))),1)</f>
        <v>1</v>
      </c>
      <c r="C345" s="217" t="n">
        <f aca="false">IF(Calculator!$E$13="YES",IF(A345&lt;Calculator!$G$13,0,MIN(MIN(MOD(A345/Calculator!$F$13,1),1-MOD(A345/Calculator!$F$13,1)),ABS(MOD(A345/Calculator!$F$13,1)-0.5))),1)</f>
        <v>1</v>
      </c>
      <c r="D345" s="217" t="n">
        <f aca="false">IF(Calculator!$E$14="YES",IF(A345&lt;Calculator!$G$14,0,MIN(MIN(MOD(A345/Calculator!$F$14,1),1-MOD(A345/Calculator!$F$14,1)),ABS(MOD(A345/Calculator!$F$14,1)-0.5))),1)</f>
        <v>1</v>
      </c>
      <c r="E345" s="217" t="n">
        <f aca="false">IF(Calculator!$E$15="YES",IF(A345&lt;Calculator!$G$15,0,MIN(MIN(MOD(A345/Calculator!$F$15,1),1-MOD(A345/Calculator!$F$15,1)),ABS(MOD(A345/Calculator!$F$15,1)-0.5))),1)</f>
        <v>0.0531929824561406</v>
      </c>
      <c r="F345" s="217" t="n">
        <f aca="false">IF(Calculator!$E$16="YES",IF(A345&lt;Calculator!$G$16,0,MIN(MIN(MOD(A345/Calculator!$F$16,1),1-MOD(A345/Calculator!$F$16,1)),ABS(MOD(A345/Calculator!$F$16,1)-0.5))),1)</f>
        <v>1</v>
      </c>
      <c r="G345" s="217" t="n">
        <f aca="false">IF(Calculator!$E$17="YES",IF(A345&lt;Calculator!$G$17,0,MIN(MIN(MOD(A345/Calculator!$F$17,1),1-MOD(A345/Calculator!$F$17,1)),ABS(MOD(A345/Calculator!$F$17,1)-0.5))),1)</f>
        <v>0.140421052631579</v>
      </c>
      <c r="H345" s="217" t="n">
        <f aca="false">IF(Calculator!$E$18="YES",IF(A345&lt;Calculator!$G$18,0,MIN(MIN(MOD(A345/Calculator!$F$18,1),1-MOD(A345/Calculator!$F$18,1)),ABS(MOD(A345/Calculator!$F$18,1)-0.5))),1)</f>
        <v>1</v>
      </c>
      <c r="I345" s="217" t="n">
        <f aca="false">IF(Calculator!$E$19="YES",IF(A345&lt;Calculator!$G$19,0,MIN(MIN(MOD(A345/Calculator!$F$19,1),1-MOD(A345/Calculator!$F$19,1)),ABS(MOD(A345/Calculator!$F$19,1)-0.5))),1)</f>
        <v>1</v>
      </c>
      <c r="J345" s="217" t="n">
        <f aca="false">IF(Calculator!$E$20="YES",IF(A345&lt;Calculator!$G$20,0,MIN(MIN(MOD(A345/Calculator!$F$20,1),1-MOD(A345/Calculator!$F$20,1)),ABS(MOD(A345/Calculator!$F$20,1)-0.5))),1)</f>
        <v>1</v>
      </c>
      <c r="K345" s="217" t="n">
        <f aca="false">IF(Calculator!$E$21="YES",IF(A345&lt;Calculator!$G$21,0,MIN(MIN(MOD(A345/Calculator!$F$21,1),1-MOD(A345/Calculator!$F$21,1)),ABS(MOD(A345/Calculator!$F$21,1)-0.5))),1)</f>
        <v>0.144701754385966</v>
      </c>
      <c r="L345" s="217" t="n">
        <f aca="false">IF(Calculator!$E$22="YES",IF(A345&lt;Calculator!$G$22,0,MIN(MIN(MOD(A345/Calculator!$F$22,1),1-MOD(A345/Calculator!$F$22,1)),ABS(MOD(A345/Calculator!$F$22,1)-0.5))),1)</f>
        <v>1</v>
      </c>
      <c r="M345" s="217" t="n">
        <f aca="false">MIN(B345:L345)</f>
        <v>0.0531929824561406</v>
      </c>
      <c r="N345" s="217" t="n">
        <f aca="false">SUMPRODUCT(($M$7:$M$557&gt;M345)*1)+SUMPRODUCT(($M$7:$M$557=M345)*(ROW($M$7:$M$557)&lt;ROW(M345)))+1</f>
        <v>272</v>
      </c>
      <c r="O345" s="217" t="str">
        <f aca="false">IF(M345&gt;=0.2,"★★★ EXCELLENT",IF(M345&gt;=0.12,"★★  GOOD",IF(M345&gt;=0.07,"★  FAIR",IF(M345&gt;=0.025,"⚠  MARGINAL","✗  AVOID"))))</f>
        <v>⚠  MARGINAL</v>
      </c>
    </row>
    <row r="346" customFormat="false" ht="15" hidden="false" customHeight="true" outlineLevel="0" collapsed="false">
      <c r="A346" s="218" t="n">
        <v>38.9</v>
      </c>
      <c r="B346" s="219" t="n">
        <f aca="false">IF(Calculator!$E$12="YES",IF(A346&lt;Calculator!$G$12,0,MIN(MIN(MOD(A346/Calculator!$F$12,1),1-MOD(A346/Calculator!$F$12,1)),ABS(MOD(A346/Calculator!$F$12,1)-0.5))),1)</f>
        <v>1</v>
      </c>
      <c r="C346" s="219" t="n">
        <f aca="false">IF(Calculator!$E$13="YES",IF(A346&lt;Calculator!$G$13,0,MIN(MIN(MOD(A346/Calculator!$F$13,1),1-MOD(A346/Calculator!$F$13,1)),ABS(MOD(A346/Calculator!$F$13,1)-0.5))),1)</f>
        <v>1</v>
      </c>
      <c r="D346" s="219" t="n">
        <f aca="false">IF(Calculator!$E$14="YES",IF(A346&lt;Calculator!$G$14,0,MIN(MIN(MOD(A346/Calculator!$F$14,1),1-MOD(A346/Calculator!$F$14,1)),ABS(MOD(A346/Calculator!$F$14,1)-0.5))),1)</f>
        <v>1</v>
      </c>
      <c r="E346" s="219" t="n">
        <f aca="false">IF(Calculator!$E$15="YES",IF(A346&lt;Calculator!$G$15,0,MIN(MIN(MOD(A346/Calculator!$F$15,1),1-MOD(A346/Calculator!$F$15,1)),ABS(MOD(A346/Calculator!$F$15,1)-0.5))),1)</f>
        <v>0.0481754385964912</v>
      </c>
      <c r="F346" s="219" t="n">
        <f aca="false">IF(Calculator!$E$16="YES",IF(A346&lt;Calculator!$G$16,0,MIN(MIN(MOD(A346/Calculator!$F$16,1),1-MOD(A346/Calculator!$F$16,1)),ABS(MOD(A346/Calculator!$F$16,1)-0.5))),1)</f>
        <v>1</v>
      </c>
      <c r="G346" s="219" t="n">
        <f aca="false">IF(Calculator!$E$17="YES",IF(A346&lt;Calculator!$G$17,0,MIN(MIN(MOD(A346/Calculator!$F$17,1),1-MOD(A346/Calculator!$F$17,1)),ABS(MOD(A346/Calculator!$F$17,1)-0.5))),1)</f>
        <v>0.130473684210526</v>
      </c>
      <c r="H346" s="219" t="n">
        <f aca="false">IF(Calculator!$E$18="YES",IF(A346&lt;Calculator!$G$18,0,MIN(MIN(MOD(A346/Calculator!$F$18,1),1-MOD(A346/Calculator!$F$18,1)),ABS(MOD(A346/Calculator!$F$18,1)-0.5))),1)</f>
        <v>1</v>
      </c>
      <c r="I346" s="219" t="n">
        <f aca="false">IF(Calculator!$E$19="YES",IF(A346&lt;Calculator!$G$19,0,MIN(MIN(MOD(A346/Calculator!$F$19,1),1-MOD(A346/Calculator!$F$19,1)),ABS(MOD(A346/Calculator!$F$19,1)-0.5))),1)</f>
        <v>1</v>
      </c>
      <c r="J346" s="219" t="n">
        <f aca="false">IF(Calculator!$E$20="YES",IF(A346&lt;Calculator!$G$20,0,MIN(MIN(MOD(A346/Calculator!$F$20,1),1-MOD(A346/Calculator!$F$20,1)),ABS(MOD(A346/Calculator!$F$20,1)-0.5))),1)</f>
        <v>1</v>
      </c>
      <c r="K346" s="219" t="n">
        <f aca="false">IF(Calculator!$E$21="YES",IF(A346&lt;Calculator!$G$21,0,MIN(MIN(MOD(A346/Calculator!$F$21,1),1-MOD(A346/Calculator!$F$21,1)),ABS(MOD(A346/Calculator!$F$21,1)-0.5))),1)</f>
        <v>0.124456140350878</v>
      </c>
      <c r="L346" s="219" t="n">
        <f aca="false">IF(Calculator!$E$22="YES",IF(A346&lt;Calculator!$G$22,0,MIN(MIN(MOD(A346/Calculator!$F$22,1),1-MOD(A346/Calculator!$F$22,1)),ABS(MOD(A346/Calculator!$F$22,1)-0.5))),1)</f>
        <v>1</v>
      </c>
      <c r="M346" s="219" t="n">
        <f aca="false">MIN(B346:L346)</f>
        <v>0.0481754385964912</v>
      </c>
      <c r="N346" s="219" t="n">
        <f aca="false">SUMPRODUCT(($M$7:$M$557&gt;M346)*1)+SUMPRODUCT(($M$7:$M$557=M346)*(ROW($M$7:$M$557)&lt;ROW(M346)))+1</f>
        <v>292</v>
      </c>
      <c r="O346" s="219" t="str">
        <f aca="false">IF(M346&gt;=0.2,"★★★ EXCELLENT",IF(M346&gt;=0.12,"★★  GOOD",IF(M346&gt;=0.07,"★  FAIR",IF(M346&gt;=0.025,"⚠  MARGINAL","✗  AVOID"))))</f>
        <v>⚠  MARGINAL</v>
      </c>
    </row>
    <row r="347" customFormat="false" ht="15" hidden="false" customHeight="true" outlineLevel="0" collapsed="false">
      <c r="A347" s="216" t="n">
        <v>39</v>
      </c>
      <c r="B347" s="217" t="n">
        <f aca="false">IF(Calculator!$E$12="YES",IF(A347&lt;Calculator!$G$12,0,MIN(MIN(MOD(A347/Calculator!$F$12,1),1-MOD(A347/Calculator!$F$12,1)),ABS(MOD(A347/Calculator!$F$12,1)-0.5))),1)</f>
        <v>1</v>
      </c>
      <c r="C347" s="217" t="n">
        <f aca="false">IF(Calculator!$E$13="YES",IF(A347&lt;Calculator!$G$13,0,MIN(MIN(MOD(A347/Calculator!$F$13,1),1-MOD(A347/Calculator!$F$13,1)),ABS(MOD(A347/Calculator!$F$13,1)-0.5))),1)</f>
        <v>1</v>
      </c>
      <c r="D347" s="217" t="n">
        <f aca="false">IF(Calculator!$E$14="YES",IF(A347&lt;Calculator!$G$14,0,MIN(MIN(MOD(A347/Calculator!$F$14,1),1-MOD(A347/Calculator!$F$14,1)),ABS(MOD(A347/Calculator!$F$14,1)-0.5))),1)</f>
        <v>1</v>
      </c>
      <c r="E347" s="217" t="n">
        <f aca="false">IF(Calculator!$E$15="YES",IF(A347&lt;Calculator!$G$15,0,MIN(MIN(MOD(A347/Calculator!$F$15,1),1-MOD(A347/Calculator!$F$15,1)),ABS(MOD(A347/Calculator!$F$15,1)-0.5))),1)</f>
        <v>0.0431578947368421</v>
      </c>
      <c r="F347" s="217" t="n">
        <f aca="false">IF(Calculator!$E$16="YES",IF(A347&lt;Calculator!$G$16,0,MIN(MIN(MOD(A347/Calculator!$F$16,1),1-MOD(A347/Calculator!$F$16,1)),ABS(MOD(A347/Calculator!$F$16,1)-0.5))),1)</f>
        <v>1</v>
      </c>
      <c r="G347" s="217" t="n">
        <f aca="false">IF(Calculator!$E$17="YES",IF(A347&lt;Calculator!$G$17,0,MIN(MIN(MOD(A347/Calculator!$F$17,1),1-MOD(A347/Calculator!$F$17,1)),ABS(MOD(A347/Calculator!$F$17,1)-0.5))),1)</f>
        <v>0.120526315789474</v>
      </c>
      <c r="H347" s="217" t="n">
        <f aca="false">IF(Calculator!$E$18="YES",IF(A347&lt;Calculator!$G$18,0,MIN(MIN(MOD(A347/Calculator!$F$18,1),1-MOD(A347/Calculator!$F$18,1)),ABS(MOD(A347/Calculator!$F$18,1)-0.5))),1)</f>
        <v>1</v>
      </c>
      <c r="I347" s="217" t="n">
        <f aca="false">IF(Calculator!$E$19="YES",IF(A347&lt;Calculator!$G$19,0,MIN(MIN(MOD(A347/Calculator!$F$19,1),1-MOD(A347/Calculator!$F$19,1)),ABS(MOD(A347/Calculator!$F$19,1)-0.5))),1)</f>
        <v>1</v>
      </c>
      <c r="J347" s="217" t="n">
        <f aca="false">IF(Calculator!$E$20="YES",IF(A347&lt;Calculator!$G$20,0,MIN(MIN(MOD(A347/Calculator!$F$20,1),1-MOD(A347/Calculator!$F$20,1)),ABS(MOD(A347/Calculator!$F$20,1)-0.5))),1)</f>
        <v>1</v>
      </c>
      <c r="K347" s="217" t="n">
        <f aca="false">IF(Calculator!$E$21="YES",IF(A347&lt;Calculator!$G$21,0,MIN(MIN(MOD(A347/Calculator!$F$21,1),1-MOD(A347/Calculator!$F$21,1)),ABS(MOD(A347/Calculator!$F$21,1)-0.5))),1)</f>
        <v>0.104210526315789</v>
      </c>
      <c r="L347" s="217" t="n">
        <f aca="false">IF(Calculator!$E$22="YES",IF(A347&lt;Calculator!$G$22,0,MIN(MIN(MOD(A347/Calculator!$F$22,1),1-MOD(A347/Calculator!$F$22,1)),ABS(MOD(A347/Calculator!$F$22,1)-0.5))),1)</f>
        <v>1</v>
      </c>
      <c r="M347" s="217" t="n">
        <f aca="false">MIN(B347:L347)</f>
        <v>0.0431578947368421</v>
      </c>
      <c r="N347" s="217" t="n">
        <f aca="false">SUMPRODUCT(($M$7:$M$557&gt;M347)*1)+SUMPRODUCT(($M$7:$M$557=M347)*(ROW($M$7:$M$557)&lt;ROW(M347)))+1</f>
        <v>312</v>
      </c>
      <c r="O347" s="217" t="str">
        <f aca="false">IF(M347&gt;=0.2,"★★★ EXCELLENT",IF(M347&gt;=0.12,"★★  GOOD",IF(M347&gt;=0.07,"★  FAIR",IF(M347&gt;=0.025,"⚠  MARGINAL","✗  AVOID"))))</f>
        <v>⚠  MARGINAL</v>
      </c>
    </row>
    <row r="348" customFormat="false" ht="15" hidden="false" customHeight="true" outlineLevel="0" collapsed="false">
      <c r="A348" s="218" t="n">
        <v>39.1</v>
      </c>
      <c r="B348" s="219" t="n">
        <f aca="false">IF(Calculator!$E$12="YES",IF(A348&lt;Calculator!$G$12,0,MIN(MIN(MOD(A348/Calculator!$F$12,1),1-MOD(A348/Calculator!$F$12,1)),ABS(MOD(A348/Calculator!$F$12,1)-0.5))),1)</f>
        <v>1</v>
      </c>
      <c r="C348" s="219" t="n">
        <f aca="false">IF(Calculator!$E$13="YES",IF(A348&lt;Calculator!$G$13,0,MIN(MIN(MOD(A348/Calculator!$F$13,1),1-MOD(A348/Calculator!$F$13,1)),ABS(MOD(A348/Calculator!$F$13,1)-0.5))),1)</f>
        <v>1</v>
      </c>
      <c r="D348" s="219" t="n">
        <f aca="false">IF(Calculator!$E$14="YES",IF(A348&lt;Calculator!$G$14,0,MIN(MIN(MOD(A348/Calculator!$F$14,1),1-MOD(A348/Calculator!$F$14,1)),ABS(MOD(A348/Calculator!$F$14,1)-0.5))),1)</f>
        <v>1</v>
      </c>
      <c r="E348" s="219" t="n">
        <f aca="false">IF(Calculator!$E$15="YES",IF(A348&lt;Calculator!$G$15,0,MIN(MIN(MOD(A348/Calculator!$F$15,1),1-MOD(A348/Calculator!$F$15,1)),ABS(MOD(A348/Calculator!$F$15,1)-0.5))),1)</f>
        <v>0.0381403508771929</v>
      </c>
      <c r="F348" s="219" t="n">
        <f aca="false">IF(Calculator!$E$16="YES",IF(A348&lt;Calculator!$G$16,0,MIN(MIN(MOD(A348/Calculator!$F$16,1),1-MOD(A348/Calculator!$F$16,1)),ABS(MOD(A348/Calculator!$F$16,1)-0.5))),1)</f>
        <v>1</v>
      </c>
      <c r="G348" s="219" t="n">
        <f aca="false">IF(Calculator!$E$17="YES",IF(A348&lt;Calculator!$G$17,0,MIN(MIN(MOD(A348/Calculator!$F$17,1),1-MOD(A348/Calculator!$F$17,1)),ABS(MOD(A348/Calculator!$F$17,1)-0.5))),1)</f>
        <v>0.11057894736842</v>
      </c>
      <c r="H348" s="219" t="n">
        <f aca="false">IF(Calculator!$E$18="YES",IF(A348&lt;Calculator!$G$18,0,MIN(MIN(MOD(A348/Calculator!$F$18,1),1-MOD(A348/Calculator!$F$18,1)),ABS(MOD(A348/Calculator!$F$18,1)-0.5))),1)</f>
        <v>1</v>
      </c>
      <c r="I348" s="219" t="n">
        <f aca="false">IF(Calculator!$E$19="YES",IF(A348&lt;Calculator!$G$19,0,MIN(MIN(MOD(A348/Calculator!$F$19,1),1-MOD(A348/Calculator!$F$19,1)),ABS(MOD(A348/Calculator!$F$19,1)-0.5))),1)</f>
        <v>1</v>
      </c>
      <c r="J348" s="219" t="n">
        <f aca="false">IF(Calculator!$E$20="YES",IF(A348&lt;Calculator!$G$20,0,MIN(MIN(MOD(A348/Calculator!$F$20,1),1-MOD(A348/Calculator!$F$20,1)),ABS(MOD(A348/Calculator!$F$20,1)-0.5))),1)</f>
        <v>1</v>
      </c>
      <c r="K348" s="219" t="n">
        <f aca="false">IF(Calculator!$E$21="YES",IF(A348&lt;Calculator!$G$21,0,MIN(MIN(MOD(A348/Calculator!$F$21,1),1-MOD(A348/Calculator!$F$21,1)),ABS(MOD(A348/Calculator!$F$21,1)-0.5))),1)</f>
        <v>0.0839649122807016</v>
      </c>
      <c r="L348" s="219" t="n">
        <f aca="false">IF(Calculator!$E$22="YES",IF(A348&lt;Calculator!$G$22,0,MIN(MIN(MOD(A348/Calculator!$F$22,1),1-MOD(A348/Calculator!$F$22,1)),ABS(MOD(A348/Calculator!$F$22,1)-0.5))),1)</f>
        <v>1</v>
      </c>
      <c r="M348" s="219" t="n">
        <f aca="false">MIN(B348:L348)</f>
        <v>0.0381403508771929</v>
      </c>
      <c r="N348" s="219" t="n">
        <f aca="false">SUMPRODUCT(($M$7:$M$557&gt;M348)*1)+SUMPRODUCT(($M$7:$M$557=M348)*(ROW($M$7:$M$557)&lt;ROW(M348)))+1</f>
        <v>332</v>
      </c>
      <c r="O348" s="219" t="str">
        <f aca="false">IF(M348&gt;=0.2,"★★★ EXCELLENT",IF(M348&gt;=0.12,"★★  GOOD",IF(M348&gt;=0.07,"★  FAIR",IF(M348&gt;=0.025,"⚠  MARGINAL","✗  AVOID"))))</f>
        <v>⚠  MARGINAL</v>
      </c>
    </row>
    <row r="349" customFormat="false" ht="15" hidden="false" customHeight="true" outlineLevel="0" collapsed="false">
      <c r="A349" s="216" t="n">
        <v>39.2</v>
      </c>
      <c r="B349" s="217" t="n">
        <f aca="false">IF(Calculator!$E$12="YES",IF(A349&lt;Calculator!$G$12,0,MIN(MIN(MOD(A349/Calculator!$F$12,1),1-MOD(A349/Calculator!$F$12,1)),ABS(MOD(A349/Calculator!$F$12,1)-0.5))),1)</f>
        <v>1</v>
      </c>
      <c r="C349" s="217" t="n">
        <f aca="false">IF(Calculator!$E$13="YES",IF(A349&lt;Calculator!$G$13,0,MIN(MIN(MOD(A349/Calculator!$F$13,1),1-MOD(A349/Calculator!$F$13,1)),ABS(MOD(A349/Calculator!$F$13,1)-0.5))),1)</f>
        <v>1</v>
      </c>
      <c r="D349" s="217" t="n">
        <f aca="false">IF(Calculator!$E$14="YES",IF(A349&lt;Calculator!$G$14,0,MIN(MIN(MOD(A349/Calculator!$F$14,1),1-MOD(A349/Calculator!$F$14,1)),ABS(MOD(A349/Calculator!$F$14,1)-0.5))),1)</f>
        <v>1</v>
      </c>
      <c r="E349" s="217" t="n">
        <f aca="false">IF(Calculator!$E$15="YES",IF(A349&lt;Calculator!$G$15,0,MIN(MIN(MOD(A349/Calculator!$F$15,1),1-MOD(A349/Calculator!$F$15,1)),ABS(MOD(A349/Calculator!$F$15,1)-0.5))),1)</f>
        <v>0.0331228070175438</v>
      </c>
      <c r="F349" s="217" t="n">
        <f aca="false">IF(Calculator!$E$16="YES",IF(A349&lt;Calculator!$G$16,0,MIN(MIN(MOD(A349/Calculator!$F$16,1),1-MOD(A349/Calculator!$F$16,1)),ABS(MOD(A349/Calculator!$F$16,1)-0.5))),1)</f>
        <v>1</v>
      </c>
      <c r="G349" s="217" t="n">
        <f aca="false">IF(Calculator!$E$17="YES",IF(A349&lt;Calculator!$G$17,0,MIN(MIN(MOD(A349/Calculator!$F$17,1),1-MOD(A349/Calculator!$F$17,1)),ABS(MOD(A349/Calculator!$F$17,1)-0.5))),1)</f>
        <v>0.100631578947368</v>
      </c>
      <c r="H349" s="217" t="n">
        <f aca="false">IF(Calculator!$E$18="YES",IF(A349&lt;Calculator!$G$18,0,MIN(MIN(MOD(A349/Calculator!$F$18,1),1-MOD(A349/Calculator!$F$18,1)),ABS(MOD(A349/Calculator!$F$18,1)-0.5))),1)</f>
        <v>1</v>
      </c>
      <c r="I349" s="217" t="n">
        <f aca="false">IF(Calculator!$E$19="YES",IF(A349&lt;Calculator!$G$19,0,MIN(MIN(MOD(A349/Calculator!$F$19,1),1-MOD(A349/Calculator!$F$19,1)),ABS(MOD(A349/Calculator!$F$19,1)-0.5))),1)</f>
        <v>1</v>
      </c>
      <c r="J349" s="217" t="n">
        <f aca="false">IF(Calculator!$E$20="YES",IF(A349&lt;Calculator!$G$20,0,MIN(MIN(MOD(A349/Calculator!$F$20,1),1-MOD(A349/Calculator!$F$20,1)),ABS(MOD(A349/Calculator!$F$20,1)-0.5))),1)</f>
        <v>1</v>
      </c>
      <c r="K349" s="217" t="n">
        <f aca="false">IF(Calculator!$E$21="YES",IF(A349&lt;Calculator!$G$21,0,MIN(MIN(MOD(A349/Calculator!$F$21,1),1-MOD(A349/Calculator!$F$21,1)),ABS(MOD(A349/Calculator!$F$21,1)-0.5))),1)</f>
        <v>0.0637192982456138</v>
      </c>
      <c r="L349" s="217" t="n">
        <f aca="false">IF(Calculator!$E$22="YES",IF(A349&lt;Calculator!$G$22,0,MIN(MIN(MOD(A349/Calculator!$F$22,1),1-MOD(A349/Calculator!$F$22,1)),ABS(MOD(A349/Calculator!$F$22,1)-0.5))),1)</f>
        <v>1</v>
      </c>
      <c r="M349" s="217" t="n">
        <f aca="false">MIN(B349:L349)</f>
        <v>0.0331228070175438</v>
      </c>
      <c r="N349" s="217" t="n">
        <f aca="false">SUMPRODUCT(($M$7:$M$557&gt;M349)*1)+SUMPRODUCT(($M$7:$M$557=M349)*(ROW($M$7:$M$557)&lt;ROW(M349)))+1</f>
        <v>352</v>
      </c>
      <c r="O349" s="217" t="str">
        <f aca="false">IF(M349&gt;=0.2,"★★★ EXCELLENT",IF(M349&gt;=0.12,"★★  GOOD",IF(M349&gt;=0.07,"★  FAIR",IF(M349&gt;=0.025,"⚠  MARGINAL","✗  AVOID"))))</f>
        <v>⚠  MARGINAL</v>
      </c>
    </row>
    <row r="350" customFormat="false" ht="15" hidden="false" customHeight="true" outlineLevel="0" collapsed="false">
      <c r="A350" s="218" t="n">
        <v>39.3</v>
      </c>
      <c r="B350" s="219" t="n">
        <f aca="false">IF(Calculator!$E$12="YES",IF(A350&lt;Calculator!$G$12,0,MIN(MIN(MOD(A350/Calculator!$F$12,1),1-MOD(A350/Calculator!$F$12,1)),ABS(MOD(A350/Calculator!$F$12,1)-0.5))),1)</f>
        <v>1</v>
      </c>
      <c r="C350" s="219" t="n">
        <f aca="false">IF(Calculator!$E$13="YES",IF(A350&lt;Calculator!$G$13,0,MIN(MIN(MOD(A350/Calculator!$F$13,1),1-MOD(A350/Calculator!$F$13,1)),ABS(MOD(A350/Calculator!$F$13,1)-0.5))),1)</f>
        <v>1</v>
      </c>
      <c r="D350" s="219" t="n">
        <f aca="false">IF(Calculator!$E$14="YES",IF(A350&lt;Calculator!$G$14,0,MIN(MIN(MOD(A350/Calculator!$F$14,1),1-MOD(A350/Calculator!$F$14,1)),ABS(MOD(A350/Calculator!$F$14,1)-0.5))),1)</f>
        <v>1</v>
      </c>
      <c r="E350" s="219" t="n">
        <f aca="false">IF(Calculator!$E$15="YES",IF(A350&lt;Calculator!$G$15,0,MIN(MIN(MOD(A350/Calculator!$F$15,1),1-MOD(A350/Calculator!$F$15,1)),ABS(MOD(A350/Calculator!$F$15,1)-0.5))),1)</f>
        <v>0.0281052631578949</v>
      </c>
      <c r="F350" s="219" t="n">
        <f aca="false">IF(Calculator!$E$16="YES",IF(A350&lt;Calculator!$G$16,0,MIN(MIN(MOD(A350/Calculator!$F$16,1),1-MOD(A350/Calculator!$F$16,1)),ABS(MOD(A350/Calculator!$F$16,1)-0.5))),1)</f>
        <v>1</v>
      </c>
      <c r="G350" s="219" t="n">
        <f aca="false">IF(Calculator!$E$17="YES",IF(A350&lt;Calculator!$G$17,0,MIN(MIN(MOD(A350/Calculator!$F$17,1),1-MOD(A350/Calculator!$F$17,1)),ABS(MOD(A350/Calculator!$F$17,1)-0.5))),1)</f>
        <v>0.0906842105263159</v>
      </c>
      <c r="H350" s="219" t="n">
        <f aca="false">IF(Calculator!$E$18="YES",IF(A350&lt;Calculator!$G$18,0,MIN(MIN(MOD(A350/Calculator!$F$18,1),1-MOD(A350/Calculator!$F$18,1)),ABS(MOD(A350/Calculator!$F$18,1)-0.5))),1)</f>
        <v>1</v>
      </c>
      <c r="I350" s="219" t="n">
        <f aca="false">IF(Calculator!$E$19="YES",IF(A350&lt;Calculator!$G$19,0,MIN(MIN(MOD(A350/Calculator!$F$19,1),1-MOD(A350/Calculator!$F$19,1)),ABS(MOD(A350/Calculator!$F$19,1)-0.5))),1)</f>
        <v>1</v>
      </c>
      <c r="J350" s="219" t="n">
        <f aca="false">IF(Calculator!$E$20="YES",IF(A350&lt;Calculator!$G$20,0,MIN(MIN(MOD(A350/Calculator!$F$20,1),1-MOD(A350/Calculator!$F$20,1)),ABS(MOD(A350/Calculator!$F$20,1)-0.5))),1)</f>
        <v>1</v>
      </c>
      <c r="K350" s="219" t="n">
        <f aca="false">IF(Calculator!$E$21="YES",IF(A350&lt;Calculator!$G$21,0,MIN(MIN(MOD(A350/Calculator!$F$21,1),1-MOD(A350/Calculator!$F$21,1)),ABS(MOD(A350/Calculator!$F$21,1)-0.5))),1)</f>
        <v>0.043473684210527</v>
      </c>
      <c r="L350" s="219" t="n">
        <f aca="false">IF(Calculator!$E$22="YES",IF(A350&lt;Calculator!$G$22,0,MIN(MIN(MOD(A350/Calculator!$F$22,1),1-MOD(A350/Calculator!$F$22,1)),ABS(MOD(A350/Calculator!$F$22,1)-0.5))),1)</f>
        <v>1</v>
      </c>
      <c r="M350" s="219" t="n">
        <f aca="false">MIN(B350:L350)</f>
        <v>0.0281052631578949</v>
      </c>
      <c r="N350" s="219" t="n">
        <f aca="false">SUMPRODUCT(($M$7:$M$557&gt;M350)*1)+SUMPRODUCT(($M$7:$M$557=M350)*(ROW($M$7:$M$557)&lt;ROW(M350)))+1</f>
        <v>372</v>
      </c>
      <c r="O350" s="219" t="str">
        <f aca="false">IF(M350&gt;=0.2,"★★★ EXCELLENT",IF(M350&gt;=0.12,"★★  GOOD",IF(M350&gt;=0.07,"★  FAIR",IF(M350&gt;=0.025,"⚠  MARGINAL","✗  AVOID"))))</f>
        <v>⚠  MARGINAL</v>
      </c>
    </row>
    <row r="351" customFormat="false" ht="15" hidden="false" customHeight="true" outlineLevel="0" collapsed="false">
      <c r="A351" s="216" t="n">
        <v>39.4</v>
      </c>
      <c r="B351" s="217" t="n">
        <f aca="false">IF(Calculator!$E$12="YES",IF(A351&lt;Calculator!$G$12,0,MIN(MIN(MOD(A351/Calculator!$F$12,1),1-MOD(A351/Calculator!$F$12,1)),ABS(MOD(A351/Calculator!$F$12,1)-0.5))),1)</f>
        <v>1</v>
      </c>
      <c r="C351" s="217" t="n">
        <f aca="false">IF(Calculator!$E$13="YES",IF(A351&lt;Calculator!$G$13,0,MIN(MIN(MOD(A351/Calculator!$F$13,1),1-MOD(A351/Calculator!$F$13,1)),ABS(MOD(A351/Calculator!$F$13,1)-0.5))),1)</f>
        <v>1</v>
      </c>
      <c r="D351" s="217" t="n">
        <f aca="false">IF(Calculator!$E$14="YES",IF(A351&lt;Calculator!$G$14,0,MIN(MIN(MOD(A351/Calculator!$F$14,1),1-MOD(A351/Calculator!$F$14,1)),ABS(MOD(A351/Calculator!$F$14,1)-0.5))),1)</f>
        <v>1</v>
      </c>
      <c r="E351" s="217" t="n">
        <f aca="false">IF(Calculator!$E$15="YES",IF(A351&lt;Calculator!$G$15,0,MIN(MIN(MOD(A351/Calculator!$F$15,1),1-MOD(A351/Calculator!$F$15,1)),ABS(MOD(A351/Calculator!$F$15,1)-0.5))),1)</f>
        <v>0.0230877192982457</v>
      </c>
      <c r="F351" s="217" t="n">
        <f aca="false">IF(Calculator!$E$16="YES",IF(A351&lt;Calculator!$G$16,0,MIN(MIN(MOD(A351/Calculator!$F$16,1),1-MOD(A351/Calculator!$F$16,1)),ABS(MOD(A351/Calculator!$F$16,1)-0.5))),1)</f>
        <v>1</v>
      </c>
      <c r="G351" s="217" t="n">
        <f aca="false">IF(Calculator!$E$17="YES",IF(A351&lt;Calculator!$G$17,0,MIN(MIN(MOD(A351/Calculator!$F$17,1),1-MOD(A351/Calculator!$F$17,1)),ABS(MOD(A351/Calculator!$F$17,1)-0.5))),1)</f>
        <v>0.0807368421052628</v>
      </c>
      <c r="H351" s="217" t="n">
        <f aca="false">IF(Calculator!$E$18="YES",IF(A351&lt;Calculator!$G$18,0,MIN(MIN(MOD(A351/Calculator!$F$18,1),1-MOD(A351/Calculator!$F$18,1)),ABS(MOD(A351/Calculator!$F$18,1)-0.5))),1)</f>
        <v>1</v>
      </c>
      <c r="I351" s="217" t="n">
        <f aca="false">IF(Calculator!$E$19="YES",IF(A351&lt;Calculator!$G$19,0,MIN(MIN(MOD(A351/Calculator!$F$19,1),1-MOD(A351/Calculator!$F$19,1)),ABS(MOD(A351/Calculator!$F$19,1)-0.5))),1)</f>
        <v>1</v>
      </c>
      <c r="J351" s="217" t="n">
        <f aca="false">IF(Calculator!$E$20="YES",IF(A351&lt;Calculator!$G$20,0,MIN(MIN(MOD(A351/Calculator!$F$20,1),1-MOD(A351/Calculator!$F$20,1)),ABS(MOD(A351/Calculator!$F$20,1)-0.5))),1)</f>
        <v>1</v>
      </c>
      <c r="K351" s="217" t="n">
        <f aca="false">IF(Calculator!$E$21="YES",IF(A351&lt;Calculator!$G$21,0,MIN(MIN(MOD(A351/Calculator!$F$21,1),1-MOD(A351/Calculator!$F$21,1)),ABS(MOD(A351/Calculator!$F$21,1)-0.5))),1)</f>
        <v>0.0232280701754393</v>
      </c>
      <c r="L351" s="217" t="n">
        <f aca="false">IF(Calculator!$E$22="YES",IF(A351&lt;Calculator!$G$22,0,MIN(MIN(MOD(A351/Calculator!$F$22,1),1-MOD(A351/Calculator!$F$22,1)),ABS(MOD(A351/Calculator!$F$22,1)-0.5))),1)</f>
        <v>1</v>
      </c>
      <c r="M351" s="217" t="n">
        <f aca="false">MIN(B351:L351)</f>
        <v>0.0230877192982457</v>
      </c>
      <c r="N351" s="217" t="n">
        <f aca="false">SUMPRODUCT(($M$7:$M$557&gt;M351)*1)+SUMPRODUCT(($M$7:$M$557=M351)*(ROW($M$7:$M$557)&lt;ROW(M351)))+1</f>
        <v>391</v>
      </c>
      <c r="O351" s="217" t="str">
        <f aca="false">IF(M351&gt;=0.2,"★★★ EXCELLENT",IF(M351&gt;=0.12,"★★  GOOD",IF(M351&gt;=0.07,"★  FAIR",IF(M351&gt;=0.025,"⚠  MARGINAL","✗  AVOID"))))</f>
        <v>✗  AVOID</v>
      </c>
    </row>
    <row r="352" customFormat="false" ht="15" hidden="false" customHeight="true" outlineLevel="0" collapsed="false">
      <c r="A352" s="218" t="n">
        <v>39.5</v>
      </c>
      <c r="B352" s="219" t="n">
        <f aca="false">IF(Calculator!$E$12="YES",IF(A352&lt;Calculator!$G$12,0,MIN(MIN(MOD(A352/Calculator!$F$12,1),1-MOD(A352/Calculator!$F$12,1)),ABS(MOD(A352/Calculator!$F$12,1)-0.5))),1)</f>
        <v>1</v>
      </c>
      <c r="C352" s="219" t="n">
        <f aca="false">IF(Calculator!$E$13="YES",IF(A352&lt;Calculator!$G$13,0,MIN(MIN(MOD(A352/Calculator!$F$13,1),1-MOD(A352/Calculator!$F$13,1)),ABS(MOD(A352/Calculator!$F$13,1)-0.5))),1)</f>
        <v>1</v>
      </c>
      <c r="D352" s="219" t="n">
        <f aca="false">IF(Calculator!$E$14="YES",IF(A352&lt;Calculator!$G$14,0,MIN(MIN(MOD(A352/Calculator!$F$14,1),1-MOD(A352/Calculator!$F$14,1)),ABS(MOD(A352/Calculator!$F$14,1)-0.5))),1)</f>
        <v>1</v>
      </c>
      <c r="E352" s="219" t="n">
        <f aca="false">IF(Calculator!$E$15="YES",IF(A352&lt;Calculator!$G$15,0,MIN(MIN(MOD(A352/Calculator!$F$15,1),1-MOD(A352/Calculator!$F$15,1)),ABS(MOD(A352/Calculator!$F$15,1)-0.5))),1)</f>
        <v>0.0180701754385966</v>
      </c>
      <c r="F352" s="219" t="n">
        <f aca="false">IF(Calculator!$E$16="YES",IF(A352&lt;Calculator!$G$16,0,MIN(MIN(MOD(A352/Calculator!$F$16,1),1-MOD(A352/Calculator!$F$16,1)),ABS(MOD(A352/Calculator!$F$16,1)-0.5))),1)</f>
        <v>1</v>
      </c>
      <c r="G352" s="219" t="n">
        <f aca="false">IF(Calculator!$E$17="YES",IF(A352&lt;Calculator!$G$17,0,MIN(MIN(MOD(A352/Calculator!$F$17,1),1-MOD(A352/Calculator!$F$17,1)),ABS(MOD(A352/Calculator!$F$17,1)-0.5))),1)</f>
        <v>0.0707894736842101</v>
      </c>
      <c r="H352" s="219" t="n">
        <f aca="false">IF(Calculator!$E$18="YES",IF(A352&lt;Calculator!$G$18,0,MIN(MIN(MOD(A352/Calculator!$F$18,1),1-MOD(A352/Calculator!$F$18,1)),ABS(MOD(A352/Calculator!$F$18,1)-0.5))),1)</f>
        <v>1</v>
      </c>
      <c r="I352" s="219" t="n">
        <f aca="false">IF(Calculator!$E$19="YES",IF(A352&lt;Calculator!$G$19,0,MIN(MIN(MOD(A352/Calculator!$F$19,1),1-MOD(A352/Calculator!$F$19,1)),ABS(MOD(A352/Calculator!$F$19,1)-0.5))),1)</f>
        <v>1</v>
      </c>
      <c r="J352" s="219" t="n">
        <f aca="false">IF(Calculator!$E$20="YES",IF(A352&lt;Calculator!$G$20,0,MIN(MIN(MOD(A352/Calculator!$F$20,1),1-MOD(A352/Calculator!$F$20,1)),ABS(MOD(A352/Calculator!$F$20,1)-0.5))),1)</f>
        <v>1</v>
      </c>
      <c r="K352" s="219" t="n">
        <f aca="false">IF(Calculator!$E$21="YES",IF(A352&lt;Calculator!$G$21,0,MIN(MIN(MOD(A352/Calculator!$F$21,1),1-MOD(A352/Calculator!$F$21,1)),ABS(MOD(A352/Calculator!$F$21,1)-0.5))),1)</f>
        <v>0.00298245614035064</v>
      </c>
      <c r="L352" s="219" t="n">
        <f aca="false">IF(Calculator!$E$22="YES",IF(A352&lt;Calculator!$G$22,0,MIN(MIN(MOD(A352/Calculator!$F$22,1),1-MOD(A352/Calculator!$F$22,1)),ABS(MOD(A352/Calculator!$F$22,1)-0.5))),1)</f>
        <v>1</v>
      </c>
      <c r="M352" s="219" t="n">
        <f aca="false">MIN(B352:L352)</f>
        <v>0.00298245614035064</v>
      </c>
      <c r="N352" s="219" t="n">
        <f aca="false">SUMPRODUCT(($M$7:$M$557&gt;M352)*1)+SUMPRODUCT(($M$7:$M$557=M352)*(ROW($M$7:$M$557)&lt;ROW(M352)))+1</f>
        <v>485</v>
      </c>
      <c r="O352" s="219" t="str">
        <f aca="false">IF(M352&gt;=0.2,"★★★ EXCELLENT",IF(M352&gt;=0.12,"★★  GOOD",IF(M352&gt;=0.07,"★  FAIR",IF(M352&gt;=0.025,"⚠  MARGINAL","✗  AVOID"))))</f>
        <v>✗  AVOID</v>
      </c>
    </row>
    <row r="353" customFormat="false" ht="15" hidden="false" customHeight="true" outlineLevel="0" collapsed="false">
      <c r="A353" s="216" t="n">
        <v>39.6</v>
      </c>
      <c r="B353" s="217" t="n">
        <f aca="false">IF(Calculator!$E$12="YES",IF(A353&lt;Calculator!$G$12,0,MIN(MIN(MOD(A353/Calculator!$F$12,1),1-MOD(A353/Calculator!$F$12,1)),ABS(MOD(A353/Calculator!$F$12,1)-0.5))),1)</f>
        <v>1</v>
      </c>
      <c r="C353" s="217" t="n">
        <f aca="false">IF(Calculator!$E$13="YES",IF(A353&lt;Calculator!$G$13,0,MIN(MIN(MOD(A353/Calculator!$F$13,1),1-MOD(A353/Calculator!$F$13,1)),ABS(MOD(A353/Calculator!$F$13,1)-0.5))),1)</f>
        <v>1</v>
      </c>
      <c r="D353" s="217" t="n">
        <f aca="false">IF(Calculator!$E$14="YES",IF(A353&lt;Calculator!$G$14,0,MIN(MIN(MOD(A353/Calculator!$F$14,1),1-MOD(A353/Calculator!$F$14,1)),ABS(MOD(A353/Calculator!$F$14,1)-0.5))),1)</f>
        <v>1</v>
      </c>
      <c r="E353" s="217" t="n">
        <f aca="false">IF(Calculator!$E$15="YES",IF(A353&lt;Calculator!$G$15,0,MIN(MIN(MOD(A353/Calculator!$F$15,1),1-MOD(A353/Calculator!$F$15,1)),ABS(MOD(A353/Calculator!$F$15,1)-0.5))),1)</f>
        <v>0.0130526315789472</v>
      </c>
      <c r="F353" s="217" t="n">
        <f aca="false">IF(Calculator!$E$16="YES",IF(A353&lt;Calculator!$G$16,0,MIN(MIN(MOD(A353/Calculator!$F$16,1),1-MOD(A353/Calculator!$F$16,1)),ABS(MOD(A353/Calculator!$F$16,1)-0.5))),1)</f>
        <v>1</v>
      </c>
      <c r="G353" s="217" t="n">
        <f aca="false">IF(Calculator!$E$17="YES",IF(A353&lt;Calculator!$G$17,0,MIN(MIN(MOD(A353/Calculator!$F$17,1),1-MOD(A353/Calculator!$F$17,1)),ABS(MOD(A353/Calculator!$F$17,1)-0.5))),1)</f>
        <v>0.0608421052631574</v>
      </c>
      <c r="H353" s="217" t="n">
        <f aca="false">IF(Calculator!$E$18="YES",IF(A353&lt;Calculator!$G$18,0,MIN(MIN(MOD(A353/Calculator!$F$18,1),1-MOD(A353/Calculator!$F$18,1)),ABS(MOD(A353/Calculator!$F$18,1)-0.5))),1)</f>
        <v>1</v>
      </c>
      <c r="I353" s="217" t="n">
        <f aca="false">IF(Calculator!$E$19="YES",IF(A353&lt;Calculator!$G$19,0,MIN(MIN(MOD(A353/Calculator!$F$19,1),1-MOD(A353/Calculator!$F$19,1)),ABS(MOD(A353/Calculator!$F$19,1)-0.5))),1)</f>
        <v>1</v>
      </c>
      <c r="J353" s="217" t="n">
        <f aca="false">IF(Calculator!$E$20="YES",IF(A353&lt;Calculator!$G$20,0,MIN(MIN(MOD(A353/Calculator!$F$20,1),1-MOD(A353/Calculator!$F$20,1)),ABS(MOD(A353/Calculator!$F$20,1)-0.5))),1)</f>
        <v>1</v>
      </c>
      <c r="K353" s="217" t="n">
        <f aca="false">IF(Calculator!$E$21="YES",IF(A353&lt;Calculator!$G$21,0,MIN(MIN(MOD(A353/Calculator!$F$21,1),1-MOD(A353/Calculator!$F$21,1)),ABS(MOD(A353/Calculator!$F$21,1)-0.5))),1)</f>
        <v>0.0172631578947371</v>
      </c>
      <c r="L353" s="217" t="n">
        <f aca="false">IF(Calculator!$E$22="YES",IF(A353&lt;Calculator!$G$22,0,MIN(MIN(MOD(A353/Calculator!$F$22,1),1-MOD(A353/Calculator!$F$22,1)),ABS(MOD(A353/Calculator!$F$22,1)-0.5))),1)</f>
        <v>1</v>
      </c>
      <c r="M353" s="217" t="n">
        <f aca="false">MIN(B353:L353)</f>
        <v>0.0130526315789472</v>
      </c>
      <c r="N353" s="217" t="n">
        <f aca="false">SUMPRODUCT(($M$7:$M$557&gt;M353)*1)+SUMPRODUCT(($M$7:$M$557=M353)*(ROW($M$7:$M$557)&lt;ROW(M353)))+1</f>
        <v>431</v>
      </c>
      <c r="O353" s="217" t="str">
        <f aca="false">IF(M353&gt;=0.2,"★★★ EXCELLENT",IF(M353&gt;=0.12,"★★  GOOD",IF(M353&gt;=0.07,"★  FAIR",IF(M353&gt;=0.025,"⚠  MARGINAL","✗  AVOID"))))</f>
        <v>✗  AVOID</v>
      </c>
    </row>
    <row r="354" customFormat="false" ht="15" hidden="false" customHeight="true" outlineLevel="0" collapsed="false">
      <c r="A354" s="218" t="n">
        <v>39.7</v>
      </c>
      <c r="B354" s="219" t="n">
        <f aca="false">IF(Calculator!$E$12="YES",IF(A354&lt;Calculator!$G$12,0,MIN(MIN(MOD(A354/Calculator!$F$12,1),1-MOD(A354/Calculator!$F$12,1)),ABS(MOD(A354/Calculator!$F$12,1)-0.5))),1)</f>
        <v>1</v>
      </c>
      <c r="C354" s="219" t="n">
        <f aca="false">IF(Calculator!$E$13="YES",IF(A354&lt;Calculator!$G$13,0,MIN(MIN(MOD(A354/Calculator!$F$13,1),1-MOD(A354/Calculator!$F$13,1)),ABS(MOD(A354/Calculator!$F$13,1)-0.5))),1)</f>
        <v>1</v>
      </c>
      <c r="D354" s="219" t="n">
        <f aca="false">IF(Calculator!$E$14="YES",IF(A354&lt;Calculator!$G$14,0,MIN(MIN(MOD(A354/Calculator!$F$14,1),1-MOD(A354/Calculator!$F$14,1)),ABS(MOD(A354/Calculator!$F$14,1)-0.5))),1)</f>
        <v>1</v>
      </c>
      <c r="E354" s="219" t="n">
        <f aca="false">IF(Calculator!$E$15="YES",IF(A354&lt;Calculator!$G$15,0,MIN(MIN(MOD(A354/Calculator!$F$15,1),1-MOD(A354/Calculator!$F$15,1)),ABS(MOD(A354/Calculator!$F$15,1)-0.5))),1)</f>
        <v>0.00803508771929806</v>
      </c>
      <c r="F354" s="219" t="n">
        <f aca="false">IF(Calculator!$E$16="YES",IF(A354&lt;Calculator!$G$16,0,MIN(MIN(MOD(A354/Calculator!$F$16,1),1-MOD(A354/Calculator!$F$16,1)),ABS(MOD(A354/Calculator!$F$16,1)-0.5))),1)</f>
        <v>1</v>
      </c>
      <c r="G354" s="219" t="n">
        <f aca="false">IF(Calculator!$E$17="YES",IF(A354&lt;Calculator!$G$17,0,MIN(MIN(MOD(A354/Calculator!$F$17,1),1-MOD(A354/Calculator!$F$17,1)),ABS(MOD(A354/Calculator!$F$17,1)-0.5))),1)</f>
        <v>0.0508947368421047</v>
      </c>
      <c r="H354" s="219" t="n">
        <f aca="false">IF(Calculator!$E$18="YES",IF(A354&lt;Calculator!$G$18,0,MIN(MIN(MOD(A354/Calculator!$F$18,1),1-MOD(A354/Calculator!$F$18,1)),ABS(MOD(A354/Calculator!$F$18,1)-0.5))),1)</f>
        <v>1</v>
      </c>
      <c r="I354" s="219" t="n">
        <f aca="false">IF(Calculator!$E$19="YES",IF(A354&lt;Calculator!$G$19,0,MIN(MIN(MOD(A354/Calculator!$F$19,1),1-MOD(A354/Calculator!$F$19,1)),ABS(MOD(A354/Calculator!$F$19,1)-0.5))),1)</f>
        <v>1</v>
      </c>
      <c r="J354" s="219" t="n">
        <f aca="false">IF(Calculator!$E$20="YES",IF(A354&lt;Calculator!$G$20,0,MIN(MIN(MOD(A354/Calculator!$F$20,1),1-MOD(A354/Calculator!$F$20,1)),ABS(MOD(A354/Calculator!$F$20,1)-0.5))),1)</f>
        <v>1</v>
      </c>
      <c r="K354" s="219" t="n">
        <f aca="false">IF(Calculator!$E$21="YES",IF(A354&lt;Calculator!$G$21,0,MIN(MIN(MOD(A354/Calculator!$F$21,1),1-MOD(A354/Calculator!$F$21,1)),ABS(MOD(A354/Calculator!$F$21,1)-0.5))),1)</f>
        <v>0.0375087719298257</v>
      </c>
      <c r="L354" s="219" t="n">
        <f aca="false">IF(Calculator!$E$22="YES",IF(A354&lt;Calculator!$G$22,0,MIN(MIN(MOD(A354/Calculator!$F$22,1),1-MOD(A354/Calculator!$F$22,1)),ABS(MOD(A354/Calculator!$F$22,1)-0.5))),1)</f>
        <v>1</v>
      </c>
      <c r="M354" s="219" t="n">
        <f aca="false">MIN(B354:L354)</f>
        <v>0.00803508771929806</v>
      </c>
      <c r="N354" s="219" t="n">
        <f aca="false">SUMPRODUCT(($M$7:$M$557&gt;M354)*1)+SUMPRODUCT(($M$7:$M$557=M354)*(ROW($M$7:$M$557)&lt;ROW(M354)))+1</f>
        <v>454</v>
      </c>
      <c r="O354" s="219" t="str">
        <f aca="false">IF(M354&gt;=0.2,"★★★ EXCELLENT",IF(M354&gt;=0.12,"★★  GOOD",IF(M354&gt;=0.07,"★  FAIR",IF(M354&gt;=0.025,"⚠  MARGINAL","✗  AVOID"))))</f>
        <v>✗  AVOID</v>
      </c>
    </row>
    <row r="355" customFormat="false" ht="15" hidden="false" customHeight="true" outlineLevel="0" collapsed="false">
      <c r="A355" s="216" t="n">
        <v>39.8</v>
      </c>
      <c r="B355" s="217" t="n">
        <f aca="false">IF(Calculator!$E$12="YES",IF(A355&lt;Calculator!$G$12,0,MIN(MIN(MOD(A355/Calculator!$F$12,1),1-MOD(A355/Calculator!$F$12,1)),ABS(MOD(A355/Calculator!$F$12,1)-0.5))),1)</f>
        <v>1</v>
      </c>
      <c r="C355" s="217" t="n">
        <f aca="false">IF(Calculator!$E$13="YES",IF(A355&lt;Calculator!$G$13,0,MIN(MIN(MOD(A355/Calculator!$F$13,1),1-MOD(A355/Calculator!$F$13,1)),ABS(MOD(A355/Calculator!$F$13,1)-0.5))),1)</f>
        <v>1</v>
      </c>
      <c r="D355" s="217" t="n">
        <f aca="false">IF(Calculator!$E$14="YES",IF(A355&lt;Calculator!$G$14,0,MIN(MIN(MOD(A355/Calculator!$F$14,1),1-MOD(A355/Calculator!$F$14,1)),ABS(MOD(A355/Calculator!$F$14,1)-0.5))),1)</f>
        <v>1</v>
      </c>
      <c r="E355" s="217" t="n">
        <f aca="false">IF(Calculator!$E$15="YES",IF(A355&lt;Calculator!$G$15,0,MIN(MIN(MOD(A355/Calculator!$F$15,1),1-MOD(A355/Calculator!$F$15,1)),ABS(MOD(A355/Calculator!$F$15,1)-0.5))),1)</f>
        <v>0.00301754385964936</v>
      </c>
      <c r="F355" s="217" t="n">
        <f aca="false">IF(Calculator!$E$16="YES",IF(A355&lt;Calculator!$G$16,0,MIN(MIN(MOD(A355/Calculator!$F$16,1),1-MOD(A355/Calculator!$F$16,1)),ABS(MOD(A355/Calculator!$F$16,1)-0.5))),1)</f>
        <v>1</v>
      </c>
      <c r="G355" s="217" t="n">
        <f aca="false">IF(Calculator!$E$17="YES",IF(A355&lt;Calculator!$G$17,0,MIN(MIN(MOD(A355/Calculator!$F$17,1),1-MOD(A355/Calculator!$F$17,1)),ABS(MOD(A355/Calculator!$F$17,1)-0.5))),1)</f>
        <v>0.0409473684210524</v>
      </c>
      <c r="H355" s="217" t="n">
        <f aca="false">IF(Calculator!$E$18="YES",IF(A355&lt;Calculator!$G$18,0,MIN(MIN(MOD(A355/Calculator!$F$18,1),1-MOD(A355/Calculator!$F$18,1)),ABS(MOD(A355/Calculator!$F$18,1)-0.5))),1)</f>
        <v>1</v>
      </c>
      <c r="I355" s="217" t="n">
        <f aca="false">IF(Calculator!$E$19="YES",IF(A355&lt;Calculator!$G$19,0,MIN(MIN(MOD(A355/Calculator!$F$19,1),1-MOD(A355/Calculator!$F$19,1)),ABS(MOD(A355/Calculator!$F$19,1)-0.5))),1)</f>
        <v>1</v>
      </c>
      <c r="J355" s="217" t="n">
        <f aca="false">IF(Calculator!$E$20="YES",IF(A355&lt;Calculator!$G$20,0,MIN(MIN(MOD(A355/Calculator!$F$20,1),1-MOD(A355/Calculator!$F$20,1)),ABS(MOD(A355/Calculator!$F$20,1)-0.5))),1)</f>
        <v>1</v>
      </c>
      <c r="K355" s="217" t="n">
        <f aca="false">IF(Calculator!$E$21="YES",IF(A355&lt;Calculator!$G$21,0,MIN(MIN(MOD(A355/Calculator!$F$21,1),1-MOD(A355/Calculator!$F$21,1)),ABS(MOD(A355/Calculator!$F$21,1)-0.5))),1)</f>
        <v>0.0577543859649108</v>
      </c>
      <c r="L355" s="217" t="n">
        <f aca="false">IF(Calculator!$E$22="YES",IF(A355&lt;Calculator!$G$22,0,MIN(MIN(MOD(A355/Calculator!$F$22,1),1-MOD(A355/Calculator!$F$22,1)),ABS(MOD(A355/Calculator!$F$22,1)-0.5))),1)</f>
        <v>1</v>
      </c>
      <c r="M355" s="217" t="n">
        <f aca="false">MIN(B355:L355)</f>
        <v>0.00301754385964936</v>
      </c>
      <c r="N355" s="217" t="n">
        <f aca="false">SUMPRODUCT(($M$7:$M$557&gt;M355)*1)+SUMPRODUCT(($M$7:$M$557=M355)*(ROW($M$7:$M$557)&lt;ROW(M355)))+1</f>
        <v>484</v>
      </c>
      <c r="O355" s="217" t="str">
        <f aca="false">IF(M355&gt;=0.2,"★★★ EXCELLENT",IF(M355&gt;=0.12,"★★  GOOD",IF(M355&gt;=0.07,"★  FAIR",IF(M355&gt;=0.025,"⚠  MARGINAL","✗  AVOID"))))</f>
        <v>✗  AVOID</v>
      </c>
    </row>
    <row r="356" customFormat="false" ht="15" hidden="false" customHeight="true" outlineLevel="0" collapsed="false">
      <c r="A356" s="218" t="n">
        <v>39.9</v>
      </c>
      <c r="B356" s="219" t="n">
        <f aca="false">IF(Calculator!$E$12="YES",IF(A356&lt;Calculator!$G$12,0,MIN(MIN(MOD(A356/Calculator!$F$12,1),1-MOD(A356/Calculator!$F$12,1)),ABS(MOD(A356/Calculator!$F$12,1)-0.5))),1)</f>
        <v>1</v>
      </c>
      <c r="C356" s="219" t="n">
        <f aca="false">IF(Calculator!$E$13="YES",IF(A356&lt;Calculator!$G$13,0,MIN(MIN(MOD(A356/Calculator!$F$13,1),1-MOD(A356/Calculator!$F$13,1)),ABS(MOD(A356/Calculator!$F$13,1)-0.5))),1)</f>
        <v>1</v>
      </c>
      <c r="D356" s="219" t="n">
        <f aca="false">IF(Calculator!$E$14="YES",IF(A356&lt;Calculator!$G$14,0,MIN(MIN(MOD(A356/Calculator!$F$14,1),1-MOD(A356/Calculator!$F$14,1)),ABS(MOD(A356/Calculator!$F$14,1)-0.5))),1)</f>
        <v>1</v>
      </c>
      <c r="E356" s="219" t="n">
        <f aca="false">IF(Calculator!$E$15="YES",IF(A356&lt;Calculator!$G$15,0,MIN(MIN(MOD(A356/Calculator!$F$15,1),1-MOD(A356/Calculator!$F$15,1)),ABS(MOD(A356/Calculator!$F$15,1)-0.5))),1)</f>
        <v>0.00199999999999978</v>
      </c>
      <c r="F356" s="219" t="n">
        <f aca="false">IF(Calculator!$E$16="YES",IF(A356&lt;Calculator!$G$16,0,MIN(MIN(MOD(A356/Calculator!$F$16,1),1-MOD(A356/Calculator!$F$16,1)),ABS(MOD(A356/Calculator!$F$16,1)-0.5))),1)</f>
        <v>1</v>
      </c>
      <c r="G356" s="219" t="n">
        <f aca="false">IF(Calculator!$E$17="YES",IF(A356&lt;Calculator!$G$17,0,MIN(MIN(MOD(A356/Calculator!$F$17,1),1-MOD(A356/Calculator!$F$17,1)),ABS(MOD(A356/Calculator!$F$17,1)-0.5))),1)</f>
        <v>0.0309999999999997</v>
      </c>
      <c r="H356" s="219" t="n">
        <f aca="false">IF(Calculator!$E$18="YES",IF(A356&lt;Calculator!$G$18,0,MIN(MIN(MOD(A356/Calculator!$F$18,1),1-MOD(A356/Calculator!$F$18,1)),ABS(MOD(A356/Calculator!$F$18,1)-0.5))),1)</f>
        <v>1</v>
      </c>
      <c r="I356" s="219" t="n">
        <f aca="false">IF(Calculator!$E$19="YES",IF(A356&lt;Calculator!$G$19,0,MIN(MIN(MOD(A356/Calculator!$F$19,1),1-MOD(A356/Calculator!$F$19,1)),ABS(MOD(A356/Calculator!$F$19,1)-0.5))),1)</f>
        <v>1</v>
      </c>
      <c r="J356" s="219" t="n">
        <f aca="false">IF(Calculator!$E$20="YES",IF(A356&lt;Calculator!$G$20,0,MIN(MIN(MOD(A356/Calculator!$F$20,1),1-MOD(A356/Calculator!$F$20,1)),ABS(MOD(A356/Calculator!$F$20,1)-0.5))),1)</f>
        <v>1</v>
      </c>
      <c r="K356" s="219" t="n">
        <f aca="false">IF(Calculator!$E$21="YES",IF(A356&lt;Calculator!$G$21,0,MIN(MIN(MOD(A356/Calculator!$F$21,1),1-MOD(A356/Calculator!$F$21,1)),ABS(MOD(A356/Calculator!$F$21,1)-0.5))),1)</f>
        <v>0.0779999999999994</v>
      </c>
      <c r="L356" s="219" t="n">
        <f aca="false">IF(Calculator!$E$22="YES",IF(A356&lt;Calculator!$G$22,0,MIN(MIN(MOD(A356/Calculator!$F$22,1),1-MOD(A356/Calculator!$F$22,1)),ABS(MOD(A356/Calculator!$F$22,1)-0.5))),1)</f>
        <v>1</v>
      </c>
      <c r="M356" s="219" t="n">
        <f aca="false">MIN(B356:L356)</f>
        <v>0.00199999999999978</v>
      </c>
      <c r="N356" s="219" t="n">
        <f aca="false">SUMPRODUCT(($M$7:$M$557&gt;M356)*1)+SUMPRODUCT(($M$7:$M$557=M356)*(ROW($M$7:$M$557)&lt;ROW(M356)))+1</f>
        <v>488</v>
      </c>
      <c r="O356" s="219" t="str">
        <f aca="false">IF(M356&gt;=0.2,"★★★ EXCELLENT",IF(M356&gt;=0.12,"★★  GOOD",IF(M356&gt;=0.07,"★  FAIR",IF(M356&gt;=0.025,"⚠  MARGINAL","✗  AVOID"))))</f>
        <v>✗  AVOID</v>
      </c>
    </row>
    <row r="357" customFormat="false" ht="15" hidden="false" customHeight="true" outlineLevel="0" collapsed="false">
      <c r="A357" s="216" t="n">
        <v>40</v>
      </c>
      <c r="B357" s="217" t="n">
        <f aca="false">IF(Calculator!$E$12="YES",IF(A357&lt;Calculator!$G$12,0,MIN(MIN(MOD(A357/Calculator!$F$12,1),1-MOD(A357/Calculator!$F$12,1)),ABS(MOD(A357/Calculator!$F$12,1)-0.5))),1)</f>
        <v>1</v>
      </c>
      <c r="C357" s="217" t="n">
        <f aca="false">IF(Calculator!$E$13="YES",IF(A357&lt;Calculator!$G$13,0,MIN(MIN(MOD(A357/Calculator!$F$13,1),1-MOD(A357/Calculator!$F$13,1)),ABS(MOD(A357/Calculator!$F$13,1)-0.5))),1)</f>
        <v>1</v>
      </c>
      <c r="D357" s="217" t="n">
        <f aca="false">IF(Calculator!$E$14="YES",IF(A357&lt;Calculator!$G$14,0,MIN(MIN(MOD(A357/Calculator!$F$14,1),1-MOD(A357/Calculator!$F$14,1)),ABS(MOD(A357/Calculator!$F$14,1)-0.5))),1)</f>
        <v>1</v>
      </c>
      <c r="E357" s="217" t="n">
        <f aca="false">IF(Calculator!$E$15="YES",IF(A357&lt;Calculator!$G$15,0,MIN(MIN(MOD(A357/Calculator!$F$15,1),1-MOD(A357/Calculator!$F$15,1)),ABS(MOD(A357/Calculator!$F$15,1)-0.5))),1)</f>
        <v>0.00701754385964915</v>
      </c>
      <c r="F357" s="217" t="n">
        <f aca="false">IF(Calculator!$E$16="YES",IF(A357&lt;Calculator!$G$16,0,MIN(MIN(MOD(A357/Calculator!$F$16,1),1-MOD(A357/Calculator!$F$16,1)),ABS(MOD(A357/Calculator!$F$16,1)-0.5))),1)</f>
        <v>1</v>
      </c>
      <c r="G357" s="217" t="n">
        <f aca="false">IF(Calculator!$E$17="YES",IF(A357&lt;Calculator!$G$17,0,MIN(MIN(MOD(A357/Calculator!$F$17,1),1-MOD(A357/Calculator!$F$17,1)),ABS(MOD(A357/Calculator!$F$17,1)-0.5))),1)</f>
        <v>0.021052631578947</v>
      </c>
      <c r="H357" s="217" t="n">
        <f aca="false">IF(Calculator!$E$18="YES",IF(A357&lt;Calculator!$G$18,0,MIN(MIN(MOD(A357/Calculator!$F$18,1),1-MOD(A357/Calculator!$F$18,1)),ABS(MOD(A357/Calculator!$F$18,1)-0.5))),1)</f>
        <v>1</v>
      </c>
      <c r="I357" s="217" t="n">
        <f aca="false">IF(Calculator!$E$19="YES",IF(A357&lt;Calculator!$G$19,0,MIN(MIN(MOD(A357/Calculator!$F$19,1),1-MOD(A357/Calculator!$F$19,1)),ABS(MOD(A357/Calculator!$F$19,1)-0.5))),1)</f>
        <v>1</v>
      </c>
      <c r="J357" s="217" t="n">
        <f aca="false">IF(Calculator!$E$20="YES",IF(A357&lt;Calculator!$G$20,0,MIN(MIN(MOD(A357/Calculator!$F$20,1),1-MOD(A357/Calculator!$F$20,1)),ABS(MOD(A357/Calculator!$F$20,1)-0.5))),1)</f>
        <v>1</v>
      </c>
      <c r="K357" s="217" t="n">
        <f aca="false">IF(Calculator!$E$21="YES",IF(A357&lt;Calculator!$G$21,0,MIN(MIN(MOD(A357/Calculator!$F$21,1),1-MOD(A357/Calculator!$F$21,1)),ABS(MOD(A357/Calculator!$F$21,1)-0.5))),1)</f>
        <v>0.098245614035088</v>
      </c>
      <c r="L357" s="217" t="n">
        <f aca="false">IF(Calculator!$E$22="YES",IF(A357&lt;Calculator!$G$22,0,MIN(MIN(MOD(A357/Calculator!$F$22,1),1-MOD(A357/Calculator!$F$22,1)),ABS(MOD(A357/Calculator!$F$22,1)-0.5))),1)</f>
        <v>1</v>
      </c>
      <c r="M357" s="217" t="n">
        <f aca="false">MIN(B357:L357)</f>
        <v>0.00701754385964915</v>
      </c>
      <c r="N357" s="217" t="n">
        <f aca="false">SUMPRODUCT(($M$7:$M$557&gt;M357)*1)+SUMPRODUCT(($M$7:$M$557=M357)*(ROW($M$7:$M$557)&lt;ROW(M357)))+1</f>
        <v>458</v>
      </c>
      <c r="O357" s="217" t="str">
        <f aca="false">IF(M357&gt;=0.2,"★★★ EXCELLENT",IF(M357&gt;=0.12,"★★  GOOD",IF(M357&gt;=0.07,"★  FAIR",IF(M357&gt;=0.025,"⚠  MARGINAL","✗  AVOID"))))</f>
        <v>✗  AVOID</v>
      </c>
    </row>
    <row r="358" customFormat="false" ht="15" hidden="false" customHeight="true" outlineLevel="0" collapsed="false">
      <c r="A358" s="218" t="n">
        <v>40.1</v>
      </c>
      <c r="B358" s="219" t="n">
        <f aca="false">IF(Calculator!$E$12="YES",IF(A358&lt;Calculator!$G$12,0,MIN(MIN(MOD(A358/Calculator!$F$12,1),1-MOD(A358/Calculator!$F$12,1)),ABS(MOD(A358/Calculator!$F$12,1)-0.5))),1)</f>
        <v>1</v>
      </c>
      <c r="C358" s="219" t="n">
        <f aca="false">IF(Calculator!$E$13="YES",IF(A358&lt;Calculator!$G$13,0,MIN(MIN(MOD(A358/Calculator!$F$13,1),1-MOD(A358/Calculator!$F$13,1)),ABS(MOD(A358/Calculator!$F$13,1)-0.5))),1)</f>
        <v>1</v>
      </c>
      <c r="D358" s="219" t="n">
        <f aca="false">IF(Calculator!$E$14="YES",IF(A358&lt;Calculator!$G$14,0,MIN(MIN(MOD(A358/Calculator!$F$14,1),1-MOD(A358/Calculator!$F$14,1)),ABS(MOD(A358/Calculator!$F$14,1)-0.5))),1)</f>
        <v>1</v>
      </c>
      <c r="E358" s="219" t="n">
        <f aca="false">IF(Calculator!$E$15="YES",IF(A358&lt;Calculator!$G$15,0,MIN(MIN(MOD(A358/Calculator!$F$15,1),1-MOD(A358/Calculator!$F$15,1)),ABS(MOD(A358/Calculator!$F$15,1)-0.5))),1)</f>
        <v>0.0120350877192985</v>
      </c>
      <c r="F358" s="219" t="n">
        <f aca="false">IF(Calculator!$E$16="YES",IF(A358&lt;Calculator!$G$16,0,MIN(MIN(MOD(A358/Calculator!$F$16,1),1-MOD(A358/Calculator!$F$16,1)),ABS(MOD(A358/Calculator!$F$16,1)-0.5))),1)</f>
        <v>1</v>
      </c>
      <c r="G358" s="219" t="n">
        <f aca="false">IF(Calculator!$E$17="YES",IF(A358&lt;Calculator!$G$17,0,MIN(MIN(MOD(A358/Calculator!$F$17,1),1-MOD(A358/Calculator!$F$17,1)),ABS(MOD(A358/Calculator!$F$17,1)-0.5))),1)</f>
        <v>0.0111052631578943</v>
      </c>
      <c r="H358" s="219" t="n">
        <f aca="false">IF(Calculator!$E$18="YES",IF(A358&lt;Calculator!$G$18,0,MIN(MIN(MOD(A358/Calculator!$F$18,1),1-MOD(A358/Calculator!$F$18,1)),ABS(MOD(A358/Calculator!$F$18,1)-0.5))),1)</f>
        <v>1</v>
      </c>
      <c r="I358" s="219" t="n">
        <f aca="false">IF(Calculator!$E$19="YES",IF(A358&lt;Calculator!$G$19,0,MIN(MIN(MOD(A358/Calculator!$F$19,1),1-MOD(A358/Calculator!$F$19,1)),ABS(MOD(A358/Calculator!$F$19,1)-0.5))),1)</f>
        <v>1</v>
      </c>
      <c r="J358" s="219" t="n">
        <f aca="false">IF(Calculator!$E$20="YES",IF(A358&lt;Calculator!$G$20,0,MIN(MIN(MOD(A358/Calculator!$F$20,1),1-MOD(A358/Calculator!$F$20,1)),ABS(MOD(A358/Calculator!$F$20,1)-0.5))),1)</f>
        <v>1</v>
      </c>
      <c r="K358" s="219" t="n">
        <f aca="false">IF(Calculator!$E$21="YES",IF(A358&lt;Calculator!$G$21,0,MIN(MIN(MOD(A358/Calculator!$F$21,1),1-MOD(A358/Calculator!$F$21,1)),ABS(MOD(A358/Calculator!$F$21,1)-0.5))),1)</f>
        <v>0.118491228070175</v>
      </c>
      <c r="L358" s="219" t="n">
        <f aca="false">IF(Calculator!$E$22="YES",IF(A358&lt;Calculator!$G$22,0,MIN(MIN(MOD(A358/Calculator!$F$22,1),1-MOD(A358/Calculator!$F$22,1)),ABS(MOD(A358/Calculator!$F$22,1)-0.5))),1)</f>
        <v>1</v>
      </c>
      <c r="M358" s="219" t="n">
        <f aca="false">MIN(B358:L358)</f>
        <v>0.0111052631578943</v>
      </c>
      <c r="N358" s="219" t="n">
        <f aca="false">SUMPRODUCT(($M$7:$M$557&gt;M358)*1)+SUMPRODUCT(($M$7:$M$557=M358)*(ROW($M$7:$M$557)&lt;ROW(M358)))+1</f>
        <v>439</v>
      </c>
      <c r="O358" s="219" t="str">
        <f aca="false">IF(M358&gt;=0.2,"★★★ EXCELLENT",IF(M358&gt;=0.12,"★★  GOOD",IF(M358&gt;=0.07,"★  FAIR",IF(M358&gt;=0.025,"⚠  MARGINAL","✗  AVOID"))))</f>
        <v>✗  AVOID</v>
      </c>
    </row>
    <row r="359" customFormat="false" ht="15" hidden="false" customHeight="true" outlineLevel="0" collapsed="false">
      <c r="A359" s="216" t="n">
        <v>40.2</v>
      </c>
      <c r="B359" s="217" t="n">
        <f aca="false">IF(Calculator!$E$12="YES",IF(A359&lt;Calculator!$G$12,0,MIN(MIN(MOD(A359/Calculator!$F$12,1),1-MOD(A359/Calculator!$F$12,1)),ABS(MOD(A359/Calculator!$F$12,1)-0.5))),1)</f>
        <v>1</v>
      </c>
      <c r="C359" s="217" t="n">
        <f aca="false">IF(Calculator!$E$13="YES",IF(A359&lt;Calculator!$G$13,0,MIN(MIN(MOD(A359/Calculator!$F$13,1),1-MOD(A359/Calculator!$F$13,1)),ABS(MOD(A359/Calculator!$F$13,1)-0.5))),1)</f>
        <v>1</v>
      </c>
      <c r="D359" s="217" t="n">
        <f aca="false">IF(Calculator!$E$14="YES",IF(A359&lt;Calculator!$G$14,0,MIN(MIN(MOD(A359/Calculator!$F$14,1),1-MOD(A359/Calculator!$F$14,1)),ABS(MOD(A359/Calculator!$F$14,1)-0.5))),1)</f>
        <v>1</v>
      </c>
      <c r="E359" s="217" t="n">
        <f aca="false">IF(Calculator!$E$15="YES",IF(A359&lt;Calculator!$G$15,0,MIN(MIN(MOD(A359/Calculator!$F$15,1),1-MOD(A359/Calculator!$F$15,1)),ABS(MOD(A359/Calculator!$F$15,1)-0.5))),1)</f>
        <v>0.0170526315789474</v>
      </c>
      <c r="F359" s="217" t="n">
        <f aca="false">IF(Calculator!$E$16="YES",IF(A359&lt;Calculator!$G$16,0,MIN(MIN(MOD(A359/Calculator!$F$16,1),1-MOD(A359/Calculator!$F$16,1)),ABS(MOD(A359/Calculator!$F$16,1)-0.5))),1)</f>
        <v>1</v>
      </c>
      <c r="G359" s="217" t="n">
        <f aca="false">IF(Calculator!$E$17="YES",IF(A359&lt;Calculator!$G$17,0,MIN(MIN(MOD(A359/Calculator!$F$17,1),1-MOD(A359/Calculator!$F$17,1)),ABS(MOD(A359/Calculator!$F$17,1)-0.5))),1)</f>
        <v>0.00115789473684158</v>
      </c>
      <c r="H359" s="217" t="n">
        <f aca="false">IF(Calculator!$E$18="YES",IF(A359&lt;Calculator!$G$18,0,MIN(MIN(MOD(A359/Calculator!$F$18,1),1-MOD(A359/Calculator!$F$18,1)),ABS(MOD(A359/Calculator!$F$18,1)-0.5))),1)</f>
        <v>1</v>
      </c>
      <c r="I359" s="217" t="n">
        <f aca="false">IF(Calculator!$E$19="YES",IF(A359&lt;Calculator!$G$19,0,MIN(MIN(MOD(A359/Calculator!$F$19,1),1-MOD(A359/Calculator!$F$19,1)),ABS(MOD(A359/Calculator!$F$19,1)-0.5))),1)</f>
        <v>1</v>
      </c>
      <c r="J359" s="217" t="n">
        <f aca="false">IF(Calculator!$E$20="YES",IF(A359&lt;Calculator!$G$20,0,MIN(MIN(MOD(A359/Calculator!$F$20,1),1-MOD(A359/Calculator!$F$20,1)),ABS(MOD(A359/Calculator!$F$20,1)-0.5))),1)</f>
        <v>1</v>
      </c>
      <c r="K359" s="217" t="n">
        <f aca="false">IF(Calculator!$E$21="YES",IF(A359&lt;Calculator!$G$21,0,MIN(MIN(MOD(A359/Calculator!$F$21,1),1-MOD(A359/Calculator!$F$21,1)),ABS(MOD(A359/Calculator!$F$21,1)-0.5))),1)</f>
        <v>0.138736842105264</v>
      </c>
      <c r="L359" s="217" t="n">
        <f aca="false">IF(Calculator!$E$22="YES",IF(A359&lt;Calculator!$G$22,0,MIN(MIN(MOD(A359/Calculator!$F$22,1),1-MOD(A359/Calculator!$F$22,1)),ABS(MOD(A359/Calculator!$F$22,1)-0.5))),1)</f>
        <v>1</v>
      </c>
      <c r="M359" s="217" t="n">
        <f aca="false">MIN(B359:L359)</f>
        <v>0.00115789473684158</v>
      </c>
      <c r="N359" s="217" t="n">
        <f aca="false">SUMPRODUCT(($M$7:$M$557&gt;M359)*1)+SUMPRODUCT(($M$7:$M$557=M359)*(ROW($M$7:$M$557)&lt;ROW(M359)))+1</f>
        <v>495</v>
      </c>
      <c r="O359" s="217" t="str">
        <f aca="false">IF(M359&gt;=0.2,"★★★ EXCELLENT",IF(M359&gt;=0.12,"★★  GOOD",IF(M359&gt;=0.07,"★  FAIR",IF(M359&gt;=0.025,"⚠  MARGINAL","✗  AVOID"))))</f>
        <v>✗  AVOID</v>
      </c>
    </row>
    <row r="360" customFormat="false" ht="15" hidden="false" customHeight="true" outlineLevel="0" collapsed="false">
      <c r="A360" s="218" t="n">
        <v>40.3</v>
      </c>
      <c r="B360" s="219" t="n">
        <f aca="false">IF(Calculator!$E$12="YES",IF(A360&lt;Calculator!$G$12,0,MIN(MIN(MOD(A360/Calculator!$F$12,1),1-MOD(A360/Calculator!$F$12,1)),ABS(MOD(A360/Calculator!$F$12,1)-0.5))),1)</f>
        <v>1</v>
      </c>
      <c r="C360" s="219" t="n">
        <f aca="false">IF(Calculator!$E$13="YES",IF(A360&lt;Calculator!$G$13,0,MIN(MIN(MOD(A360/Calculator!$F$13,1),1-MOD(A360/Calculator!$F$13,1)),ABS(MOD(A360/Calculator!$F$13,1)-0.5))),1)</f>
        <v>1</v>
      </c>
      <c r="D360" s="219" t="n">
        <f aca="false">IF(Calculator!$E$14="YES",IF(A360&lt;Calculator!$G$14,0,MIN(MIN(MOD(A360/Calculator!$F$14,1),1-MOD(A360/Calculator!$F$14,1)),ABS(MOD(A360/Calculator!$F$14,1)-0.5))),1)</f>
        <v>1</v>
      </c>
      <c r="E360" s="219" t="n">
        <f aca="false">IF(Calculator!$E$15="YES",IF(A360&lt;Calculator!$G$15,0,MIN(MIN(MOD(A360/Calculator!$F$15,1),1-MOD(A360/Calculator!$F$15,1)),ABS(MOD(A360/Calculator!$F$15,1)-0.5))),1)</f>
        <v>0.0220701754385964</v>
      </c>
      <c r="F360" s="219" t="n">
        <f aca="false">IF(Calculator!$E$16="YES",IF(A360&lt;Calculator!$G$16,0,MIN(MIN(MOD(A360/Calculator!$F$16,1),1-MOD(A360/Calculator!$F$16,1)),ABS(MOD(A360/Calculator!$F$16,1)-0.5))),1)</f>
        <v>1</v>
      </c>
      <c r="G360" s="219" t="n">
        <f aca="false">IF(Calculator!$E$17="YES",IF(A360&lt;Calculator!$G$17,0,MIN(MIN(MOD(A360/Calculator!$F$17,1),1-MOD(A360/Calculator!$F$17,1)),ABS(MOD(A360/Calculator!$F$17,1)-0.5))),1)</f>
        <v>0.00878947368421024</v>
      </c>
      <c r="H360" s="219" t="n">
        <f aca="false">IF(Calculator!$E$18="YES",IF(A360&lt;Calculator!$G$18,0,MIN(MIN(MOD(A360/Calculator!$F$18,1),1-MOD(A360/Calculator!$F$18,1)),ABS(MOD(A360/Calculator!$F$18,1)-0.5))),1)</f>
        <v>1</v>
      </c>
      <c r="I360" s="219" t="n">
        <f aca="false">IF(Calculator!$E$19="YES",IF(A360&lt;Calculator!$G$19,0,MIN(MIN(MOD(A360/Calculator!$F$19,1),1-MOD(A360/Calculator!$F$19,1)),ABS(MOD(A360/Calculator!$F$19,1)-0.5))),1)</f>
        <v>1</v>
      </c>
      <c r="J360" s="219" t="n">
        <f aca="false">IF(Calculator!$E$20="YES",IF(A360&lt;Calculator!$G$20,0,MIN(MIN(MOD(A360/Calculator!$F$20,1),1-MOD(A360/Calculator!$F$20,1)),ABS(MOD(A360/Calculator!$F$20,1)-0.5))),1)</f>
        <v>1</v>
      </c>
      <c r="K360" s="219" t="n">
        <f aca="false">IF(Calculator!$E$21="YES",IF(A360&lt;Calculator!$G$21,0,MIN(MIN(MOD(A360/Calculator!$F$21,1),1-MOD(A360/Calculator!$F$21,1)),ABS(MOD(A360/Calculator!$F$21,1)-0.5))),1)</f>
        <v>0.15898245614035</v>
      </c>
      <c r="L360" s="219" t="n">
        <f aca="false">IF(Calculator!$E$22="YES",IF(A360&lt;Calculator!$G$22,0,MIN(MIN(MOD(A360/Calculator!$F$22,1),1-MOD(A360/Calculator!$F$22,1)),ABS(MOD(A360/Calculator!$F$22,1)-0.5))),1)</f>
        <v>1</v>
      </c>
      <c r="M360" s="219" t="n">
        <f aca="false">MIN(B360:L360)</f>
        <v>0.00878947368421024</v>
      </c>
      <c r="N360" s="219" t="n">
        <f aca="false">SUMPRODUCT(($M$7:$M$557&gt;M360)*1)+SUMPRODUCT(($M$7:$M$557=M360)*(ROW($M$7:$M$557)&lt;ROW(M360)))+1</f>
        <v>451</v>
      </c>
      <c r="O360" s="219" t="str">
        <f aca="false">IF(M360&gt;=0.2,"★★★ EXCELLENT",IF(M360&gt;=0.12,"★★  GOOD",IF(M360&gt;=0.07,"★  FAIR",IF(M360&gt;=0.025,"⚠  MARGINAL","✗  AVOID"))))</f>
        <v>✗  AVOID</v>
      </c>
    </row>
    <row r="361" customFormat="false" ht="15" hidden="false" customHeight="true" outlineLevel="0" collapsed="false">
      <c r="A361" s="216" t="n">
        <v>40.4</v>
      </c>
      <c r="B361" s="217" t="n">
        <f aca="false">IF(Calculator!$E$12="YES",IF(A361&lt;Calculator!$G$12,0,MIN(MIN(MOD(A361/Calculator!$F$12,1),1-MOD(A361/Calculator!$F$12,1)),ABS(MOD(A361/Calculator!$F$12,1)-0.5))),1)</f>
        <v>1</v>
      </c>
      <c r="C361" s="217" t="n">
        <f aca="false">IF(Calculator!$E$13="YES",IF(A361&lt;Calculator!$G$13,0,MIN(MIN(MOD(A361/Calculator!$F$13,1),1-MOD(A361/Calculator!$F$13,1)),ABS(MOD(A361/Calculator!$F$13,1)-0.5))),1)</f>
        <v>1</v>
      </c>
      <c r="D361" s="217" t="n">
        <f aca="false">IF(Calculator!$E$14="YES",IF(A361&lt;Calculator!$G$14,0,MIN(MIN(MOD(A361/Calculator!$F$14,1),1-MOD(A361/Calculator!$F$14,1)),ABS(MOD(A361/Calculator!$F$14,1)-0.5))),1)</f>
        <v>1</v>
      </c>
      <c r="E361" s="217" t="n">
        <f aca="false">IF(Calculator!$E$15="YES",IF(A361&lt;Calculator!$G$15,0,MIN(MIN(MOD(A361/Calculator!$F$15,1),1-MOD(A361/Calculator!$F$15,1)),ABS(MOD(A361/Calculator!$F$15,1)-0.5))),1)</f>
        <v>0.0270877192982457</v>
      </c>
      <c r="F361" s="217" t="n">
        <f aca="false">IF(Calculator!$E$16="YES",IF(A361&lt;Calculator!$G$16,0,MIN(MIN(MOD(A361/Calculator!$F$16,1),1-MOD(A361/Calculator!$F$16,1)),ABS(MOD(A361/Calculator!$F$16,1)-0.5))),1)</f>
        <v>1</v>
      </c>
      <c r="G361" s="217" t="n">
        <f aca="false">IF(Calculator!$E$17="YES",IF(A361&lt;Calculator!$G$17,0,MIN(MIN(MOD(A361/Calculator!$F$17,1),1-MOD(A361/Calculator!$F$17,1)),ABS(MOD(A361/Calculator!$F$17,1)-0.5))),1)</f>
        <v>0.0187368421052634</v>
      </c>
      <c r="H361" s="217" t="n">
        <f aca="false">IF(Calculator!$E$18="YES",IF(A361&lt;Calculator!$G$18,0,MIN(MIN(MOD(A361/Calculator!$F$18,1),1-MOD(A361/Calculator!$F$18,1)),ABS(MOD(A361/Calculator!$F$18,1)-0.5))),1)</f>
        <v>1</v>
      </c>
      <c r="I361" s="217" t="n">
        <f aca="false">IF(Calculator!$E$19="YES",IF(A361&lt;Calculator!$G$19,0,MIN(MIN(MOD(A361/Calculator!$F$19,1),1-MOD(A361/Calculator!$F$19,1)),ABS(MOD(A361/Calculator!$F$19,1)-0.5))),1)</f>
        <v>1</v>
      </c>
      <c r="J361" s="217" t="n">
        <f aca="false">IF(Calculator!$E$20="YES",IF(A361&lt;Calculator!$G$20,0,MIN(MIN(MOD(A361/Calculator!$F$20,1),1-MOD(A361/Calculator!$F$20,1)),ABS(MOD(A361/Calculator!$F$20,1)-0.5))),1)</f>
        <v>1</v>
      </c>
      <c r="K361" s="217" t="n">
        <f aca="false">IF(Calculator!$E$21="YES",IF(A361&lt;Calculator!$G$21,0,MIN(MIN(MOD(A361/Calculator!$F$21,1),1-MOD(A361/Calculator!$F$21,1)),ABS(MOD(A361/Calculator!$F$21,1)-0.5))),1)</f>
        <v>0.179228070175439</v>
      </c>
      <c r="L361" s="217" t="n">
        <f aca="false">IF(Calculator!$E$22="YES",IF(A361&lt;Calculator!$G$22,0,MIN(MIN(MOD(A361/Calculator!$F$22,1),1-MOD(A361/Calculator!$F$22,1)),ABS(MOD(A361/Calculator!$F$22,1)-0.5))),1)</f>
        <v>1</v>
      </c>
      <c r="M361" s="217" t="n">
        <f aca="false">MIN(B361:L361)</f>
        <v>0.0187368421052634</v>
      </c>
      <c r="N361" s="217" t="n">
        <f aca="false">SUMPRODUCT(($M$7:$M$557&gt;M361)*1)+SUMPRODUCT(($M$7:$M$557=M361)*(ROW($M$7:$M$557)&lt;ROW(M361)))+1</f>
        <v>408</v>
      </c>
      <c r="O361" s="217" t="str">
        <f aca="false">IF(M361&gt;=0.2,"★★★ EXCELLENT",IF(M361&gt;=0.12,"★★  GOOD",IF(M361&gt;=0.07,"★  FAIR",IF(M361&gt;=0.025,"⚠  MARGINAL","✗  AVOID"))))</f>
        <v>✗  AVOID</v>
      </c>
    </row>
    <row r="362" customFormat="false" ht="15" hidden="false" customHeight="true" outlineLevel="0" collapsed="false">
      <c r="A362" s="218" t="n">
        <v>40.5</v>
      </c>
      <c r="B362" s="219" t="n">
        <f aca="false">IF(Calculator!$E$12="YES",IF(A362&lt;Calculator!$G$12,0,MIN(MIN(MOD(A362/Calculator!$F$12,1),1-MOD(A362/Calculator!$F$12,1)),ABS(MOD(A362/Calculator!$F$12,1)-0.5))),1)</f>
        <v>1</v>
      </c>
      <c r="C362" s="219" t="n">
        <f aca="false">IF(Calculator!$E$13="YES",IF(A362&lt;Calculator!$G$13,0,MIN(MIN(MOD(A362/Calculator!$F$13,1),1-MOD(A362/Calculator!$F$13,1)),ABS(MOD(A362/Calculator!$F$13,1)-0.5))),1)</f>
        <v>1</v>
      </c>
      <c r="D362" s="219" t="n">
        <f aca="false">IF(Calculator!$E$14="YES",IF(A362&lt;Calculator!$G$14,0,MIN(MIN(MOD(A362/Calculator!$F$14,1),1-MOD(A362/Calculator!$F$14,1)),ABS(MOD(A362/Calculator!$F$14,1)-0.5))),1)</f>
        <v>1</v>
      </c>
      <c r="E362" s="219" t="n">
        <f aca="false">IF(Calculator!$E$15="YES",IF(A362&lt;Calculator!$G$15,0,MIN(MIN(MOD(A362/Calculator!$F$15,1),1-MOD(A362/Calculator!$F$15,1)),ABS(MOD(A362/Calculator!$F$15,1)-0.5))),1)</f>
        <v>0.0321052631578946</v>
      </c>
      <c r="F362" s="219" t="n">
        <f aca="false">IF(Calculator!$E$16="YES",IF(A362&lt;Calculator!$G$16,0,MIN(MIN(MOD(A362/Calculator!$F$16,1),1-MOD(A362/Calculator!$F$16,1)),ABS(MOD(A362/Calculator!$F$16,1)-0.5))),1)</f>
        <v>1</v>
      </c>
      <c r="G362" s="219" t="n">
        <f aca="false">IF(Calculator!$E$17="YES",IF(A362&lt;Calculator!$G$17,0,MIN(MIN(MOD(A362/Calculator!$F$17,1),1-MOD(A362/Calculator!$F$17,1)),ABS(MOD(A362/Calculator!$F$17,1)-0.5))),1)</f>
        <v>0.0286842105263165</v>
      </c>
      <c r="H362" s="219" t="n">
        <f aca="false">IF(Calculator!$E$18="YES",IF(A362&lt;Calculator!$G$18,0,MIN(MIN(MOD(A362/Calculator!$F$18,1),1-MOD(A362/Calculator!$F$18,1)),ABS(MOD(A362/Calculator!$F$18,1)-0.5))),1)</f>
        <v>1</v>
      </c>
      <c r="I362" s="219" t="n">
        <f aca="false">IF(Calculator!$E$19="YES",IF(A362&lt;Calculator!$G$19,0,MIN(MIN(MOD(A362/Calculator!$F$19,1),1-MOD(A362/Calculator!$F$19,1)),ABS(MOD(A362/Calculator!$F$19,1)-0.5))),1)</f>
        <v>1</v>
      </c>
      <c r="J362" s="219" t="n">
        <f aca="false">IF(Calculator!$E$20="YES",IF(A362&lt;Calculator!$G$20,0,MIN(MIN(MOD(A362/Calculator!$F$20,1),1-MOD(A362/Calculator!$F$20,1)),ABS(MOD(A362/Calculator!$F$20,1)-0.5))),1)</f>
        <v>1</v>
      </c>
      <c r="K362" s="219" t="n">
        <f aca="false">IF(Calculator!$E$21="YES",IF(A362&lt;Calculator!$G$21,0,MIN(MIN(MOD(A362/Calculator!$F$21,1),1-MOD(A362/Calculator!$F$21,1)),ABS(MOD(A362/Calculator!$F$21,1)-0.5))),1)</f>
        <v>0.199473684210526</v>
      </c>
      <c r="L362" s="219" t="n">
        <f aca="false">IF(Calculator!$E$22="YES",IF(A362&lt;Calculator!$G$22,0,MIN(MIN(MOD(A362/Calculator!$F$22,1),1-MOD(A362/Calculator!$F$22,1)),ABS(MOD(A362/Calculator!$F$22,1)-0.5))),1)</f>
        <v>1</v>
      </c>
      <c r="M362" s="219" t="n">
        <f aca="false">MIN(B362:L362)</f>
        <v>0.0286842105263165</v>
      </c>
      <c r="N362" s="219" t="n">
        <f aca="false">SUMPRODUCT(($M$7:$M$557&gt;M362)*1)+SUMPRODUCT(($M$7:$M$557=M362)*(ROW($M$7:$M$557)&lt;ROW(M362)))+1</f>
        <v>369</v>
      </c>
      <c r="O362" s="219" t="str">
        <f aca="false">IF(M362&gt;=0.2,"★★★ EXCELLENT",IF(M362&gt;=0.12,"★★  GOOD",IF(M362&gt;=0.07,"★  FAIR",IF(M362&gt;=0.025,"⚠  MARGINAL","✗  AVOID"))))</f>
        <v>⚠  MARGINAL</v>
      </c>
    </row>
    <row r="363" customFormat="false" ht="15" hidden="false" customHeight="true" outlineLevel="0" collapsed="false">
      <c r="A363" s="216" t="n">
        <v>40.6</v>
      </c>
      <c r="B363" s="217" t="n">
        <f aca="false">IF(Calculator!$E$12="YES",IF(A363&lt;Calculator!$G$12,0,MIN(MIN(MOD(A363/Calculator!$F$12,1),1-MOD(A363/Calculator!$F$12,1)),ABS(MOD(A363/Calculator!$F$12,1)-0.5))),1)</f>
        <v>1</v>
      </c>
      <c r="C363" s="217" t="n">
        <f aca="false">IF(Calculator!$E$13="YES",IF(A363&lt;Calculator!$G$13,0,MIN(MIN(MOD(A363/Calculator!$F$13,1),1-MOD(A363/Calculator!$F$13,1)),ABS(MOD(A363/Calculator!$F$13,1)-0.5))),1)</f>
        <v>1</v>
      </c>
      <c r="D363" s="217" t="n">
        <f aca="false">IF(Calculator!$E$14="YES",IF(A363&lt;Calculator!$G$14,0,MIN(MIN(MOD(A363/Calculator!$F$14,1),1-MOD(A363/Calculator!$F$14,1)),ABS(MOD(A363/Calculator!$F$14,1)-0.5))),1)</f>
        <v>1</v>
      </c>
      <c r="E363" s="217" t="n">
        <f aca="false">IF(Calculator!$E$15="YES",IF(A363&lt;Calculator!$G$15,0,MIN(MIN(MOD(A363/Calculator!$F$15,1),1-MOD(A363/Calculator!$F$15,1)),ABS(MOD(A363/Calculator!$F$15,1)-0.5))),1)</f>
        <v>0.037122807017544</v>
      </c>
      <c r="F363" s="217" t="n">
        <f aca="false">IF(Calculator!$E$16="YES",IF(A363&lt;Calculator!$G$16,0,MIN(MIN(MOD(A363/Calculator!$F$16,1),1-MOD(A363/Calculator!$F$16,1)),ABS(MOD(A363/Calculator!$F$16,1)-0.5))),1)</f>
        <v>1</v>
      </c>
      <c r="G363" s="217" t="n">
        <f aca="false">IF(Calculator!$E$17="YES",IF(A363&lt;Calculator!$G$17,0,MIN(MIN(MOD(A363/Calculator!$F$17,1),1-MOD(A363/Calculator!$F$17,1)),ABS(MOD(A363/Calculator!$F$17,1)-0.5))),1)</f>
        <v>0.0386315789473688</v>
      </c>
      <c r="H363" s="217" t="n">
        <f aca="false">IF(Calculator!$E$18="YES",IF(A363&lt;Calculator!$G$18,0,MIN(MIN(MOD(A363/Calculator!$F$18,1),1-MOD(A363/Calculator!$F$18,1)),ABS(MOD(A363/Calculator!$F$18,1)-0.5))),1)</f>
        <v>1</v>
      </c>
      <c r="I363" s="217" t="n">
        <f aca="false">IF(Calculator!$E$19="YES",IF(A363&lt;Calculator!$G$19,0,MIN(MIN(MOD(A363/Calculator!$F$19,1),1-MOD(A363/Calculator!$F$19,1)),ABS(MOD(A363/Calculator!$F$19,1)-0.5))),1)</f>
        <v>1</v>
      </c>
      <c r="J363" s="217" t="n">
        <f aca="false">IF(Calculator!$E$20="YES",IF(A363&lt;Calculator!$G$20,0,MIN(MIN(MOD(A363/Calculator!$F$20,1),1-MOD(A363/Calculator!$F$20,1)),ABS(MOD(A363/Calculator!$F$20,1)-0.5))),1)</f>
        <v>1</v>
      </c>
      <c r="K363" s="217" t="n">
        <f aca="false">IF(Calculator!$E$21="YES",IF(A363&lt;Calculator!$G$21,0,MIN(MIN(MOD(A363/Calculator!$F$21,1),1-MOD(A363/Calculator!$F$21,1)),ABS(MOD(A363/Calculator!$F$21,1)-0.5))),1)</f>
        <v>0.219719298245614</v>
      </c>
      <c r="L363" s="217" t="n">
        <f aca="false">IF(Calculator!$E$22="YES",IF(A363&lt;Calculator!$G$22,0,MIN(MIN(MOD(A363/Calculator!$F$22,1),1-MOD(A363/Calculator!$F$22,1)),ABS(MOD(A363/Calculator!$F$22,1)-0.5))),1)</f>
        <v>1</v>
      </c>
      <c r="M363" s="217" t="n">
        <f aca="false">MIN(B363:L363)</f>
        <v>0.037122807017544</v>
      </c>
      <c r="N363" s="217" t="n">
        <f aca="false">SUMPRODUCT(($M$7:$M$557&gt;M363)*1)+SUMPRODUCT(($M$7:$M$557=M363)*(ROW($M$7:$M$557)&lt;ROW(M363)))+1</f>
        <v>335</v>
      </c>
      <c r="O363" s="217" t="str">
        <f aca="false">IF(M363&gt;=0.2,"★★★ EXCELLENT",IF(M363&gt;=0.12,"★★  GOOD",IF(M363&gt;=0.07,"★  FAIR",IF(M363&gt;=0.025,"⚠  MARGINAL","✗  AVOID"))))</f>
        <v>⚠  MARGINAL</v>
      </c>
    </row>
    <row r="364" customFormat="false" ht="15" hidden="false" customHeight="true" outlineLevel="0" collapsed="false">
      <c r="A364" s="218" t="n">
        <v>40.7</v>
      </c>
      <c r="B364" s="219" t="n">
        <f aca="false">IF(Calculator!$E$12="YES",IF(A364&lt;Calculator!$G$12,0,MIN(MIN(MOD(A364/Calculator!$F$12,1),1-MOD(A364/Calculator!$F$12,1)),ABS(MOD(A364/Calculator!$F$12,1)-0.5))),1)</f>
        <v>1</v>
      </c>
      <c r="C364" s="219" t="n">
        <f aca="false">IF(Calculator!$E$13="YES",IF(A364&lt;Calculator!$G$13,0,MIN(MIN(MOD(A364/Calculator!$F$13,1),1-MOD(A364/Calculator!$F$13,1)),ABS(MOD(A364/Calculator!$F$13,1)-0.5))),1)</f>
        <v>1</v>
      </c>
      <c r="D364" s="219" t="n">
        <f aca="false">IF(Calculator!$E$14="YES",IF(A364&lt;Calculator!$G$14,0,MIN(MIN(MOD(A364/Calculator!$F$14,1),1-MOD(A364/Calculator!$F$14,1)),ABS(MOD(A364/Calculator!$F$14,1)-0.5))),1)</f>
        <v>1</v>
      </c>
      <c r="E364" s="219" t="n">
        <f aca="false">IF(Calculator!$E$15="YES",IF(A364&lt;Calculator!$G$15,0,MIN(MIN(MOD(A364/Calculator!$F$15,1),1-MOD(A364/Calculator!$F$15,1)),ABS(MOD(A364/Calculator!$F$15,1)-0.5))),1)</f>
        <v>0.0421403508771929</v>
      </c>
      <c r="F364" s="219" t="n">
        <f aca="false">IF(Calculator!$E$16="YES",IF(A364&lt;Calculator!$G$16,0,MIN(MIN(MOD(A364/Calculator!$F$16,1),1-MOD(A364/Calculator!$F$16,1)),ABS(MOD(A364/Calculator!$F$16,1)-0.5))),1)</f>
        <v>1</v>
      </c>
      <c r="G364" s="219" t="n">
        <f aca="false">IF(Calculator!$E$17="YES",IF(A364&lt;Calculator!$G$17,0,MIN(MIN(MOD(A364/Calculator!$F$17,1),1-MOD(A364/Calculator!$F$17,1)),ABS(MOD(A364/Calculator!$F$17,1)-0.5))),1)</f>
        <v>0.0485789473684219</v>
      </c>
      <c r="H364" s="219" t="n">
        <f aca="false">IF(Calculator!$E$18="YES",IF(A364&lt;Calculator!$G$18,0,MIN(MIN(MOD(A364/Calculator!$F$18,1),1-MOD(A364/Calculator!$F$18,1)),ABS(MOD(A364/Calculator!$F$18,1)-0.5))),1)</f>
        <v>1</v>
      </c>
      <c r="I364" s="219" t="n">
        <f aca="false">IF(Calculator!$E$19="YES",IF(A364&lt;Calculator!$G$19,0,MIN(MIN(MOD(A364/Calculator!$F$19,1),1-MOD(A364/Calculator!$F$19,1)),ABS(MOD(A364/Calculator!$F$19,1)-0.5))),1)</f>
        <v>1</v>
      </c>
      <c r="J364" s="219" t="n">
        <f aca="false">IF(Calculator!$E$20="YES",IF(A364&lt;Calculator!$G$20,0,MIN(MIN(MOD(A364/Calculator!$F$20,1),1-MOD(A364/Calculator!$F$20,1)),ABS(MOD(A364/Calculator!$F$20,1)-0.5))),1)</f>
        <v>1</v>
      </c>
      <c r="K364" s="219" t="n">
        <f aca="false">IF(Calculator!$E$21="YES",IF(A364&lt;Calculator!$G$21,0,MIN(MIN(MOD(A364/Calculator!$F$21,1),1-MOD(A364/Calculator!$F$21,1)),ABS(MOD(A364/Calculator!$F$21,1)-0.5))),1)</f>
        <v>0.239964912280703</v>
      </c>
      <c r="L364" s="219" t="n">
        <f aca="false">IF(Calculator!$E$22="YES",IF(A364&lt;Calculator!$G$22,0,MIN(MIN(MOD(A364/Calculator!$F$22,1),1-MOD(A364/Calculator!$F$22,1)),ABS(MOD(A364/Calculator!$F$22,1)-0.5))),1)</f>
        <v>1</v>
      </c>
      <c r="M364" s="219" t="n">
        <f aca="false">MIN(B364:L364)</f>
        <v>0.0421403508771929</v>
      </c>
      <c r="N364" s="219" t="n">
        <f aca="false">SUMPRODUCT(($M$7:$M$557&gt;M364)*1)+SUMPRODUCT(($M$7:$M$557=M364)*(ROW($M$7:$M$557)&lt;ROW(M364)))+1</f>
        <v>314</v>
      </c>
      <c r="O364" s="219" t="str">
        <f aca="false">IF(M364&gt;=0.2,"★★★ EXCELLENT",IF(M364&gt;=0.12,"★★  GOOD",IF(M364&gt;=0.07,"★  FAIR",IF(M364&gt;=0.025,"⚠  MARGINAL","✗  AVOID"))))</f>
        <v>⚠  MARGINAL</v>
      </c>
    </row>
    <row r="365" customFormat="false" ht="15" hidden="false" customHeight="true" outlineLevel="0" collapsed="false">
      <c r="A365" s="216" t="n">
        <v>40.8</v>
      </c>
      <c r="B365" s="217" t="n">
        <f aca="false">IF(Calculator!$E$12="YES",IF(A365&lt;Calculator!$G$12,0,MIN(MIN(MOD(A365/Calculator!$F$12,1),1-MOD(A365/Calculator!$F$12,1)),ABS(MOD(A365/Calculator!$F$12,1)-0.5))),1)</f>
        <v>1</v>
      </c>
      <c r="C365" s="217" t="n">
        <f aca="false">IF(Calculator!$E$13="YES",IF(A365&lt;Calculator!$G$13,0,MIN(MIN(MOD(A365/Calculator!$F$13,1),1-MOD(A365/Calculator!$F$13,1)),ABS(MOD(A365/Calculator!$F$13,1)-0.5))),1)</f>
        <v>1</v>
      </c>
      <c r="D365" s="217" t="n">
        <f aca="false">IF(Calculator!$E$14="YES",IF(A365&lt;Calculator!$G$14,0,MIN(MIN(MOD(A365/Calculator!$F$14,1),1-MOD(A365/Calculator!$F$14,1)),ABS(MOD(A365/Calculator!$F$14,1)-0.5))),1)</f>
        <v>1</v>
      </c>
      <c r="E365" s="217" t="n">
        <f aca="false">IF(Calculator!$E$15="YES",IF(A365&lt;Calculator!$G$15,0,MIN(MIN(MOD(A365/Calculator!$F$15,1),1-MOD(A365/Calculator!$F$15,1)),ABS(MOD(A365/Calculator!$F$15,1)-0.5))),1)</f>
        <v>0.0471578947368418</v>
      </c>
      <c r="F365" s="217" t="n">
        <f aca="false">IF(Calculator!$E$16="YES",IF(A365&lt;Calculator!$G$16,0,MIN(MIN(MOD(A365/Calculator!$F$16,1),1-MOD(A365/Calculator!$F$16,1)),ABS(MOD(A365/Calculator!$F$16,1)-0.5))),1)</f>
        <v>1</v>
      </c>
      <c r="G365" s="217" t="n">
        <f aca="false">IF(Calculator!$E$17="YES",IF(A365&lt;Calculator!$G$17,0,MIN(MIN(MOD(A365/Calculator!$F$17,1),1-MOD(A365/Calculator!$F$17,1)),ABS(MOD(A365/Calculator!$F$17,1)-0.5))),1)</f>
        <v>0.0585263157894733</v>
      </c>
      <c r="H365" s="217" t="n">
        <f aca="false">IF(Calculator!$E$18="YES",IF(A365&lt;Calculator!$G$18,0,MIN(MIN(MOD(A365/Calculator!$F$18,1),1-MOD(A365/Calculator!$F$18,1)),ABS(MOD(A365/Calculator!$F$18,1)-0.5))),1)</f>
        <v>1</v>
      </c>
      <c r="I365" s="217" t="n">
        <f aca="false">IF(Calculator!$E$19="YES",IF(A365&lt;Calculator!$G$19,0,MIN(MIN(MOD(A365/Calculator!$F$19,1),1-MOD(A365/Calculator!$F$19,1)),ABS(MOD(A365/Calculator!$F$19,1)-0.5))),1)</f>
        <v>1</v>
      </c>
      <c r="J365" s="217" t="n">
        <f aca="false">IF(Calculator!$E$20="YES",IF(A365&lt;Calculator!$G$20,0,MIN(MIN(MOD(A365/Calculator!$F$20,1),1-MOD(A365/Calculator!$F$20,1)),ABS(MOD(A365/Calculator!$F$20,1)-0.5))),1)</f>
        <v>1</v>
      </c>
      <c r="K365" s="217" t="n">
        <f aca="false">IF(Calculator!$E$21="YES",IF(A365&lt;Calculator!$G$21,0,MIN(MIN(MOD(A365/Calculator!$F$21,1),1-MOD(A365/Calculator!$F$21,1)),ABS(MOD(A365/Calculator!$F$21,1)-0.5))),1)</f>
        <v>0.239789473684212</v>
      </c>
      <c r="L365" s="217" t="n">
        <f aca="false">IF(Calculator!$E$22="YES",IF(A365&lt;Calculator!$G$22,0,MIN(MIN(MOD(A365/Calculator!$F$22,1),1-MOD(A365/Calculator!$F$22,1)),ABS(MOD(A365/Calculator!$F$22,1)-0.5))),1)</f>
        <v>1</v>
      </c>
      <c r="M365" s="217" t="n">
        <f aca="false">MIN(B365:L365)</f>
        <v>0.0471578947368418</v>
      </c>
      <c r="N365" s="217" t="n">
        <f aca="false">SUMPRODUCT(($M$7:$M$557&gt;M365)*1)+SUMPRODUCT(($M$7:$M$557=M365)*(ROW($M$7:$M$557)&lt;ROW(M365)))+1</f>
        <v>295</v>
      </c>
      <c r="O365" s="217" t="str">
        <f aca="false">IF(M365&gt;=0.2,"★★★ EXCELLENT",IF(M365&gt;=0.12,"★★  GOOD",IF(M365&gt;=0.07,"★  FAIR",IF(M365&gt;=0.025,"⚠  MARGINAL","✗  AVOID"))))</f>
        <v>⚠  MARGINAL</v>
      </c>
    </row>
    <row r="366" customFormat="false" ht="15" hidden="false" customHeight="true" outlineLevel="0" collapsed="false">
      <c r="A366" s="218" t="n">
        <v>40.9</v>
      </c>
      <c r="B366" s="219" t="n">
        <f aca="false">IF(Calculator!$E$12="YES",IF(A366&lt;Calculator!$G$12,0,MIN(MIN(MOD(A366/Calculator!$F$12,1),1-MOD(A366/Calculator!$F$12,1)),ABS(MOD(A366/Calculator!$F$12,1)-0.5))),1)</f>
        <v>1</v>
      </c>
      <c r="C366" s="219" t="n">
        <f aca="false">IF(Calculator!$E$13="YES",IF(A366&lt;Calculator!$G$13,0,MIN(MIN(MOD(A366/Calculator!$F$13,1),1-MOD(A366/Calculator!$F$13,1)),ABS(MOD(A366/Calculator!$F$13,1)-0.5))),1)</f>
        <v>1</v>
      </c>
      <c r="D366" s="219" t="n">
        <f aca="false">IF(Calculator!$E$14="YES",IF(A366&lt;Calculator!$G$14,0,MIN(MIN(MOD(A366/Calculator!$F$14,1),1-MOD(A366/Calculator!$F$14,1)),ABS(MOD(A366/Calculator!$F$14,1)-0.5))),1)</f>
        <v>1</v>
      </c>
      <c r="E366" s="219" t="n">
        <f aca="false">IF(Calculator!$E$15="YES",IF(A366&lt;Calculator!$G$15,0,MIN(MIN(MOD(A366/Calculator!$F$15,1),1-MOD(A366/Calculator!$F$15,1)),ABS(MOD(A366/Calculator!$F$15,1)-0.5))),1)</f>
        <v>0.0521754385964912</v>
      </c>
      <c r="F366" s="219" t="n">
        <f aca="false">IF(Calculator!$E$16="YES",IF(A366&lt;Calculator!$G$16,0,MIN(MIN(MOD(A366/Calculator!$F$16,1),1-MOD(A366/Calculator!$F$16,1)),ABS(MOD(A366/Calculator!$F$16,1)-0.5))),1)</f>
        <v>1</v>
      </c>
      <c r="G366" s="219" t="n">
        <f aca="false">IF(Calculator!$E$17="YES",IF(A366&lt;Calculator!$G$17,0,MIN(MIN(MOD(A366/Calculator!$F$17,1),1-MOD(A366/Calculator!$F$17,1)),ABS(MOD(A366/Calculator!$F$17,1)-0.5))),1)</f>
        <v>0.0684736842105265</v>
      </c>
      <c r="H366" s="219" t="n">
        <f aca="false">IF(Calculator!$E$18="YES",IF(A366&lt;Calculator!$G$18,0,MIN(MIN(MOD(A366/Calculator!$F$18,1),1-MOD(A366/Calculator!$F$18,1)),ABS(MOD(A366/Calculator!$F$18,1)-0.5))),1)</f>
        <v>1</v>
      </c>
      <c r="I366" s="219" t="n">
        <f aca="false">IF(Calculator!$E$19="YES",IF(A366&lt;Calculator!$G$19,0,MIN(MIN(MOD(A366/Calculator!$F$19,1),1-MOD(A366/Calculator!$F$19,1)),ABS(MOD(A366/Calculator!$F$19,1)-0.5))),1)</f>
        <v>1</v>
      </c>
      <c r="J366" s="219" t="n">
        <f aca="false">IF(Calculator!$E$20="YES",IF(A366&lt;Calculator!$G$20,0,MIN(MIN(MOD(A366/Calculator!$F$20,1),1-MOD(A366/Calculator!$F$20,1)),ABS(MOD(A366/Calculator!$F$20,1)-0.5))),1)</f>
        <v>1</v>
      </c>
      <c r="K366" s="219" t="n">
        <f aca="false">IF(Calculator!$E$21="YES",IF(A366&lt;Calculator!$G$21,0,MIN(MIN(MOD(A366/Calculator!$F$21,1),1-MOD(A366/Calculator!$F$21,1)),ABS(MOD(A366/Calculator!$F$21,1)-0.5))),1)</f>
        <v>0.219543859649123</v>
      </c>
      <c r="L366" s="219" t="n">
        <f aca="false">IF(Calculator!$E$22="YES",IF(A366&lt;Calculator!$G$22,0,MIN(MIN(MOD(A366/Calculator!$F$22,1),1-MOD(A366/Calculator!$F$22,1)),ABS(MOD(A366/Calculator!$F$22,1)-0.5))),1)</f>
        <v>1</v>
      </c>
      <c r="M366" s="219" t="n">
        <f aca="false">MIN(B366:L366)</f>
        <v>0.0521754385964912</v>
      </c>
      <c r="N366" s="219" t="n">
        <f aca="false">SUMPRODUCT(($M$7:$M$557&gt;M366)*1)+SUMPRODUCT(($M$7:$M$557=M366)*(ROW($M$7:$M$557)&lt;ROW(M366)))+1</f>
        <v>273</v>
      </c>
      <c r="O366" s="219" t="str">
        <f aca="false">IF(M366&gt;=0.2,"★★★ EXCELLENT",IF(M366&gt;=0.12,"★★  GOOD",IF(M366&gt;=0.07,"★  FAIR",IF(M366&gt;=0.025,"⚠  MARGINAL","✗  AVOID"))))</f>
        <v>⚠  MARGINAL</v>
      </c>
    </row>
    <row r="367" customFormat="false" ht="15" hidden="false" customHeight="true" outlineLevel="0" collapsed="false">
      <c r="A367" s="216" t="n">
        <v>41</v>
      </c>
      <c r="B367" s="217" t="n">
        <f aca="false">IF(Calculator!$E$12="YES",IF(A367&lt;Calculator!$G$12,0,MIN(MIN(MOD(A367/Calculator!$F$12,1),1-MOD(A367/Calculator!$F$12,1)),ABS(MOD(A367/Calculator!$F$12,1)-0.5))),1)</f>
        <v>1</v>
      </c>
      <c r="C367" s="217" t="n">
        <f aca="false">IF(Calculator!$E$13="YES",IF(A367&lt;Calculator!$G$13,0,MIN(MIN(MOD(A367/Calculator!$F$13,1),1-MOD(A367/Calculator!$F$13,1)),ABS(MOD(A367/Calculator!$F$13,1)-0.5))),1)</f>
        <v>1</v>
      </c>
      <c r="D367" s="217" t="n">
        <f aca="false">IF(Calculator!$E$14="YES",IF(A367&lt;Calculator!$G$14,0,MIN(MIN(MOD(A367/Calculator!$F$14,1),1-MOD(A367/Calculator!$F$14,1)),ABS(MOD(A367/Calculator!$F$14,1)-0.5))),1)</f>
        <v>1</v>
      </c>
      <c r="E367" s="217" t="n">
        <f aca="false">IF(Calculator!$E$15="YES",IF(A367&lt;Calculator!$G$15,0,MIN(MIN(MOD(A367/Calculator!$F$15,1),1-MOD(A367/Calculator!$F$15,1)),ABS(MOD(A367/Calculator!$F$15,1)-0.5))),1)</f>
        <v>0.0571929824561406</v>
      </c>
      <c r="F367" s="217" t="n">
        <f aca="false">IF(Calculator!$E$16="YES",IF(A367&lt;Calculator!$G$16,0,MIN(MIN(MOD(A367/Calculator!$F$16,1),1-MOD(A367/Calculator!$F$16,1)),ABS(MOD(A367/Calculator!$F$16,1)-0.5))),1)</f>
        <v>1</v>
      </c>
      <c r="G367" s="217" t="n">
        <f aca="false">IF(Calculator!$E$17="YES",IF(A367&lt;Calculator!$G$17,0,MIN(MIN(MOD(A367/Calculator!$F$17,1),1-MOD(A367/Calculator!$F$17,1)),ABS(MOD(A367/Calculator!$F$17,1)-0.5))),1)</f>
        <v>0.0784210526315796</v>
      </c>
      <c r="H367" s="217" t="n">
        <f aca="false">IF(Calculator!$E$18="YES",IF(A367&lt;Calculator!$G$18,0,MIN(MIN(MOD(A367/Calculator!$F$18,1),1-MOD(A367/Calculator!$F$18,1)),ABS(MOD(A367/Calculator!$F$18,1)-0.5))),1)</f>
        <v>1</v>
      </c>
      <c r="I367" s="217" t="n">
        <f aca="false">IF(Calculator!$E$19="YES",IF(A367&lt;Calculator!$G$19,0,MIN(MIN(MOD(A367/Calculator!$F$19,1),1-MOD(A367/Calculator!$F$19,1)),ABS(MOD(A367/Calculator!$F$19,1)-0.5))),1)</f>
        <v>1</v>
      </c>
      <c r="J367" s="217" t="n">
        <f aca="false">IF(Calculator!$E$20="YES",IF(A367&lt;Calculator!$G$20,0,MIN(MIN(MOD(A367/Calculator!$F$20,1),1-MOD(A367/Calculator!$F$20,1)),ABS(MOD(A367/Calculator!$F$20,1)-0.5))),1)</f>
        <v>1</v>
      </c>
      <c r="K367" s="217" t="n">
        <f aca="false">IF(Calculator!$E$21="YES",IF(A367&lt;Calculator!$G$21,0,MIN(MIN(MOD(A367/Calculator!$F$21,1),1-MOD(A367/Calculator!$F$21,1)),ABS(MOD(A367/Calculator!$F$21,1)-0.5))),1)</f>
        <v>0.199298245614035</v>
      </c>
      <c r="L367" s="217" t="n">
        <f aca="false">IF(Calculator!$E$22="YES",IF(A367&lt;Calculator!$G$22,0,MIN(MIN(MOD(A367/Calculator!$F$22,1),1-MOD(A367/Calculator!$F$22,1)),ABS(MOD(A367/Calculator!$F$22,1)-0.5))),1)</f>
        <v>1</v>
      </c>
      <c r="M367" s="217" t="n">
        <f aca="false">MIN(B367:L367)</f>
        <v>0.0571929824561406</v>
      </c>
      <c r="N367" s="217" t="n">
        <f aca="false">SUMPRODUCT(($M$7:$M$557&gt;M367)*1)+SUMPRODUCT(($M$7:$M$557=M367)*(ROW($M$7:$M$557)&lt;ROW(M367)))+1</f>
        <v>255</v>
      </c>
      <c r="O367" s="217" t="str">
        <f aca="false">IF(M367&gt;=0.2,"★★★ EXCELLENT",IF(M367&gt;=0.12,"★★  GOOD",IF(M367&gt;=0.07,"★  FAIR",IF(M367&gt;=0.025,"⚠  MARGINAL","✗  AVOID"))))</f>
        <v>⚠  MARGINAL</v>
      </c>
    </row>
    <row r="368" customFormat="false" ht="15" hidden="false" customHeight="true" outlineLevel="0" collapsed="false">
      <c r="A368" s="218" t="n">
        <v>41.1</v>
      </c>
      <c r="B368" s="219" t="n">
        <f aca="false">IF(Calculator!$E$12="YES",IF(A368&lt;Calculator!$G$12,0,MIN(MIN(MOD(A368/Calculator!$F$12,1),1-MOD(A368/Calculator!$F$12,1)),ABS(MOD(A368/Calculator!$F$12,1)-0.5))),1)</f>
        <v>1</v>
      </c>
      <c r="C368" s="219" t="n">
        <f aca="false">IF(Calculator!$E$13="YES",IF(A368&lt;Calculator!$G$13,0,MIN(MIN(MOD(A368/Calculator!$F$13,1),1-MOD(A368/Calculator!$F$13,1)),ABS(MOD(A368/Calculator!$F$13,1)-0.5))),1)</f>
        <v>1</v>
      </c>
      <c r="D368" s="219" t="n">
        <f aca="false">IF(Calculator!$E$14="YES",IF(A368&lt;Calculator!$G$14,0,MIN(MIN(MOD(A368/Calculator!$F$14,1),1-MOD(A368/Calculator!$F$14,1)),ABS(MOD(A368/Calculator!$F$14,1)-0.5))),1)</f>
        <v>1</v>
      </c>
      <c r="E368" s="219" t="n">
        <f aca="false">IF(Calculator!$E$15="YES",IF(A368&lt;Calculator!$G$15,0,MIN(MIN(MOD(A368/Calculator!$F$15,1),1-MOD(A368/Calculator!$F$15,1)),ABS(MOD(A368/Calculator!$F$15,1)-0.5))),1)</f>
        <v>0.0622105263157895</v>
      </c>
      <c r="F368" s="219" t="n">
        <f aca="false">IF(Calculator!$E$16="YES",IF(A368&lt;Calculator!$G$16,0,MIN(MIN(MOD(A368/Calculator!$F$16,1),1-MOD(A368/Calculator!$F$16,1)),ABS(MOD(A368/Calculator!$F$16,1)-0.5))),1)</f>
        <v>1</v>
      </c>
      <c r="G368" s="219" t="n">
        <f aca="false">IF(Calculator!$E$17="YES",IF(A368&lt;Calculator!$G$17,0,MIN(MIN(MOD(A368/Calculator!$F$17,1),1-MOD(A368/Calculator!$F$17,1)),ABS(MOD(A368/Calculator!$F$17,1)-0.5))),1)</f>
        <v>0.0883684210526319</v>
      </c>
      <c r="H368" s="219" t="n">
        <f aca="false">IF(Calculator!$E$18="YES",IF(A368&lt;Calculator!$G$18,0,MIN(MIN(MOD(A368/Calculator!$F$18,1),1-MOD(A368/Calculator!$F$18,1)),ABS(MOD(A368/Calculator!$F$18,1)-0.5))),1)</f>
        <v>1</v>
      </c>
      <c r="I368" s="219" t="n">
        <f aca="false">IF(Calculator!$E$19="YES",IF(A368&lt;Calculator!$G$19,0,MIN(MIN(MOD(A368/Calculator!$F$19,1),1-MOD(A368/Calculator!$F$19,1)),ABS(MOD(A368/Calculator!$F$19,1)-0.5))),1)</f>
        <v>1</v>
      </c>
      <c r="J368" s="219" t="n">
        <f aca="false">IF(Calculator!$E$20="YES",IF(A368&lt;Calculator!$G$20,0,MIN(MIN(MOD(A368/Calculator!$F$20,1),1-MOD(A368/Calculator!$F$20,1)),ABS(MOD(A368/Calculator!$F$20,1)-0.5))),1)</f>
        <v>1</v>
      </c>
      <c r="K368" s="219" t="n">
        <f aca="false">IF(Calculator!$E$21="YES",IF(A368&lt;Calculator!$G$21,0,MIN(MIN(MOD(A368/Calculator!$F$21,1),1-MOD(A368/Calculator!$F$21,1)),ABS(MOD(A368/Calculator!$F$21,1)-0.5))),1)</f>
        <v>0.179052631578948</v>
      </c>
      <c r="L368" s="219" t="n">
        <f aca="false">IF(Calculator!$E$22="YES",IF(A368&lt;Calculator!$G$22,0,MIN(MIN(MOD(A368/Calculator!$F$22,1),1-MOD(A368/Calculator!$F$22,1)),ABS(MOD(A368/Calculator!$F$22,1)-0.5))),1)</f>
        <v>1</v>
      </c>
      <c r="M368" s="219" t="n">
        <f aca="false">MIN(B368:L368)</f>
        <v>0.0622105263157895</v>
      </c>
      <c r="N368" s="219" t="n">
        <f aca="false">SUMPRODUCT(($M$7:$M$557&gt;M368)*1)+SUMPRODUCT(($M$7:$M$557=M368)*(ROW($M$7:$M$557)&lt;ROW(M368)))+1</f>
        <v>233</v>
      </c>
      <c r="O368" s="219" t="str">
        <f aca="false">IF(M368&gt;=0.2,"★★★ EXCELLENT",IF(M368&gt;=0.12,"★★  GOOD",IF(M368&gt;=0.07,"★  FAIR",IF(M368&gt;=0.025,"⚠  MARGINAL","✗  AVOID"))))</f>
        <v>⚠  MARGINAL</v>
      </c>
    </row>
    <row r="369" customFormat="false" ht="15" hidden="false" customHeight="true" outlineLevel="0" collapsed="false">
      <c r="A369" s="216" t="n">
        <v>41.2</v>
      </c>
      <c r="B369" s="217" t="n">
        <f aca="false">IF(Calculator!$E$12="YES",IF(A369&lt;Calculator!$G$12,0,MIN(MIN(MOD(A369/Calculator!$F$12,1),1-MOD(A369/Calculator!$F$12,1)),ABS(MOD(A369/Calculator!$F$12,1)-0.5))),1)</f>
        <v>1</v>
      </c>
      <c r="C369" s="217" t="n">
        <f aca="false">IF(Calculator!$E$13="YES",IF(A369&lt;Calculator!$G$13,0,MIN(MIN(MOD(A369/Calculator!$F$13,1),1-MOD(A369/Calculator!$F$13,1)),ABS(MOD(A369/Calculator!$F$13,1)-0.5))),1)</f>
        <v>1</v>
      </c>
      <c r="D369" s="217" t="n">
        <f aca="false">IF(Calculator!$E$14="YES",IF(A369&lt;Calculator!$G$14,0,MIN(MIN(MOD(A369/Calculator!$F$14,1),1-MOD(A369/Calculator!$F$14,1)),ABS(MOD(A369/Calculator!$F$14,1)-0.5))),1)</f>
        <v>1</v>
      </c>
      <c r="E369" s="217" t="n">
        <f aca="false">IF(Calculator!$E$15="YES",IF(A369&lt;Calculator!$G$15,0,MIN(MIN(MOD(A369/Calculator!$F$15,1),1-MOD(A369/Calculator!$F$15,1)),ABS(MOD(A369/Calculator!$F$15,1)-0.5))),1)</f>
        <v>0.0672280701754389</v>
      </c>
      <c r="F369" s="217" t="n">
        <f aca="false">IF(Calculator!$E$16="YES",IF(A369&lt;Calculator!$G$16,0,MIN(MIN(MOD(A369/Calculator!$F$16,1),1-MOD(A369/Calculator!$F$16,1)),ABS(MOD(A369/Calculator!$F$16,1)-0.5))),1)</f>
        <v>1</v>
      </c>
      <c r="G369" s="217" t="n">
        <f aca="false">IF(Calculator!$E$17="YES",IF(A369&lt;Calculator!$G$17,0,MIN(MIN(MOD(A369/Calculator!$F$17,1),1-MOD(A369/Calculator!$F$17,1)),ABS(MOD(A369/Calculator!$F$17,1)-0.5))),1)</f>
        <v>0.098315789473685</v>
      </c>
      <c r="H369" s="217" t="n">
        <f aca="false">IF(Calculator!$E$18="YES",IF(A369&lt;Calculator!$G$18,0,MIN(MIN(MOD(A369/Calculator!$F$18,1),1-MOD(A369/Calculator!$F$18,1)),ABS(MOD(A369/Calculator!$F$18,1)-0.5))),1)</f>
        <v>1</v>
      </c>
      <c r="I369" s="217" t="n">
        <f aca="false">IF(Calculator!$E$19="YES",IF(A369&lt;Calculator!$G$19,0,MIN(MIN(MOD(A369/Calculator!$F$19,1),1-MOD(A369/Calculator!$F$19,1)),ABS(MOD(A369/Calculator!$F$19,1)-0.5))),1)</f>
        <v>1</v>
      </c>
      <c r="J369" s="217" t="n">
        <f aca="false">IF(Calculator!$E$20="YES",IF(A369&lt;Calculator!$G$20,0,MIN(MIN(MOD(A369/Calculator!$F$20,1),1-MOD(A369/Calculator!$F$20,1)),ABS(MOD(A369/Calculator!$F$20,1)-0.5))),1)</f>
        <v>1</v>
      </c>
      <c r="K369" s="217" t="n">
        <f aca="false">IF(Calculator!$E$21="YES",IF(A369&lt;Calculator!$G$21,0,MIN(MIN(MOD(A369/Calculator!$F$21,1),1-MOD(A369/Calculator!$F$21,1)),ABS(MOD(A369/Calculator!$F$21,1)-0.5))),1)</f>
        <v>0.158807017543859</v>
      </c>
      <c r="L369" s="217" t="n">
        <f aca="false">IF(Calculator!$E$22="YES",IF(A369&lt;Calculator!$G$22,0,MIN(MIN(MOD(A369/Calculator!$F$22,1),1-MOD(A369/Calculator!$F$22,1)),ABS(MOD(A369/Calculator!$F$22,1)-0.5))),1)</f>
        <v>1</v>
      </c>
      <c r="M369" s="217" t="n">
        <f aca="false">MIN(B369:L369)</f>
        <v>0.0672280701754389</v>
      </c>
      <c r="N369" s="217" t="n">
        <f aca="false">SUMPRODUCT(($M$7:$M$557&gt;M369)*1)+SUMPRODUCT(($M$7:$M$557=M369)*(ROW($M$7:$M$557)&lt;ROW(M369)))+1</f>
        <v>217</v>
      </c>
      <c r="O369" s="217" t="str">
        <f aca="false">IF(M369&gt;=0.2,"★★★ EXCELLENT",IF(M369&gt;=0.12,"★★  GOOD",IF(M369&gt;=0.07,"★  FAIR",IF(M369&gt;=0.025,"⚠  MARGINAL","✗  AVOID"))))</f>
        <v>⚠  MARGINAL</v>
      </c>
    </row>
    <row r="370" customFormat="false" ht="15" hidden="false" customHeight="true" outlineLevel="0" collapsed="false">
      <c r="A370" s="218" t="n">
        <v>41.3</v>
      </c>
      <c r="B370" s="219" t="n">
        <f aca="false">IF(Calculator!$E$12="YES",IF(A370&lt;Calculator!$G$12,0,MIN(MIN(MOD(A370/Calculator!$F$12,1),1-MOD(A370/Calculator!$F$12,1)),ABS(MOD(A370/Calculator!$F$12,1)-0.5))),1)</f>
        <v>1</v>
      </c>
      <c r="C370" s="219" t="n">
        <f aca="false">IF(Calculator!$E$13="YES",IF(A370&lt;Calculator!$G$13,0,MIN(MIN(MOD(A370/Calculator!$F$13,1),1-MOD(A370/Calculator!$F$13,1)),ABS(MOD(A370/Calculator!$F$13,1)-0.5))),1)</f>
        <v>1</v>
      </c>
      <c r="D370" s="219" t="n">
        <f aca="false">IF(Calculator!$E$14="YES",IF(A370&lt;Calculator!$G$14,0,MIN(MIN(MOD(A370/Calculator!$F$14,1),1-MOD(A370/Calculator!$F$14,1)),ABS(MOD(A370/Calculator!$F$14,1)-0.5))),1)</f>
        <v>1</v>
      </c>
      <c r="E370" s="219" t="n">
        <f aca="false">IF(Calculator!$E$15="YES",IF(A370&lt;Calculator!$G$15,0,MIN(MIN(MOD(A370/Calculator!$F$15,1),1-MOD(A370/Calculator!$F$15,1)),ABS(MOD(A370/Calculator!$F$15,1)-0.5))),1)</f>
        <v>0.0722456140350878</v>
      </c>
      <c r="F370" s="219" t="n">
        <f aca="false">IF(Calculator!$E$16="YES",IF(A370&lt;Calculator!$G$16,0,MIN(MIN(MOD(A370/Calculator!$F$16,1),1-MOD(A370/Calculator!$F$16,1)),ABS(MOD(A370/Calculator!$F$16,1)-0.5))),1)</f>
        <v>1</v>
      </c>
      <c r="G370" s="219" t="n">
        <f aca="false">IF(Calculator!$E$17="YES",IF(A370&lt;Calculator!$G$17,0,MIN(MIN(MOD(A370/Calculator!$F$17,1),1-MOD(A370/Calculator!$F$17,1)),ABS(MOD(A370/Calculator!$F$17,1)-0.5))),1)</f>
        <v>0.108263157894737</v>
      </c>
      <c r="H370" s="219" t="n">
        <f aca="false">IF(Calculator!$E$18="YES",IF(A370&lt;Calculator!$G$18,0,MIN(MIN(MOD(A370/Calculator!$F$18,1),1-MOD(A370/Calculator!$F$18,1)),ABS(MOD(A370/Calculator!$F$18,1)-0.5))),1)</f>
        <v>1</v>
      </c>
      <c r="I370" s="219" t="n">
        <f aca="false">IF(Calculator!$E$19="YES",IF(A370&lt;Calculator!$G$19,0,MIN(MIN(MOD(A370/Calculator!$F$19,1),1-MOD(A370/Calculator!$F$19,1)),ABS(MOD(A370/Calculator!$F$19,1)-0.5))),1)</f>
        <v>1</v>
      </c>
      <c r="J370" s="219" t="n">
        <f aca="false">IF(Calculator!$E$20="YES",IF(A370&lt;Calculator!$G$20,0,MIN(MIN(MOD(A370/Calculator!$F$20,1),1-MOD(A370/Calculator!$F$20,1)),ABS(MOD(A370/Calculator!$F$20,1)-0.5))),1)</f>
        <v>1</v>
      </c>
      <c r="K370" s="219" t="n">
        <f aca="false">IF(Calculator!$E$21="YES",IF(A370&lt;Calculator!$G$21,0,MIN(MIN(MOD(A370/Calculator!$F$21,1),1-MOD(A370/Calculator!$F$21,1)),ABS(MOD(A370/Calculator!$F$21,1)-0.5))),1)</f>
        <v>0.138561403508772</v>
      </c>
      <c r="L370" s="219" t="n">
        <f aca="false">IF(Calculator!$E$22="YES",IF(A370&lt;Calculator!$G$22,0,MIN(MIN(MOD(A370/Calculator!$F$22,1),1-MOD(A370/Calculator!$F$22,1)),ABS(MOD(A370/Calculator!$F$22,1)-0.5))),1)</f>
        <v>1</v>
      </c>
      <c r="M370" s="219" t="n">
        <f aca="false">MIN(B370:L370)</f>
        <v>0.0722456140350878</v>
      </c>
      <c r="N370" s="219" t="n">
        <f aca="false">SUMPRODUCT(($M$7:$M$557&gt;M370)*1)+SUMPRODUCT(($M$7:$M$557=M370)*(ROW($M$7:$M$557)&lt;ROW(M370)))+1</f>
        <v>195</v>
      </c>
      <c r="O370" s="219" t="str">
        <f aca="false">IF(M370&gt;=0.2,"★★★ EXCELLENT",IF(M370&gt;=0.12,"★★  GOOD",IF(M370&gt;=0.07,"★  FAIR",IF(M370&gt;=0.025,"⚠  MARGINAL","✗  AVOID"))))</f>
        <v>★  FAIR</v>
      </c>
    </row>
    <row r="371" customFormat="false" ht="15" hidden="false" customHeight="true" outlineLevel="0" collapsed="false">
      <c r="A371" s="216" t="n">
        <v>41.4</v>
      </c>
      <c r="B371" s="217" t="n">
        <f aca="false">IF(Calculator!$E$12="YES",IF(A371&lt;Calculator!$G$12,0,MIN(MIN(MOD(A371/Calculator!$F$12,1),1-MOD(A371/Calculator!$F$12,1)),ABS(MOD(A371/Calculator!$F$12,1)-0.5))),1)</f>
        <v>1</v>
      </c>
      <c r="C371" s="217" t="n">
        <f aca="false">IF(Calculator!$E$13="YES",IF(A371&lt;Calculator!$G$13,0,MIN(MIN(MOD(A371/Calculator!$F$13,1),1-MOD(A371/Calculator!$F$13,1)),ABS(MOD(A371/Calculator!$F$13,1)-0.5))),1)</f>
        <v>1</v>
      </c>
      <c r="D371" s="217" t="n">
        <f aca="false">IF(Calculator!$E$14="YES",IF(A371&lt;Calculator!$G$14,0,MIN(MIN(MOD(A371/Calculator!$F$14,1),1-MOD(A371/Calculator!$F$14,1)),ABS(MOD(A371/Calculator!$F$14,1)-0.5))),1)</f>
        <v>1</v>
      </c>
      <c r="E371" s="217" t="n">
        <f aca="false">IF(Calculator!$E$15="YES",IF(A371&lt;Calculator!$G$15,0,MIN(MIN(MOD(A371/Calculator!$F$15,1),1-MOD(A371/Calculator!$F$15,1)),ABS(MOD(A371/Calculator!$F$15,1)-0.5))),1)</f>
        <v>0.0772631578947367</v>
      </c>
      <c r="F371" s="217" t="n">
        <f aca="false">IF(Calculator!$E$16="YES",IF(A371&lt;Calculator!$G$16,0,MIN(MIN(MOD(A371/Calculator!$F$16,1),1-MOD(A371/Calculator!$F$16,1)),ABS(MOD(A371/Calculator!$F$16,1)-0.5))),1)</f>
        <v>1</v>
      </c>
      <c r="G371" s="217" t="n">
        <f aca="false">IF(Calculator!$E$17="YES",IF(A371&lt;Calculator!$G$17,0,MIN(MIN(MOD(A371/Calculator!$F$17,1),1-MOD(A371/Calculator!$F$17,1)),ABS(MOD(A371/Calculator!$F$17,1)-0.5))),1)</f>
        <v>0.11821052631579</v>
      </c>
      <c r="H371" s="217" t="n">
        <f aca="false">IF(Calculator!$E$18="YES",IF(A371&lt;Calculator!$G$18,0,MIN(MIN(MOD(A371/Calculator!$F$18,1),1-MOD(A371/Calculator!$F$18,1)),ABS(MOD(A371/Calculator!$F$18,1)-0.5))),1)</f>
        <v>1</v>
      </c>
      <c r="I371" s="217" t="n">
        <f aca="false">IF(Calculator!$E$19="YES",IF(A371&lt;Calculator!$G$19,0,MIN(MIN(MOD(A371/Calculator!$F$19,1),1-MOD(A371/Calculator!$F$19,1)),ABS(MOD(A371/Calculator!$F$19,1)-0.5))),1)</f>
        <v>1</v>
      </c>
      <c r="J371" s="217" t="n">
        <f aca="false">IF(Calculator!$E$20="YES",IF(A371&lt;Calculator!$G$20,0,MIN(MIN(MOD(A371/Calculator!$F$20,1),1-MOD(A371/Calculator!$F$20,1)),ABS(MOD(A371/Calculator!$F$20,1)-0.5))),1)</f>
        <v>1</v>
      </c>
      <c r="K371" s="217" t="n">
        <f aca="false">IF(Calculator!$E$21="YES",IF(A371&lt;Calculator!$G$21,0,MIN(MIN(MOD(A371/Calculator!$F$21,1),1-MOD(A371/Calculator!$F$21,1)),ABS(MOD(A371/Calculator!$F$21,1)-0.5))),1)</f>
        <v>0.118315789473685</v>
      </c>
      <c r="L371" s="217" t="n">
        <f aca="false">IF(Calculator!$E$22="YES",IF(A371&lt;Calculator!$G$22,0,MIN(MIN(MOD(A371/Calculator!$F$22,1),1-MOD(A371/Calculator!$F$22,1)),ABS(MOD(A371/Calculator!$F$22,1)-0.5))),1)</f>
        <v>1</v>
      </c>
      <c r="M371" s="217" t="n">
        <f aca="false">MIN(B371:L371)</f>
        <v>0.0772631578947367</v>
      </c>
      <c r="N371" s="217" t="n">
        <f aca="false">SUMPRODUCT(($M$7:$M$557&gt;M371)*1)+SUMPRODUCT(($M$7:$M$557=M371)*(ROW($M$7:$M$557)&lt;ROW(M371)))+1</f>
        <v>178</v>
      </c>
      <c r="O371" s="217" t="str">
        <f aca="false">IF(M371&gt;=0.2,"★★★ EXCELLENT",IF(M371&gt;=0.12,"★★  GOOD",IF(M371&gt;=0.07,"★  FAIR",IF(M371&gt;=0.025,"⚠  MARGINAL","✗  AVOID"))))</f>
        <v>★  FAIR</v>
      </c>
    </row>
    <row r="372" customFormat="false" ht="15" hidden="false" customHeight="true" outlineLevel="0" collapsed="false">
      <c r="A372" s="218" t="n">
        <v>41.5</v>
      </c>
      <c r="B372" s="219" t="n">
        <f aca="false">IF(Calculator!$E$12="YES",IF(A372&lt;Calculator!$G$12,0,MIN(MIN(MOD(A372/Calculator!$F$12,1),1-MOD(A372/Calculator!$F$12,1)),ABS(MOD(A372/Calculator!$F$12,1)-0.5))),1)</f>
        <v>1</v>
      </c>
      <c r="C372" s="219" t="n">
        <f aca="false">IF(Calculator!$E$13="YES",IF(A372&lt;Calculator!$G$13,0,MIN(MIN(MOD(A372/Calculator!$F$13,1),1-MOD(A372/Calculator!$F$13,1)),ABS(MOD(A372/Calculator!$F$13,1)-0.5))),1)</f>
        <v>1</v>
      </c>
      <c r="D372" s="219" t="n">
        <f aca="false">IF(Calculator!$E$14="YES",IF(A372&lt;Calculator!$G$14,0,MIN(MIN(MOD(A372/Calculator!$F$14,1),1-MOD(A372/Calculator!$F$14,1)),ABS(MOD(A372/Calculator!$F$14,1)-0.5))),1)</f>
        <v>1</v>
      </c>
      <c r="E372" s="219" t="n">
        <f aca="false">IF(Calculator!$E$15="YES",IF(A372&lt;Calculator!$G$15,0,MIN(MIN(MOD(A372/Calculator!$F$15,1),1-MOD(A372/Calculator!$F$15,1)),ABS(MOD(A372/Calculator!$F$15,1)-0.5))),1)</f>
        <v>0.0822807017543861</v>
      </c>
      <c r="F372" s="219" t="n">
        <f aca="false">IF(Calculator!$E$16="YES",IF(A372&lt;Calculator!$G$16,0,MIN(MIN(MOD(A372/Calculator!$F$16,1),1-MOD(A372/Calculator!$F$16,1)),ABS(MOD(A372/Calculator!$F$16,1)-0.5))),1)</f>
        <v>1</v>
      </c>
      <c r="G372" s="219" t="n">
        <f aca="false">IF(Calculator!$E$17="YES",IF(A372&lt;Calculator!$G$17,0,MIN(MIN(MOD(A372/Calculator!$F$17,1),1-MOD(A372/Calculator!$F$17,1)),ABS(MOD(A372/Calculator!$F$17,1)-0.5))),1)</f>
        <v>0.128157894736843</v>
      </c>
      <c r="H372" s="219" t="n">
        <f aca="false">IF(Calculator!$E$18="YES",IF(A372&lt;Calculator!$G$18,0,MIN(MIN(MOD(A372/Calculator!$F$18,1),1-MOD(A372/Calculator!$F$18,1)),ABS(MOD(A372/Calculator!$F$18,1)-0.5))),1)</f>
        <v>1</v>
      </c>
      <c r="I372" s="219" t="n">
        <f aca="false">IF(Calculator!$E$19="YES",IF(A372&lt;Calculator!$G$19,0,MIN(MIN(MOD(A372/Calculator!$F$19,1),1-MOD(A372/Calculator!$F$19,1)),ABS(MOD(A372/Calculator!$F$19,1)-0.5))),1)</f>
        <v>1</v>
      </c>
      <c r="J372" s="219" t="n">
        <f aca="false">IF(Calculator!$E$20="YES",IF(A372&lt;Calculator!$G$20,0,MIN(MIN(MOD(A372/Calculator!$F$20,1),1-MOD(A372/Calculator!$F$20,1)),ABS(MOD(A372/Calculator!$F$20,1)-0.5))),1)</f>
        <v>1</v>
      </c>
      <c r="K372" s="219" t="n">
        <f aca="false">IF(Calculator!$E$21="YES",IF(A372&lt;Calculator!$G$21,0,MIN(MIN(MOD(A372/Calculator!$F$21,1),1-MOD(A372/Calculator!$F$21,1)),ABS(MOD(A372/Calculator!$F$21,1)-0.5))),1)</f>
        <v>0.0980701754385969</v>
      </c>
      <c r="L372" s="219" t="n">
        <f aca="false">IF(Calculator!$E$22="YES",IF(A372&lt;Calculator!$G$22,0,MIN(MIN(MOD(A372/Calculator!$F$22,1),1-MOD(A372/Calculator!$F$22,1)),ABS(MOD(A372/Calculator!$F$22,1)-0.5))),1)</f>
        <v>1</v>
      </c>
      <c r="M372" s="219" t="n">
        <f aca="false">MIN(B372:L372)</f>
        <v>0.0822807017543861</v>
      </c>
      <c r="N372" s="219" t="n">
        <f aca="false">SUMPRODUCT(($M$7:$M$557&gt;M372)*1)+SUMPRODUCT(($M$7:$M$557=M372)*(ROW($M$7:$M$557)&lt;ROW(M372)))+1</f>
        <v>157</v>
      </c>
      <c r="O372" s="219" t="str">
        <f aca="false">IF(M372&gt;=0.2,"★★★ EXCELLENT",IF(M372&gt;=0.12,"★★  GOOD",IF(M372&gt;=0.07,"★  FAIR",IF(M372&gt;=0.025,"⚠  MARGINAL","✗  AVOID"))))</f>
        <v>★  FAIR</v>
      </c>
    </row>
    <row r="373" customFormat="false" ht="15" hidden="false" customHeight="true" outlineLevel="0" collapsed="false">
      <c r="A373" s="216" t="n">
        <v>41.6</v>
      </c>
      <c r="B373" s="217" t="n">
        <f aca="false">IF(Calculator!$E$12="YES",IF(A373&lt;Calculator!$G$12,0,MIN(MIN(MOD(A373/Calculator!$F$12,1),1-MOD(A373/Calculator!$F$12,1)),ABS(MOD(A373/Calculator!$F$12,1)-0.5))),1)</f>
        <v>1</v>
      </c>
      <c r="C373" s="217" t="n">
        <f aca="false">IF(Calculator!$E$13="YES",IF(A373&lt;Calculator!$G$13,0,MIN(MIN(MOD(A373/Calculator!$F$13,1),1-MOD(A373/Calculator!$F$13,1)),ABS(MOD(A373/Calculator!$F$13,1)-0.5))),1)</f>
        <v>1</v>
      </c>
      <c r="D373" s="217" t="n">
        <f aca="false">IF(Calculator!$E$14="YES",IF(A373&lt;Calculator!$G$14,0,MIN(MIN(MOD(A373/Calculator!$F$14,1),1-MOD(A373/Calculator!$F$14,1)),ABS(MOD(A373/Calculator!$F$14,1)-0.5))),1)</f>
        <v>1</v>
      </c>
      <c r="E373" s="217" t="n">
        <f aca="false">IF(Calculator!$E$15="YES",IF(A373&lt;Calculator!$G$15,0,MIN(MIN(MOD(A373/Calculator!$F$15,1),1-MOD(A373/Calculator!$F$15,1)),ABS(MOD(A373/Calculator!$F$15,1)-0.5))),1)</f>
        <v>0.087298245614035</v>
      </c>
      <c r="F373" s="217" t="n">
        <f aca="false">IF(Calculator!$E$16="YES",IF(A373&lt;Calculator!$G$16,0,MIN(MIN(MOD(A373/Calculator!$F$16,1),1-MOD(A373/Calculator!$F$16,1)),ABS(MOD(A373/Calculator!$F$16,1)-0.5))),1)</f>
        <v>1</v>
      </c>
      <c r="G373" s="217" t="n">
        <f aca="false">IF(Calculator!$E$17="YES",IF(A373&lt;Calculator!$G$17,0,MIN(MIN(MOD(A373/Calculator!$F$17,1),1-MOD(A373/Calculator!$F$17,1)),ABS(MOD(A373/Calculator!$F$17,1)-0.5))),1)</f>
        <v>0.138105263157895</v>
      </c>
      <c r="H373" s="217" t="n">
        <f aca="false">IF(Calculator!$E$18="YES",IF(A373&lt;Calculator!$G$18,0,MIN(MIN(MOD(A373/Calculator!$F$18,1),1-MOD(A373/Calculator!$F$18,1)),ABS(MOD(A373/Calculator!$F$18,1)-0.5))),1)</f>
        <v>1</v>
      </c>
      <c r="I373" s="217" t="n">
        <f aca="false">IF(Calculator!$E$19="YES",IF(A373&lt;Calculator!$G$19,0,MIN(MIN(MOD(A373/Calculator!$F$19,1),1-MOD(A373/Calculator!$F$19,1)),ABS(MOD(A373/Calculator!$F$19,1)-0.5))),1)</f>
        <v>1</v>
      </c>
      <c r="J373" s="217" t="n">
        <f aca="false">IF(Calculator!$E$20="YES",IF(A373&lt;Calculator!$G$20,0,MIN(MIN(MOD(A373/Calculator!$F$20,1),1-MOD(A373/Calculator!$F$20,1)),ABS(MOD(A373/Calculator!$F$20,1)-0.5))),1)</f>
        <v>1</v>
      </c>
      <c r="K373" s="217" t="n">
        <f aca="false">IF(Calculator!$E$21="YES",IF(A373&lt;Calculator!$G$21,0,MIN(MIN(MOD(A373/Calculator!$F$21,1),1-MOD(A373/Calculator!$F$21,1)),ABS(MOD(A373/Calculator!$F$21,1)-0.5))),1)</f>
        <v>0.0778245614035082</v>
      </c>
      <c r="L373" s="217" t="n">
        <f aca="false">IF(Calculator!$E$22="YES",IF(A373&lt;Calculator!$G$22,0,MIN(MIN(MOD(A373/Calculator!$F$22,1),1-MOD(A373/Calculator!$F$22,1)),ABS(MOD(A373/Calculator!$F$22,1)-0.5))),1)</f>
        <v>1</v>
      </c>
      <c r="M373" s="217" t="n">
        <f aca="false">MIN(B373:L373)</f>
        <v>0.0778245614035082</v>
      </c>
      <c r="N373" s="217" t="n">
        <f aca="false">SUMPRODUCT(($M$7:$M$557&gt;M373)*1)+SUMPRODUCT(($M$7:$M$557=M373)*(ROW($M$7:$M$557)&lt;ROW(M373)))+1</f>
        <v>176</v>
      </c>
      <c r="O373" s="217" t="str">
        <f aca="false">IF(M373&gt;=0.2,"★★★ EXCELLENT",IF(M373&gt;=0.12,"★★  GOOD",IF(M373&gt;=0.07,"★  FAIR",IF(M373&gt;=0.025,"⚠  MARGINAL","✗  AVOID"))))</f>
        <v>★  FAIR</v>
      </c>
    </row>
    <row r="374" customFormat="false" ht="15" hidden="false" customHeight="true" outlineLevel="0" collapsed="false">
      <c r="A374" s="218" t="n">
        <v>41.7</v>
      </c>
      <c r="B374" s="219" t="n">
        <f aca="false">IF(Calculator!$E$12="YES",IF(A374&lt;Calculator!$G$12,0,MIN(MIN(MOD(A374/Calculator!$F$12,1),1-MOD(A374/Calculator!$F$12,1)),ABS(MOD(A374/Calculator!$F$12,1)-0.5))),1)</f>
        <v>1</v>
      </c>
      <c r="C374" s="219" t="n">
        <f aca="false">IF(Calculator!$E$13="YES",IF(A374&lt;Calculator!$G$13,0,MIN(MIN(MOD(A374/Calculator!$F$13,1),1-MOD(A374/Calculator!$F$13,1)),ABS(MOD(A374/Calculator!$F$13,1)-0.5))),1)</f>
        <v>1</v>
      </c>
      <c r="D374" s="219" t="n">
        <f aca="false">IF(Calculator!$E$14="YES",IF(A374&lt;Calculator!$G$14,0,MIN(MIN(MOD(A374/Calculator!$F$14,1),1-MOD(A374/Calculator!$F$14,1)),ABS(MOD(A374/Calculator!$F$14,1)-0.5))),1)</f>
        <v>1</v>
      </c>
      <c r="E374" s="219" t="n">
        <f aca="false">IF(Calculator!$E$15="YES",IF(A374&lt;Calculator!$G$15,0,MIN(MIN(MOD(A374/Calculator!$F$15,1),1-MOD(A374/Calculator!$F$15,1)),ABS(MOD(A374/Calculator!$F$15,1)-0.5))),1)</f>
        <v>0.0923157894736844</v>
      </c>
      <c r="F374" s="219" t="n">
        <f aca="false">IF(Calculator!$E$16="YES",IF(A374&lt;Calculator!$G$16,0,MIN(MIN(MOD(A374/Calculator!$F$16,1),1-MOD(A374/Calculator!$F$16,1)),ABS(MOD(A374/Calculator!$F$16,1)-0.5))),1)</f>
        <v>1</v>
      </c>
      <c r="G374" s="219" t="n">
        <f aca="false">IF(Calculator!$E$17="YES",IF(A374&lt;Calculator!$G$17,0,MIN(MIN(MOD(A374/Calculator!$F$17,1),1-MOD(A374/Calculator!$F$17,1)),ABS(MOD(A374/Calculator!$F$17,1)-0.5))),1)</f>
        <v>0.148052631578948</v>
      </c>
      <c r="H374" s="219" t="n">
        <f aca="false">IF(Calculator!$E$18="YES",IF(A374&lt;Calculator!$G$18,0,MIN(MIN(MOD(A374/Calculator!$F$18,1),1-MOD(A374/Calculator!$F$18,1)),ABS(MOD(A374/Calculator!$F$18,1)-0.5))),1)</f>
        <v>1</v>
      </c>
      <c r="I374" s="219" t="n">
        <f aca="false">IF(Calculator!$E$19="YES",IF(A374&lt;Calculator!$G$19,0,MIN(MIN(MOD(A374/Calculator!$F$19,1),1-MOD(A374/Calculator!$F$19,1)),ABS(MOD(A374/Calculator!$F$19,1)-0.5))),1)</f>
        <v>1</v>
      </c>
      <c r="J374" s="219" t="n">
        <f aca="false">IF(Calculator!$E$20="YES",IF(A374&lt;Calculator!$G$20,0,MIN(MIN(MOD(A374/Calculator!$F$20,1),1-MOD(A374/Calculator!$F$20,1)),ABS(MOD(A374/Calculator!$F$20,1)-0.5))),1)</f>
        <v>1</v>
      </c>
      <c r="K374" s="219" t="n">
        <f aca="false">IF(Calculator!$E$21="YES",IF(A374&lt;Calculator!$G$21,0,MIN(MIN(MOD(A374/Calculator!$F$21,1),1-MOD(A374/Calculator!$F$21,1)),ABS(MOD(A374/Calculator!$F$21,1)-0.5))),1)</f>
        <v>0.0575789473684214</v>
      </c>
      <c r="L374" s="219" t="n">
        <f aca="false">IF(Calculator!$E$22="YES",IF(A374&lt;Calculator!$G$22,0,MIN(MIN(MOD(A374/Calculator!$F$22,1),1-MOD(A374/Calculator!$F$22,1)),ABS(MOD(A374/Calculator!$F$22,1)-0.5))),1)</f>
        <v>1</v>
      </c>
      <c r="M374" s="219" t="n">
        <f aca="false">MIN(B374:L374)</f>
        <v>0.0575789473684214</v>
      </c>
      <c r="N374" s="219" t="n">
        <f aca="false">SUMPRODUCT(($M$7:$M$557&gt;M374)*1)+SUMPRODUCT(($M$7:$M$557=M374)*(ROW($M$7:$M$557)&lt;ROW(M374)))+1</f>
        <v>254</v>
      </c>
      <c r="O374" s="219" t="str">
        <f aca="false">IF(M374&gt;=0.2,"★★★ EXCELLENT",IF(M374&gt;=0.12,"★★  GOOD",IF(M374&gt;=0.07,"★  FAIR",IF(M374&gt;=0.025,"⚠  MARGINAL","✗  AVOID"))))</f>
        <v>⚠  MARGINAL</v>
      </c>
    </row>
    <row r="375" customFormat="false" ht="15" hidden="false" customHeight="true" outlineLevel="0" collapsed="false">
      <c r="A375" s="216" t="n">
        <v>41.8</v>
      </c>
      <c r="B375" s="217" t="n">
        <f aca="false">IF(Calculator!$E$12="YES",IF(A375&lt;Calculator!$G$12,0,MIN(MIN(MOD(A375/Calculator!$F$12,1),1-MOD(A375/Calculator!$F$12,1)),ABS(MOD(A375/Calculator!$F$12,1)-0.5))),1)</f>
        <v>1</v>
      </c>
      <c r="C375" s="217" t="n">
        <f aca="false">IF(Calculator!$E$13="YES",IF(A375&lt;Calculator!$G$13,0,MIN(MIN(MOD(A375/Calculator!$F$13,1),1-MOD(A375/Calculator!$F$13,1)),ABS(MOD(A375/Calculator!$F$13,1)-0.5))),1)</f>
        <v>1</v>
      </c>
      <c r="D375" s="217" t="n">
        <f aca="false">IF(Calculator!$E$14="YES",IF(A375&lt;Calculator!$G$14,0,MIN(MIN(MOD(A375/Calculator!$F$14,1),1-MOD(A375/Calculator!$F$14,1)),ABS(MOD(A375/Calculator!$F$14,1)-0.5))),1)</f>
        <v>1</v>
      </c>
      <c r="E375" s="217" t="n">
        <f aca="false">IF(Calculator!$E$15="YES",IF(A375&lt;Calculator!$G$15,0,MIN(MIN(MOD(A375/Calculator!$F$15,1),1-MOD(A375/Calculator!$F$15,1)),ABS(MOD(A375/Calculator!$F$15,1)-0.5))),1)</f>
        <v>0.0973333333333333</v>
      </c>
      <c r="F375" s="217" t="n">
        <f aca="false">IF(Calculator!$E$16="YES",IF(A375&lt;Calculator!$G$16,0,MIN(MIN(MOD(A375/Calculator!$F$16,1),1-MOD(A375/Calculator!$F$16,1)),ABS(MOD(A375/Calculator!$F$16,1)-0.5))),1)</f>
        <v>1</v>
      </c>
      <c r="G375" s="217" t="n">
        <f aca="false">IF(Calculator!$E$17="YES",IF(A375&lt;Calculator!$G$17,0,MIN(MIN(MOD(A375/Calculator!$F$17,1),1-MOD(A375/Calculator!$F$17,1)),ABS(MOD(A375/Calculator!$F$17,1)-0.5))),1)</f>
        <v>0.158</v>
      </c>
      <c r="H375" s="217" t="n">
        <f aca="false">IF(Calculator!$E$18="YES",IF(A375&lt;Calculator!$G$18,0,MIN(MIN(MOD(A375/Calculator!$F$18,1),1-MOD(A375/Calculator!$F$18,1)),ABS(MOD(A375/Calculator!$F$18,1)-0.5))),1)</f>
        <v>1</v>
      </c>
      <c r="I375" s="217" t="n">
        <f aca="false">IF(Calculator!$E$19="YES",IF(A375&lt;Calculator!$G$19,0,MIN(MIN(MOD(A375/Calculator!$F$19,1),1-MOD(A375/Calculator!$F$19,1)),ABS(MOD(A375/Calculator!$F$19,1)-0.5))),1)</f>
        <v>1</v>
      </c>
      <c r="J375" s="217" t="n">
        <f aca="false">IF(Calculator!$E$20="YES",IF(A375&lt;Calculator!$G$20,0,MIN(MIN(MOD(A375/Calculator!$F$20,1),1-MOD(A375/Calculator!$F$20,1)),ABS(MOD(A375/Calculator!$F$20,1)-0.5))),1)</f>
        <v>1</v>
      </c>
      <c r="K375" s="217" t="n">
        <f aca="false">IF(Calculator!$E$21="YES",IF(A375&lt;Calculator!$G$21,0,MIN(MIN(MOD(A375/Calculator!$F$21,1),1-MOD(A375/Calculator!$F$21,1)),ABS(MOD(A375/Calculator!$F$21,1)-0.5))),1)</f>
        <v>0.0373333333333346</v>
      </c>
      <c r="L375" s="217" t="n">
        <f aca="false">IF(Calculator!$E$22="YES",IF(A375&lt;Calculator!$G$22,0,MIN(MIN(MOD(A375/Calculator!$F$22,1),1-MOD(A375/Calculator!$F$22,1)),ABS(MOD(A375/Calculator!$F$22,1)-0.5))),1)</f>
        <v>1</v>
      </c>
      <c r="M375" s="217" t="n">
        <f aca="false">MIN(B375:L375)</f>
        <v>0.0373333333333346</v>
      </c>
      <c r="N375" s="217" t="n">
        <f aca="false">SUMPRODUCT(($M$7:$M$557&gt;M375)*1)+SUMPRODUCT(($M$7:$M$557=M375)*(ROW($M$7:$M$557)&lt;ROW(M375)))+1</f>
        <v>334</v>
      </c>
      <c r="O375" s="217" t="str">
        <f aca="false">IF(M375&gt;=0.2,"★★★ EXCELLENT",IF(M375&gt;=0.12,"★★  GOOD",IF(M375&gt;=0.07,"★  FAIR",IF(M375&gt;=0.025,"⚠  MARGINAL","✗  AVOID"))))</f>
        <v>⚠  MARGINAL</v>
      </c>
    </row>
    <row r="376" customFormat="false" ht="15" hidden="false" customHeight="true" outlineLevel="0" collapsed="false">
      <c r="A376" s="218" t="n">
        <v>41.9</v>
      </c>
      <c r="B376" s="219" t="n">
        <f aca="false">IF(Calculator!$E$12="YES",IF(A376&lt;Calculator!$G$12,0,MIN(MIN(MOD(A376/Calculator!$F$12,1),1-MOD(A376/Calculator!$F$12,1)),ABS(MOD(A376/Calculator!$F$12,1)-0.5))),1)</f>
        <v>1</v>
      </c>
      <c r="C376" s="219" t="n">
        <f aca="false">IF(Calculator!$E$13="YES",IF(A376&lt;Calculator!$G$13,0,MIN(MIN(MOD(A376/Calculator!$F$13,1),1-MOD(A376/Calculator!$F$13,1)),ABS(MOD(A376/Calculator!$F$13,1)-0.5))),1)</f>
        <v>1</v>
      </c>
      <c r="D376" s="219" t="n">
        <f aca="false">IF(Calculator!$E$14="YES",IF(A376&lt;Calculator!$G$14,0,MIN(MIN(MOD(A376/Calculator!$F$14,1),1-MOD(A376/Calculator!$F$14,1)),ABS(MOD(A376/Calculator!$F$14,1)-0.5))),1)</f>
        <v>1</v>
      </c>
      <c r="E376" s="219" t="n">
        <f aca="false">IF(Calculator!$E$15="YES",IF(A376&lt;Calculator!$G$15,0,MIN(MIN(MOD(A376/Calculator!$F$15,1),1-MOD(A376/Calculator!$F$15,1)),ABS(MOD(A376/Calculator!$F$15,1)-0.5))),1)</f>
        <v>0.102350877192982</v>
      </c>
      <c r="F376" s="219" t="n">
        <f aca="false">IF(Calculator!$E$16="YES",IF(A376&lt;Calculator!$G$16,0,MIN(MIN(MOD(A376/Calculator!$F$16,1),1-MOD(A376/Calculator!$F$16,1)),ABS(MOD(A376/Calculator!$F$16,1)-0.5))),1)</f>
        <v>1</v>
      </c>
      <c r="G376" s="219" t="n">
        <f aca="false">IF(Calculator!$E$17="YES",IF(A376&lt;Calculator!$G$17,0,MIN(MIN(MOD(A376/Calculator!$F$17,1),1-MOD(A376/Calculator!$F$17,1)),ABS(MOD(A376/Calculator!$F$17,1)-0.5))),1)</f>
        <v>0.167947368421053</v>
      </c>
      <c r="H376" s="219" t="n">
        <f aca="false">IF(Calculator!$E$18="YES",IF(A376&lt;Calculator!$G$18,0,MIN(MIN(MOD(A376/Calculator!$F$18,1),1-MOD(A376/Calculator!$F$18,1)),ABS(MOD(A376/Calculator!$F$18,1)-0.5))),1)</f>
        <v>1</v>
      </c>
      <c r="I376" s="219" t="n">
        <f aca="false">IF(Calculator!$E$19="YES",IF(A376&lt;Calculator!$G$19,0,MIN(MIN(MOD(A376/Calculator!$F$19,1),1-MOD(A376/Calculator!$F$19,1)),ABS(MOD(A376/Calculator!$F$19,1)-0.5))),1)</f>
        <v>1</v>
      </c>
      <c r="J376" s="219" t="n">
        <f aca="false">IF(Calculator!$E$20="YES",IF(A376&lt;Calculator!$G$20,0,MIN(MIN(MOD(A376/Calculator!$F$20,1),1-MOD(A376/Calculator!$F$20,1)),ABS(MOD(A376/Calculator!$F$20,1)-0.5))),1)</f>
        <v>1</v>
      </c>
      <c r="K376" s="219" t="n">
        <f aca="false">IF(Calculator!$E$21="YES",IF(A376&lt;Calculator!$G$21,0,MIN(MIN(MOD(A376/Calculator!$F$21,1),1-MOD(A376/Calculator!$F$21,1)),ABS(MOD(A376/Calculator!$F$21,1)-0.5))),1)</f>
        <v>0.0170877192982459</v>
      </c>
      <c r="L376" s="219" t="n">
        <f aca="false">IF(Calculator!$E$22="YES",IF(A376&lt;Calculator!$G$22,0,MIN(MIN(MOD(A376/Calculator!$F$22,1),1-MOD(A376/Calculator!$F$22,1)),ABS(MOD(A376/Calculator!$F$22,1)-0.5))),1)</f>
        <v>1</v>
      </c>
      <c r="M376" s="219" t="n">
        <f aca="false">MIN(B376:L376)</f>
        <v>0.0170877192982459</v>
      </c>
      <c r="N376" s="219" t="n">
        <f aca="false">SUMPRODUCT(($M$7:$M$557&gt;M376)*1)+SUMPRODUCT(($M$7:$M$557=M376)*(ROW($M$7:$M$557)&lt;ROW(M376)))+1</f>
        <v>412</v>
      </c>
      <c r="O376" s="219" t="str">
        <f aca="false">IF(M376&gt;=0.2,"★★★ EXCELLENT",IF(M376&gt;=0.12,"★★  GOOD",IF(M376&gt;=0.07,"★  FAIR",IF(M376&gt;=0.025,"⚠  MARGINAL","✗  AVOID"))))</f>
        <v>✗  AVOID</v>
      </c>
    </row>
    <row r="377" customFormat="false" ht="15" hidden="false" customHeight="true" outlineLevel="0" collapsed="false">
      <c r="A377" s="216" t="n">
        <v>42</v>
      </c>
      <c r="B377" s="217" t="n">
        <f aca="false">IF(Calculator!$E$12="YES",IF(A377&lt;Calculator!$G$12,0,MIN(MIN(MOD(A377/Calculator!$F$12,1),1-MOD(A377/Calculator!$F$12,1)),ABS(MOD(A377/Calculator!$F$12,1)-0.5))),1)</f>
        <v>1</v>
      </c>
      <c r="C377" s="217" t="n">
        <f aca="false">IF(Calculator!$E$13="YES",IF(A377&lt;Calculator!$G$13,0,MIN(MIN(MOD(A377/Calculator!$F$13,1),1-MOD(A377/Calculator!$F$13,1)),ABS(MOD(A377/Calculator!$F$13,1)-0.5))),1)</f>
        <v>1</v>
      </c>
      <c r="D377" s="217" t="n">
        <f aca="false">IF(Calculator!$E$14="YES",IF(A377&lt;Calculator!$G$14,0,MIN(MIN(MOD(A377/Calculator!$F$14,1),1-MOD(A377/Calculator!$F$14,1)),ABS(MOD(A377/Calculator!$F$14,1)-0.5))),1)</f>
        <v>1</v>
      </c>
      <c r="E377" s="217" t="n">
        <f aca="false">IF(Calculator!$E$15="YES",IF(A377&lt;Calculator!$G$15,0,MIN(MIN(MOD(A377/Calculator!$F$15,1),1-MOD(A377/Calculator!$F$15,1)),ABS(MOD(A377/Calculator!$F$15,1)-0.5))),1)</f>
        <v>0.107368421052632</v>
      </c>
      <c r="F377" s="217" t="n">
        <f aca="false">IF(Calculator!$E$16="YES",IF(A377&lt;Calculator!$G$16,0,MIN(MIN(MOD(A377/Calculator!$F$16,1),1-MOD(A377/Calculator!$F$16,1)),ABS(MOD(A377/Calculator!$F$16,1)-0.5))),1)</f>
        <v>1</v>
      </c>
      <c r="G377" s="217" t="n">
        <f aca="false">IF(Calculator!$E$17="YES",IF(A377&lt;Calculator!$G$17,0,MIN(MIN(MOD(A377/Calculator!$F$17,1),1-MOD(A377/Calculator!$F$17,1)),ABS(MOD(A377/Calculator!$F$17,1)-0.5))),1)</f>
        <v>0.177894736842106</v>
      </c>
      <c r="H377" s="217" t="n">
        <f aca="false">IF(Calculator!$E$18="YES",IF(A377&lt;Calculator!$G$18,0,MIN(MIN(MOD(A377/Calculator!$F$18,1),1-MOD(A377/Calculator!$F$18,1)),ABS(MOD(A377/Calculator!$F$18,1)-0.5))),1)</f>
        <v>1</v>
      </c>
      <c r="I377" s="217" t="n">
        <f aca="false">IF(Calculator!$E$19="YES",IF(A377&lt;Calculator!$G$19,0,MIN(MIN(MOD(A377/Calculator!$F$19,1),1-MOD(A377/Calculator!$F$19,1)),ABS(MOD(A377/Calculator!$F$19,1)-0.5))),1)</f>
        <v>1</v>
      </c>
      <c r="J377" s="217" t="n">
        <f aca="false">IF(Calculator!$E$20="YES",IF(A377&lt;Calculator!$G$20,0,MIN(MIN(MOD(A377/Calculator!$F$20,1),1-MOD(A377/Calculator!$F$20,1)),ABS(MOD(A377/Calculator!$F$20,1)-0.5))),1)</f>
        <v>1</v>
      </c>
      <c r="K377" s="217" t="n">
        <f aca="false">IF(Calculator!$E$21="YES",IF(A377&lt;Calculator!$G$21,0,MIN(MIN(MOD(A377/Calculator!$F$21,1),1-MOD(A377/Calculator!$F$21,1)),ABS(MOD(A377/Calculator!$F$21,1)-0.5))),1)</f>
        <v>0.00315789473684269</v>
      </c>
      <c r="L377" s="217" t="n">
        <f aca="false">IF(Calculator!$E$22="YES",IF(A377&lt;Calculator!$G$22,0,MIN(MIN(MOD(A377/Calculator!$F$22,1),1-MOD(A377/Calculator!$F$22,1)),ABS(MOD(A377/Calculator!$F$22,1)-0.5))),1)</f>
        <v>1</v>
      </c>
      <c r="M377" s="217" t="n">
        <f aca="false">MIN(B377:L377)</f>
        <v>0.00315789473684269</v>
      </c>
      <c r="N377" s="217" t="n">
        <f aca="false">SUMPRODUCT(($M$7:$M$557&gt;M377)*1)+SUMPRODUCT(($M$7:$M$557=M377)*(ROW($M$7:$M$557)&lt;ROW(M377)))+1</f>
        <v>483</v>
      </c>
      <c r="O377" s="217" t="str">
        <f aca="false">IF(M377&gt;=0.2,"★★★ EXCELLENT",IF(M377&gt;=0.12,"★★  GOOD",IF(M377&gt;=0.07,"★  FAIR",IF(M377&gt;=0.025,"⚠  MARGINAL","✗  AVOID"))))</f>
        <v>✗  AVOID</v>
      </c>
    </row>
    <row r="378" customFormat="false" ht="15" hidden="false" customHeight="true" outlineLevel="0" collapsed="false">
      <c r="A378" s="218" t="n">
        <v>42.1</v>
      </c>
      <c r="B378" s="219" t="n">
        <f aca="false">IF(Calculator!$E$12="YES",IF(A378&lt;Calculator!$G$12,0,MIN(MIN(MOD(A378/Calculator!$F$12,1),1-MOD(A378/Calculator!$F$12,1)),ABS(MOD(A378/Calculator!$F$12,1)-0.5))),1)</f>
        <v>1</v>
      </c>
      <c r="C378" s="219" t="n">
        <f aca="false">IF(Calculator!$E$13="YES",IF(A378&lt;Calculator!$G$13,0,MIN(MIN(MOD(A378/Calculator!$F$13,1),1-MOD(A378/Calculator!$F$13,1)),ABS(MOD(A378/Calculator!$F$13,1)-0.5))),1)</f>
        <v>1</v>
      </c>
      <c r="D378" s="219" t="n">
        <f aca="false">IF(Calculator!$E$14="YES",IF(A378&lt;Calculator!$G$14,0,MIN(MIN(MOD(A378/Calculator!$F$14,1),1-MOD(A378/Calculator!$F$14,1)),ABS(MOD(A378/Calculator!$F$14,1)-0.5))),1)</f>
        <v>1</v>
      </c>
      <c r="E378" s="219" t="n">
        <f aca="false">IF(Calculator!$E$15="YES",IF(A378&lt;Calculator!$G$15,0,MIN(MIN(MOD(A378/Calculator!$F$15,1),1-MOD(A378/Calculator!$F$15,1)),ABS(MOD(A378/Calculator!$F$15,1)-0.5))),1)</f>
        <v>0.112385964912281</v>
      </c>
      <c r="F378" s="219" t="n">
        <f aca="false">IF(Calculator!$E$16="YES",IF(A378&lt;Calculator!$G$16,0,MIN(MIN(MOD(A378/Calculator!$F$16,1),1-MOD(A378/Calculator!$F$16,1)),ABS(MOD(A378/Calculator!$F$16,1)-0.5))),1)</f>
        <v>1</v>
      </c>
      <c r="G378" s="219" t="n">
        <f aca="false">IF(Calculator!$E$17="YES",IF(A378&lt;Calculator!$G$17,0,MIN(MIN(MOD(A378/Calculator!$F$17,1),1-MOD(A378/Calculator!$F$17,1)),ABS(MOD(A378/Calculator!$F$17,1)-0.5))),1)</f>
        <v>0.187842105263158</v>
      </c>
      <c r="H378" s="219" t="n">
        <f aca="false">IF(Calculator!$E$18="YES",IF(A378&lt;Calculator!$G$18,0,MIN(MIN(MOD(A378/Calculator!$F$18,1),1-MOD(A378/Calculator!$F$18,1)),ABS(MOD(A378/Calculator!$F$18,1)-0.5))),1)</f>
        <v>1</v>
      </c>
      <c r="I378" s="219" t="n">
        <f aca="false">IF(Calculator!$E$19="YES",IF(A378&lt;Calculator!$G$19,0,MIN(MIN(MOD(A378/Calculator!$F$19,1),1-MOD(A378/Calculator!$F$19,1)),ABS(MOD(A378/Calculator!$F$19,1)-0.5))),1)</f>
        <v>1</v>
      </c>
      <c r="J378" s="219" t="n">
        <f aca="false">IF(Calculator!$E$20="YES",IF(A378&lt;Calculator!$G$20,0,MIN(MIN(MOD(A378/Calculator!$F$20,1),1-MOD(A378/Calculator!$F$20,1)),ABS(MOD(A378/Calculator!$F$20,1)-0.5))),1)</f>
        <v>1</v>
      </c>
      <c r="K378" s="219" t="n">
        <f aca="false">IF(Calculator!$E$21="YES",IF(A378&lt;Calculator!$G$21,0,MIN(MIN(MOD(A378/Calculator!$F$21,1),1-MOD(A378/Calculator!$F$21,1)),ABS(MOD(A378/Calculator!$F$21,1)-0.5))),1)</f>
        <v>0.0234035087719295</v>
      </c>
      <c r="L378" s="219" t="n">
        <f aca="false">IF(Calculator!$E$22="YES",IF(A378&lt;Calculator!$G$22,0,MIN(MIN(MOD(A378/Calculator!$F$22,1),1-MOD(A378/Calculator!$F$22,1)),ABS(MOD(A378/Calculator!$F$22,1)-0.5))),1)</f>
        <v>1</v>
      </c>
      <c r="M378" s="219" t="n">
        <f aca="false">MIN(B378:L378)</f>
        <v>0.0234035087719295</v>
      </c>
      <c r="N378" s="219" t="n">
        <f aca="false">SUMPRODUCT(($M$7:$M$557&gt;M378)*1)+SUMPRODUCT(($M$7:$M$557=M378)*(ROW($M$7:$M$557)&lt;ROW(M378)))+1</f>
        <v>389</v>
      </c>
      <c r="O378" s="219" t="str">
        <f aca="false">IF(M378&gt;=0.2,"★★★ EXCELLENT",IF(M378&gt;=0.12,"★★  GOOD",IF(M378&gt;=0.07,"★  FAIR",IF(M378&gt;=0.025,"⚠  MARGINAL","✗  AVOID"))))</f>
        <v>✗  AVOID</v>
      </c>
    </row>
    <row r="379" customFormat="false" ht="15" hidden="false" customHeight="true" outlineLevel="0" collapsed="false">
      <c r="A379" s="216" t="n">
        <v>42.2</v>
      </c>
      <c r="B379" s="217" t="n">
        <f aca="false">IF(Calculator!$E$12="YES",IF(A379&lt;Calculator!$G$12,0,MIN(MIN(MOD(A379/Calculator!$F$12,1),1-MOD(A379/Calculator!$F$12,1)),ABS(MOD(A379/Calculator!$F$12,1)-0.5))),1)</f>
        <v>1</v>
      </c>
      <c r="C379" s="217" t="n">
        <f aca="false">IF(Calculator!$E$13="YES",IF(A379&lt;Calculator!$G$13,0,MIN(MIN(MOD(A379/Calculator!$F$13,1),1-MOD(A379/Calculator!$F$13,1)),ABS(MOD(A379/Calculator!$F$13,1)-0.5))),1)</f>
        <v>1</v>
      </c>
      <c r="D379" s="217" t="n">
        <f aca="false">IF(Calculator!$E$14="YES",IF(A379&lt;Calculator!$G$14,0,MIN(MIN(MOD(A379/Calculator!$F$14,1),1-MOD(A379/Calculator!$F$14,1)),ABS(MOD(A379/Calculator!$F$14,1)-0.5))),1)</f>
        <v>1</v>
      </c>
      <c r="E379" s="217" t="n">
        <f aca="false">IF(Calculator!$E$15="YES",IF(A379&lt;Calculator!$G$15,0,MIN(MIN(MOD(A379/Calculator!$F$15,1),1-MOD(A379/Calculator!$F$15,1)),ABS(MOD(A379/Calculator!$F$15,1)-0.5))),1)</f>
        <v>0.11740350877193</v>
      </c>
      <c r="F379" s="217" t="n">
        <f aca="false">IF(Calculator!$E$16="YES",IF(A379&lt;Calculator!$G$16,0,MIN(MIN(MOD(A379/Calculator!$F$16,1),1-MOD(A379/Calculator!$F$16,1)),ABS(MOD(A379/Calculator!$F$16,1)-0.5))),1)</f>
        <v>1</v>
      </c>
      <c r="G379" s="217" t="n">
        <f aca="false">IF(Calculator!$E$17="YES",IF(A379&lt;Calculator!$G$17,0,MIN(MIN(MOD(A379/Calculator!$F$17,1),1-MOD(A379/Calculator!$F$17,1)),ABS(MOD(A379/Calculator!$F$17,1)-0.5))),1)</f>
        <v>0.197789473684211</v>
      </c>
      <c r="H379" s="217" t="n">
        <f aca="false">IF(Calculator!$E$18="YES",IF(A379&lt;Calculator!$G$18,0,MIN(MIN(MOD(A379/Calculator!$F$18,1),1-MOD(A379/Calculator!$F$18,1)),ABS(MOD(A379/Calculator!$F$18,1)-0.5))),1)</f>
        <v>1</v>
      </c>
      <c r="I379" s="217" t="n">
        <f aca="false">IF(Calculator!$E$19="YES",IF(A379&lt;Calculator!$G$19,0,MIN(MIN(MOD(A379/Calculator!$F$19,1),1-MOD(A379/Calculator!$F$19,1)),ABS(MOD(A379/Calculator!$F$19,1)-0.5))),1)</f>
        <v>1</v>
      </c>
      <c r="J379" s="217" t="n">
        <f aca="false">IF(Calculator!$E$20="YES",IF(A379&lt;Calculator!$G$20,0,MIN(MIN(MOD(A379/Calculator!$F$20,1),1-MOD(A379/Calculator!$F$20,1)),ABS(MOD(A379/Calculator!$F$20,1)-0.5))),1)</f>
        <v>1</v>
      </c>
      <c r="K379" s="217" t="n">
        <f aca="false">IF(Calculator!$E$21="YES",IF(A379&lt;Calculator!$G$21,0,MIN(MIN(MOD(A379/Calculator!$F$21,1),1-MOD(A379/Calculator!$F$21,1)),ABS(MOD(A379/Calculator!$F$21,1)-0.5))),1)</f>
        <v>0.0436491228070182</v>
      </c>
      <c r="L379" s="217" t="n">
        <f aca="false">IF(Calculator!$E$22="YES",IF(A379&lt;Calculator!$G$22,0,MIN(MIN(MOD(A379/Calculator!$F$22,1),1-MOD(A379/Calculator!$F$22,1)),ABS(MOD(A379/Calculator!$F$22,1)-0.5))),1)</f>
        <v>1</v>
      </c>
      <c r="M379" s="217" t="n">
        <f aca="false">MIN(B379:L379)</f>
        <v>0.0436491228070182</v>
      </c>
      <c r="N379" s="217" t="n">
        <f aca="false">SUMPRODUCT(($M$7:$M$557&gt;M379)*1)+SUMPRODUCT(($M$7:$M$557=M379)*(ROW($M$7:$M$557)&lt;ROW(M379)))+1</f>
        <v>308</v>
      </c>
      <c r="O379" s="217" t="str">
        <f aca="false">IF(M379&gt;=0.2,"★★★ EXCELLENT",IF(M379&gt;=0.12,"★★  GOOD",IF(M379&gt;=0.07,"★  FAIR",IF(M379&gt;=0.025,"⚠  MARGINAL","✗  AVOID"))))</f>
        <v>⚠  MARGINAL</v>
      </c>
    </row>
    <row r="380" customFormat="false" ht="15" hidden="false" customHeight="true" outlineLevel="0" collapsed="false">
      <c r="A380" s="218" t="n">
        <v>42.3</v>
      </c>
      <c r="B380" s="219" t="n">
        <f aca="false">IF(Calculator!$E$12="YES",IF(A380&lt;Calculator!$G$12,0,MIN(MIN(MOD(A380/Calculator!$F$12,1),1-MOD(A380/Calculator!$F$12,1)),ABS(MOD(A380/Calculator!$F$12,1)-0.5))),1)</f>
        <v>1</v>
      </c>
      <c r="C380" s="219" t="n">
        <f aca="false">IF(Calculator!$E$13="YES",IF(A380&lt;Calculator!$G$13,0,MIN(MIN(MOD(A380/Calculator!$F$13,1),1-MOD(A380/Calculator!$F$13,1)),ABS(MOD(A380/Calculator!$F$13,1)-0.5))),1)</f>
        <v>1</v>
      </c>
      <c r="D380" s="219" t="n">
        <f aca="false">IF(Calculator!$E$14="YES",IF(A380&lt;Calculator!$G$14,0,MIN(MIN(MOD(A380/Calculator!$F$14,1),1-MOD(A380/Calculator!$F$14,1)),ABS(MOD(A380/Calculator!$F$14,1)-0.5))),1)</f>
        <v>1</v>
      </c>
      <c r="E380" s="219" t="n">
        <f aca="false">IF(Calculator!$E$15="YES",IF(A380&lt;Calculator!$G$15,0,MIN(MIN(MOD(A380/Calculator!$F$15,1),1-MOD(A380/Calculator!$F$15,1)),ABS(MOD(A380/Calculator!$F$15,1)-0.5))),1)</f>
        <v>0.122421052631579</v>
      </c>
      <c r="F380" s="219" t="n">
        <f aca="false">IF(Calculator!$E$16="YES",IF(A380&lt;Calculator!$G$16,0,MIN(MIN(MOD(A380/Calculator!$F$16,1),1-MOD(A380/Calculator!$F$16,1)),ABS(MOD(A380/Calculator!$F$16,1)-0.5))),1)</f>
        <v>1</v>
      </c>
      <c r="G380" s="219" t="n">
        <f aca="false">IF(Calculator!$E$17="YES",IF(A380&lt;Calculator!$G$17,0,MIN(MIN(MOD(A380/Calculator!$F$17,1),1-MOD(A380/Calculator!$F$17,1)),ABS(MOD(A380/Calculator!$F$17,1)-0.5))),1)</f>
        <v>0.207736842105263</v>
      </c>
      <c r="H380" s="219" t="n">
        <f aca="false">IF(Calculator!$E$18="YES",IF(A380&lt;Calculator!$G$18,0,MIN(MIN(MOD(A380/Calculator!$F$18,1),1-MOD(A380/Calculator!$F$18,1)),ABS(MOD(A380/Calculator!$F$18,1)-0.5))),1)</f>
        <v>1</v>
      </c>
      <c r="I380" s="219" t="n">
        <f aca="false">IF(Calculator!$E$19="YES",IF(A380&lt;Calculator!$G$19,0,MIN(MIN(MOD(A380/Calculator!$F$19,1),1-MOD(A380/Calculator!$F$19,1)),ABS(MOD(A380/Calculator!$F$19,1)-0.5))),1)</f>
        <v>1</v>
      </c>
      <c r="J380" s="219" t="n">
        <f aca="false">IF(Calculator!$E$20="YES",IF(A380&lt;Calculator!$G$20,0,MIN(MIN(MOD(A380/Calculator!$F$20,1),1-MOD(A380/Calculator!$F$20,1)),ABS(MOD(A380/Calculator!$F$20,1)-0.5))),1)</f>
        <v>1</v>
      </c>
      <c r="K380" s="219" t="n">
        <f aca="false">IF(Calculator!$E$21="YES",IF(A380&lt;Calculator!$G$21,0,MIN(MIN(MOD(A380/Calculator!$F$21,1),1-MOD(A380/Calculator!$F$21,1)),ABS(MOD(A380/Calculator!$F$21,1)-0.5))),1)</f>
        <v>0.063894736842105</v>
      </c>
      <c r="L380" s="219" t="n">
        <f aca="false">IF(Calculator!$E$22="YES",IF(A380&lt;Calculator!$G$22,0,MIN(MIN(MOD(A380/Calculator!$F$22,1),1-MOD(A380/Calculator!$F$22,1)),ABS(MOD(A380/Calculator!$F$22,1)-0.5))),1)</f>
        <v>1</v>
      </c>
      <c r="M380" s="219" t="n">
        <f aca="false">MIN(B380:L380)</f>
        <v>0.063894736842105</v>
      </c>
      <c r="N380" s="219" t="n">
        <f aca="false">SUMPRODUCT(($M$7:$M$557&gt;M380)*1)+SUMPRODUCT(($M$7:$M$557=M380)*(ROW($M$7:$M$557)&lt;ROW(M380)))+1</f>
        <v>229</v>
      </c>
      <c r="O380" s="219" t="str">
        <f aca="false">IF(M380&gt;=0.2,"★★★ EXCELLENT",IF(M380&gt;=0.12,"★★  GOOD",IF(M380&gt;=0.07,"★  FAIR",IF(M380&gt;=0.025,"⚠  MARGINAL","✗  AVOID"))))</f>
        <v>⚠  MARGINAL</v>
      </c>
    </row>
    <row r="381" customFormat="false" ht="15" hidden="false" customHeight="true" outlineLevel="0" collapsed="false">
      <c r="A381" s="216" t="n">
        <v>42.4</v>
      </c>
      <c r="B381" s="217" t="n">
        <f aca="false">IF(Calculator!$E$12="YES",IF(A381&lt;Calculator!$G$12,0,MIN(MIN(MOD(A381/Calculator!$F$12,1),1-MOD(A381/Calculator!$F$12,1)),ABS(MOD(A381/Calculator!$F$12,1)-0.5))),1)</f>
        <v>1</v>
      </c>
      <c r="C381" s="217" t="n">
        <f aca="false">IF(Calculator!$E$13="YES",IF(A381&lt;Calculator!$G$13,0,MIN(MIN(MOD(A381/Calculator!$F$13,1),1-MOD(A381/Calculator!$F$13,1)),ABS(MOD(A381/Calculator!$F$13,1)-0.5))),1)</f>
        <v>1</v>
      </c>
      <c r="D381" s="217" t="n">
        <f aca="false">IF(Calculator!$E$14="YES",IF(A381&lt;Calculator!$G$14,0,MIN(MIN(MOD(A381/Calculator!$F$14,1),1-MOD(A381/Calculator!$F$14,1)),ABS(MOD(A381/Calculator!$F$14,1)-0.5))),1)</f>
        <v>1</v>
      </c>
      <c r="E381" s="217" t="n">
        <f aca="false">IF(Calculator!$E$15="YES",IF(A381&lt;Calculator!$G$15,0,MIN(MIN(MOD(A381/Calculator!$F$15,1),1-MOD(A381/Calculator!$F$15,1)),ABS(MOD(A381/Calculator!$F$15,1)-0.5))),1)</f>
        <v>0.127438596491228</v>
      </c>
      <c r="F381" s="217" t="n">
        <f aca="false">IF(Calculator!$E$16="YES",IF(A381&lt;Calculator!$G$16,0,MIN(MIN(MOD(A381/Calculator!$F$16,1),1-MOD(A381/Calculator!$F$16,1)),ABS(MOD(A381/Calculator!$F$16,1)-0.5))),1)</f>
        <v>1</v>
      </c>
      <c r="G381" s="217" t="n">
        <f aca="false">IF(Calculator!$E$17="YES",IF(A381&lt;Calculator!$G$17,0,MIN(MIN(MOD(A381/Calculator!$F$17,1),1-MOD(A381/Calculator!$F$17,1)),ABS(MOD(A381/Calculator!$F$17,1)-0.5))),1)</f>
        <v>0.217684210526316</v>
      </c>
      <c r="H381" s="217" t="n">
        <f aca="false">IF(Calculator!$E$18="YES",IF(A381&lt;Calculator!$G$18,0,MIN(MIN(MOD(A381/Calculator!$F$18,1),1-MOD(A381/Calculator!$F$18,1)),ABS(MOD(A381/Calculator!$F$18,1)-0.5))),1)</f>
        <v>1</v>
      </c>
      <c r="I381" s="217" t="n">
        <f aca="false">IF(Calculator!$E$19="YES",IF(A381&lt;Calculator!$G$19,0,MIN(MIN(MOD(A381/Calculator!$F$19,1),1-MOD(A381/Calculator!$F$19,1)),ABS(MOD(A381/Calculator!$F$19,1)-0.5))),1)</f>
        <v>1</v>
      </c>
      <c r="J381" s="217" t="n">
        <f aca="false">IF(Calculator!$E$20="YES",IF(A381&lt;Calculator!$G$20,0,MIN(MIN(MOD(A381/Calculator!$F$20,1),1-MOD(A381/Calculator!$F$20,1)),ABS(MOD(A381/Calculator!$F$20,1)-0.5))),1)</f>
        <v>1</v>
      </c>
      <c r="K381" s="217" t="n">
        <f aca="false">IF(Calculator!$E$21="YES",IF(A381&lt;Calculator!$G$21,0,MIN(MIN(MOD(A381/Calculator!$F$21,1),1-MOD(A381/Calculator!$F$21,1)),ABS(MOD(A381/Calculator!$F$21,1)-0.5))),1)</f>
        <v>0.0841403508771919</v>
      </c>
      <c r="L381" s="217" t="n">
        <f aca="false">IF(Calculator!$E$22="YES",IF(A381&lt;Calculator!$G$22,0,MIN(MIN(MOD(A381/Calculator!$F$22,1),1-MOD(A381/Calculator!$F$22,1)),ABS(MOD(A381/Calculator!$F$22,1)-0.5))),1)</f>
        <v>1</v>
      </c>
      <c r="M381" s="217" t="n">
        <f aca="false">MIN(B381:L381)</f>
        <v>0.0841403508771919</v>
      </c>
      <c r="N381" s="217" t="n">
        <f aca="false">SUMPRODUCT(($M$7:$M$557&gt;M381)*1)+SUMPRODUCT(($M$7:$M$557=M381)*(ROW($M$7:$M$557)&lt;ROW(M381)))+1</f>
        <v>153</v>
      </c>
      <c r="O381" s="217" t="str">
        <f aca="false">IF(M381&gt;=0.2,"★★★ EXCELLENT",IF(M381&gt;=0.12,"★★  GOOD",IF(M381&gt;=0.07,"★  FAIR",IF(M381&gt;=0.025,"⚠  MARGINAL","✗  AVOID"))))</f>
        <v>★  FAIR</v>
      </c>
    </row>
    <row r="382" customFormat="false" ht="15" hidden="false" customHeight="true" outlineLevel="0" collapsed="false">
      <c r="A382" s="218" t="n">
        <v>42.5</v>
      </c>
      <c r="B382" s="219" t="n">
        <f aca="false">IF(Calculator!$E$12="YES",IF(A382&lt;Calculator!$G$12,0,MIN(MIN(MOD(A382/Calculator!$F$12,1),1-MOD(A382/Calculator!$F$12,1)),ABS(MOD(A382/Calculator!$F$12,1)-0.5))),1)</f>
        <v>1</v>
      </c>
      <c r="C382" s="219" t="n">
        <f aca="false">IF(Calculator!$E$13="YES",IF(A382&lt;Calculator!$G$13,0,MIN(MIN(MOD(A382/Calculator!$F$13,1),1-MOD(A382/Calculator!$F$13,1)),ABS(MOD(A382/Calculator!$F$13,1)-0.5))),1)</f>
        <v>1</v>
      </c>
      <c r="D382" s="219" t="n">
        <f aca="false">IF(Calculator!$E$14="YES",IF(A382&lt;Calculator!$G$14,0,MIN(MIN(MOD(A382/Calculator!$F$14,1),1-MOD(A382/Calculator!$F$14,1)),ABS(MOD(A382/Calculator!$F$14,1)-0.5))),1)</f>
        <v>1</v>
      </c>
      <c r="E382" s="219" t="n">
        <f aca="false">IF(Calculator!$E$15="YES",IF(A382&lt;Calculator!$G$15,0,MIN(MIN(MOD(A382/Calculator!$F$15,1),1-MOD(A382/Calculator!$F$15,1)),ABS(MOD(A382/Calculator!$F$15,1)-0.5))),1)</f>
        <v>0.132456140350877</v>
      </c>
      <c r="F382" s="219" t="n">
        <f aca="false">IF(Calculator!$E$16="YES",IF(A382&lt;Calculator!$G$16,0,MIN(MIN(MOD(A382/Calculator!$F$16,1),1-MOD(A382/Calculator!$F$16,1)),ABS(MOD(A382/Calculator!$F$16,1)-0.5))),1)</f>
        <v>1</v>
      </c>
      <c r="G382" s="219" t="n">
        <f aca="false">IF(Calculator!$E$17="YES",IF(A382&lt;Calculator!$G$17,0,MIN(MIN(MOD(A382/Calculator!$F$17,1),1-MOD(A382/Calculator!$F$17,1)),ABS(MOD(A382/Calculator!$F$17,1)-0.5))),1)</f>
        <v>0.227631578947369</v>
      </c>
      <c r="H382" s="219" t="n">
        <f aca="false">IF(Calculator!$E$18="YES",IF(A382&lt;Calculator!$G$18,0,MIN(MIN(MOD(A382/Calculator!$F$18,1),1-MOD(A382/Calculator!$F$18,1)),ABS(MOD(A382/Calculator!$F$18,1)-0.5))),1)</f>
        <v>1</v>
      </c>
      <c r="I382" s="219" t="n">
        <f aca="false">IF(Calculator!$E$19="YES",IF(A382&lt;Calculator!$G$19,0,MIN(MIN(MOD(A382/Calculator!$F$19,1),1-MOD(A382/Calculator!$F$19,1)),ABS(MOD(A382/Calculator!$F$19,1)-0.5))),1)</f>
        <v>1</v>
      </c>
      <c r="J382" s="219" t="n">
        <f aca="false">IF(Calculator!$E$20="YES",IF(A382&lt;Calculator!$G$20,0,MIN(MIN(MOD(A382/Calculator!$F$20,1),1-MOD(A382/Calculator!$F$20,1)),ABS(MOD(A382/Calculator!$F$20,1)-0.5))),1)</f>
        <v>1</v>
      </c>
      <c r="K382" s="219" t="n">
        <f aca="false">IF(Calculator!$E$21="YES",IF(A382&lt;Calculator!$G$21,0,MIN(MIN(MOD(A382/Calculator!$F$21,1),1-MOD(A382/Calculator!$F$21,1)),ABS(MOD(A382/Calculator!$F$21,1)-0.5))),1)</f>
        <v>0.10438596491228</v>
      </c>
      <c r="L382" s="219" t="n">
        <f aca="false">IF(Calculator!$E$22="YES",IF(A382&lt;Calculator!$G$22,0,MIN(MIN(MOD(A382/Calculator!$F$22,1),1-MOD(A382/Calculator!$F$22,1)),ABS(MOD(A382/Calculator!$F$22,1)-0.5))),1)</f>
        <v>1</v>
      </c>
      <c r="M382" s="219" t="n">
        <f aca="false">MIN(B382:L382)</f>
        <v>0.10438596491228</v>
      </c>
      <c r="N382" s="219" t="n">
        <f aca="false">SUMPRODUCT(($M$7:$M$557&gt;M382)*1)+SUMPRODUCT(($M$7:$M$557=M382)*(ROW($M$7:$M$557)&lt;ROW(M382)))+1</f>
        <v>96</v>
      </c>
      <c r="O382" s="219" t="str">
        <f aca="false">IF(M382&gt;=0.2,"★★★ EXCELLENT",IF(M382&gt;=0.12,"★★  GOOD",IF(M382&gt;=0.07,"★  FAIR",IF(M382&gt;=0.025,"⚠  MARGINAL","✗  AVOID"))))</f>
        <v>★  FAIR</v>
      </c>
    </row>
    <row r="383" customFormat="false" ht="15" hidden="false" customHeight="true" outlineLevel="0" collapsed="false">
      <c r="A383" s="216" t="n">
        <v>42.6</v>
      </c>
      <c r="B383" s="217" t="n">
        <f aca="false">IF(Calculator!$E$12="YES",IF(A383&lt;Calculator!$G$12,0,MIN(MIN(MOD(A383/Calculator!$F$12,1),1-MOD(A383/Calculator!$F$12,1)),ABS(MOD(A383/Calculator!$F$12,1)-0.5))),1)</f>
        <v>1</v>
      </c>
      <c r="C383" s="217" t="n">
        <f aca="false">IF(Calculator!$E$13="YES",IF(A383&lt;Calculator!$G$13,0,MIN(MIN(MOD(A383/Calculator!$F$13,1),1-MOD(A383/Calculator!$F$13,1)),ABS(MOD(A383/Calculator!$F$13,1)-0.5))),1)</f>
        <v>1</v>
      </c>
      <c r="D383" s="217" t="n">
        <f aca="false">IF(Calculator!$E$14="YES",IF(A383&lt;Calculator!$G$14,0,MIN(MIN(MOD(A383/Calculator!$F$14,1),1-MOD(A383/Calculator!$F$14,1)),ABS(MOD(A383/Calculator!$F$14,1)-0.5))),1)</f>
        <v>1</v>
      </c>
      <c r="E383" s="217" t="n">
        <f aca="false">IF(Calculator!$E$15="YES",IF(A383&lt;Calculator!$G$15,0,MIN(MIN(MOD(A383/Calculator!$F$15,1),1-MOD(A383/Calculator!$F$15,1)),ABS(MOD(A383/Calculator!$F$15,1)-0.5))),1)</f>
        <v>0.137473684210526</v>
      </c>
      <c r="F383" s="217" t="n">
        <f aca="false">IF(Calculator!$E$16="YES",IF(A383&lt;Calculator!$G$16,0,MIN(MIN(MOD(A383/Calculator!$F$16,1),1-MOD(A383/Calculator!$F$16,1)),ABS(MOD(A383/Calculator!$F$16,1)-0.5))),1)</f>
        <v>1</v>
      </c>
      <c r="G383" s="217" t="n">
        <f aca="false">IF(Calculator!$E$17="YES",IF(A383&lt;Calculator!$G$17,0,MIN(MIN(MOD(A383/Calculator!$F$17,1),1-MOD(A383/Calculator!$F$17,1)),ABS(MOD(A383/Calculator!$F$17,1)-0.5))),1)</f>
        <v>0.237578947368421</v>
      </c>
      <c r="H383" s="217" t="n">
        <f aca="false">IF(Calculator!$E$18="YES",IF(A383&lt;Calculator!$G$18,0,MIN(MIN(MOD(A383/Calculator!$F$18,1),1-MOD(A383/Calculator!$F$18,1)),ABS(MOD(A383/Calculator!$F$18,1)-0.5))),1)</f>
        <v>1</v>
      </c>
      <c r="I383" s="217" t="n">
        <f aca="false">IF(Calculator!$E$19="YES",IF(A383&lt;Calculator!$G$19,0,MIN(MIN(MOD(A383/Calculator!$F$19,1),1-MOD(A383/Calculator!$F$19,1)),ABS(MOD(A383/Calculator!$F$19,1)-0.5))),1)</f>
        <v>1</v>
      </c>
      <c r="J383" s="217" t="n">
        <f aca="false">IF(Calculator!$E$20="YES",IF(A383&lt;Calculator!$G$20,0,MIN(MIN(MOD(A383/Calculator!$F$20,1),1-MOD(A383/Calculator!$F$20,1)),ABS(MOD(A383/Calculator!$F$20,1)-0.5))),1)</f>
        <v>1</v>
      </c>
      <c r="K383" s="217" t="n">
        <f aca="false">IF(Calculator!$E$21="YES",IF(A383&lt;Calculator!$G$21,0,MIN(MIN(MOD(A383/Calculator!$F$21,1),1-MOD(A383/Calculator!$F$21,1)),ABS(MOD(A383/Calculator!$F$21,1)-0.5))),1)</f>
        <v>0.124631578947369</v>
      </c>
      <c r="L383" s="217" t="n">
        <f aca="false">IF(Calculator!$E$22="YES",IF(A383&lt;Calculator!$G$22,0,MIN(MIN(MOD(A383/Calculator!$F$22,1),1-MOD(A383/Calculator!$F$22,1)),ABS(MOD(A383/Calculator!$F$22,1)-0.5))),1)</f>
        <v>1</v>
      </c>
      <c r="M383" s="217" t="n">
        <f aca="false">MIN(B383:L383)</f>
        <v>0.124631578947369</v>
      </c>
      <c r="N383" s="217" t="n">
        <f aca="false">SUMPRODUCT(($M$7:$M$557&gt;M383)*1)+SUMPRODUCT(($M$7:$M$557=M383)*(ROW($M$7:$M$557)&lt;ROW(M383)))+1</f>
        <v>62</v>
      </c>
      <c r="O383" s="217" t="str">
        <f aca="false">IF(M383&gt;=0.2,"★★★ EXCELLENT",IF(M383&gt;=0.12,"★★  GOOD",IF(M383&gt;=0.07,"★  FAIR",IF(M383&gt;=0.025,"⚠  MARGINAL","✗  AVOID"))))</f>
        <v>★★  GOOD</v>
      </c>
    </row>
    <row r="384" customFormat="false" ht="15" hidden="false" customHeight="true" outlineLevel="0" collapsed="false">
      <c r="A384" s="218" t="n">
        <v>42.7</v>
      </c>
      <c r="B384" s="219" t="n">
        <f aca="false">IF(Calculator!$E$12="YES",IF(A384&lt;Calculator!$G$12,0,MIN(MIN(MOD(A384/Calculator!$F$12,1),1-MOD(A384/Calculator!$F$12,1)),ABS(MOD(A384/Calculator!$F$12,1)-0.5))),1)</f>
        <v>1</v>
      </c>
      <c r="C384" s="219" t="n">
        <f aca="false">IF(Calculator!$E$13="YES",IF(A384&lt;Calculator!$G$13,0,MIN(MIN(MOD(A384/Calculator!$F$13,1),1-MOD(A384/Calculator!$F$13,1)),ABS(MOD(A384/Calculator!$F$13,1)-0.5))),1)</f>
        <v>1</v>
      </c>
      <c r="D384" s="219" t="n">
        <f aca="false">IF(Calculator!$E$14="YES",IF(A384&lt;Calculator!$G$14,0,MIN(MIN(MOD(A384/Calculator!$F$14,1),1-MOD(A384/Calculator!$F$14,1)),ABS(MOD(A384/Calculator!$F$14,1)-0.5))),1)</f>
        <v>1</v>
      </c>
      <c r="E384" s="219" t="n">
        <f aca="false">IF(Calculator!$E$15="YES",IF(A384&lt;Calculator!$G$15,0,MIN(MIN(MOD(A384/Calculator!$F$15,1),1-MOD(A384/Calculator!$F$15,1)),ABS(MOD(A384/Calculator!$F$15,1)-0.5))),1)</f>
        <v>0.142491228070176</v>
      </c>
      <c r="F384" s="219" t="n">
        <f aca="false">IF(Calculator!$E$16="YES",IF(A384&lt;Calculator!$G$16,0,MIN(MIN(MOD(A384/Calculator!$F$16,1),1-MOD(A384/Calculator!$F$16,1)),ABS(MOD(A384/Calculator!$F$16,1)-0.5))),1)</f>
        <v>1</v>
      </c>
      <c r="G384" s="219" t="n">
        <f aca="false">IF(Calculator!$E$17="YES",IF(A384&lt;Calculator!$G$17,0,MIN(MIN(MOD(A384/Calculator!$F$17,1),1-MOD(A384/Calculator!$F$17,1)),ABS(MOD(A384/Calculator!$F$17,1)-0.5))),1)</f>
        <v>0.247526315789474</v>
      </c>
      <c r="H384" s="219" t="n">
        <f aca="false">IF(Calculator!$E$18="YES",IF(A384&lt;Calculator!$G$18,0,MIN(MIN(MOD(A384/Calculator!$F$18,1),1-MOD(A384/Calculator!$F$18,1)),ABS(MOD(A384/Calculator!$F$18,1)-0.5))),1)</f>
        <v>1</v>
      </c>
      <c r="I384" s="219" t="n">
        <f aca="false">IF(Calculator!$E$19="YES",IF(A384&lt;Calculator!$G$19,0,MIN(MIN(MOD(A384/Calculator!$F$19,1),1-MOD(A384/Calculator!$F$19,1)),ABS(MOD(A384/Calculator!$F$19,1)-0.5))),1)</f>
        <v>1</v>
      </c>
      <c r="J384" s="219" t="n">
        <f aca="false">IF(Calculator!$E$20="YES",IF(A384&lt;Calculator!$G$20,0,MIN(MIN(MOD(A384/Calculator!$F$20,1),1-MOD(A384/Calculator!$F$20,1)),ABS(MOD(A384/Calculator!$F$20,1)-0.5))),1)</f>
        <v>1</v>
      </c>
      <c r="K384" s="219" t="n">
        <f aca="false">IF(Calculator!$E$21="YES",IF(A384&lt;Calculator!$G$21,0,MIN(MIN(MOD(A384/Calculator!$F$21,1),1-MOD(A384/Calculator!$F$21,1)),ABS(MOD(A384/Calculator!$F$21,1)-0.5))),1)</f>
        <v>0.144877192982456</v>
      </c>
      <c r="L384" s="219" t="n">
        <f aca="false">IF(Calculator!$E$22="YES",IF(A384&lt;Calculator!$G$22,0,MIN(MIN(MOD(A384/Calculator!$F$22,1),1-MOD(A384/Calculator!$F$22,1)),ABS(MOD(A384/Calculator!$F$22,1)-0.5))),1)</f>
        <v>1</v>
      </c>
      <c r="M384" s="219" t="n">
        <f aca="false">MIN(B384:L384)</f>
        <v>0.142491228070176</v>
      </c>
      <c r="N384" s="219" t="n">
        <f aca="false">SUMPRODUCT(($M$7:$M$557&gt;M384)*1)+SUMPRODUCT(($M$7:$M$557=M384)*(ROW($M$7:$M$557)&lt;ROW(M384)))+1</f>
        <v>43</v>
      </c>
      <c r="O384" s="219" t="str">
        <f aca="false">IF(M384&gt;=0.2,"★★★ EXCELLENT",IF(M384&gt;=0.12,"★★  GOOD",IF(M384&gt;=0.07,"★  FAIR",IF(M384&gt;=0.025,"⚠  MARGINAL","✗  AVOID"))))</f>
        <v>★★  GOOD</v>
      </c>
    </row>
    <row r="385" customFormat="false" ht="15" hidden="false" customHeight="true" outlineLevel="0" collapsed="false">
      <c r="A385" s="216" t="n">
        <v>42.8</v>
      </c>
      <c r="B385" s="217" t="n">
        <f aca="false">IF(Calculator!$E$12="YES",IF(A385&lt;Calculator!$G$12,0,MIN(MIN(MOD(A385/Calculator!$F$12,1),1-MOD(A385/Calculator!$F$12,1)),ABS(MOD(A385/Calculator!$F$12,1)-0.5))),1)</f>
        <v>1</v>
      </c>
      <c r="C385" s="217" t="n">
        <f aca="false">IF(Calculator!$E$13="YES",IF(A385&lt;Calculator!$G$13,0,MIN(MIN(MOD(A385/Calculator!$F$13,1),1-MOD(A385/Calculator!$F$13,1)),ABS(MOD(A385/Calculator!$F$13,1)-0.5))),1)</f>
        <v>1</v>
      </c>
      <c r="D385" s="217" t="n">
        <f aca="false">IF(Calculator!$E$14="YES",IF(A385&lt;Calculator!$G$14,0,MIN(MIN(MOD(A385/Calculator!$F$14,1),1-MOD(A385/Calculator!$F$14,1)),ABS(MOD(A385/Calculator!$F$14,1)-0.5))),1)</f>
        <v>1</v>
      </c>
      <c r="E385" s="217" t="n">
        <f aca="false">IF(Calculator!$E$15="YES",IF(A385&lt;Calculator!$G$15,0,MIN(MIN(MOD(A385/Calculator!$F$15,1),1-MOD(A385/Calculator!$F$15,1)),ABS(MOD(A385/Calculator!$F$15,1)-0.5))),1)</f>
        <v>0.147508771929824</v>
      </c>
      <c r="F385" s="217" t="n">
        <f aca="false">IF(Calculator!$E$16="YES",IF(A385&lt;Calculator!$G$16,0,MIN(MIN(MOD(A385/Calculator!$F$16,1),1-MOD(A385/Calculator!$F$16,1)),ABS(MOD(A385/Calculator!$F$16,1)-0.5))),1)</f>
        <v>1</v>
      </c>
      <c r="G385" s="217" t="n">
        <f aca="false">IF(Calculator!$E$17="YES",IF(A385&lt;Calculator!$G$17,0,MIN(MIN(MOD(A385/Calculator!$F$17,1),1-MOD(A385/Calculator!$F$17,1)),ABS(MOD(A385/Calculator!$F$17,1)-0.5))),1)</f>
        <v>0.242526315789473</v>
      </c>
      <c r="H385" s="217" t="n">
        <f aca="false">IF(Calculator!$E$18="YES",IF(A385&lt;Calculator!$G$18,0,MIN(MIN(MOD(A385/Calculator!$F$18,1),1-MOD(A385/Calculator!$F$18,1)),ABS(MOD(A385/Calculator!$F$18,1)-0.5))),1)</f>
        <v>1</v>
      </c>
      <c r="I385" s="217" t="n">
        <f aca="false">IF(Calculator!$E$19="YES",IF(A385&lt;Calculator!$G$19,0,MIN(MIN(MOD(A385/Calculator!$F$19,1),1-MOD(A385/Calculator!$F$19,1)),ABS(MOD(A385/Calculator!$F$19,1)-0.5))),1)</f>
        <v>1</v>
      </c>
      <c r="J385" s="217" t="n">
        <f aca="false">IF(Calculator!$E$20="YES",IF(A385&lt;Calculator!$G$20,0,MIN(MIN(MOD(A385/Calculator!$F$20,1),1-MOD(A385/Calculator!$F$20,1)),ABS(MOD(A385/Calculator!$F$20,1)-0.5))),1)</f>
        <v>1</v>
      </c>
      <c r="K385" s="217" t="n">
        <f aca="false">IF(Calculator!$E$21="YES",IF(A385&lt;Calculator!$G$21,0,MIN(MIN(MOD(A385/Calculator!$F$21,1),1-MOD(A385/Calculator!$F$21,1)),ABS(MOD(A385/Calculator!$F$21,1)-0.5))),1)</f>
        <v>0.165122807017543</v>
      </c>
      <c r="L385" s="217" t="n">
        <f aca="false">IF(Calculator!$E$22="YES",IF(A385&lt;Calculator!$G$22,0,MIN(MIN(MOD(A385/Calculator!$F$22,1),1-MOD(A385/Calculator!$F$22,1)),ABS(MOD(A385/Calculator!$F$22,1)-0.5))),1)</f>
        <v>1</v>
      </c>
      <c r="M385" s="217" t="n">
        <f aca="false">MIN(B385:L385)</f>
        <v>0.147508771929824</v>
      </c>
      <c r="N385" s="217" t="n">
        <f aca="false">SUMPRODUCT(($M$7:$M$557&gt;M385)*1)+SUMPRODUCT(($M$7:$M$557=M385)*(ROW($M$7:$M$557)&lt;ROW(M385)))+1</f>
        <v>40</v>
      </c>
      <c r="O385" s="217" t="str">
        <f aca="false">IF(M385&gt;=0.2,"★★★ EXCELLENT",IF(M385&gt;=0.12,"★★  GOOD",IF(M385&gt;=0.07,"★  FAIR",IF(M385&gt;=0.025,"⚠  MARGINAL","✗  AVOID"))))</f>
        <v>★★  GOOD</v>
      </c>
    </row>
    <row r="386" customFormat="false" ht="15" hidden="false" customHeight="true" outlineLevel="0" collapsed="false">
      <c r="A386" s="218" t="n">
        <v>42.9</v>
      </c>
      <c r="B386" s="219" t="n">
        <f aca="false">IF(Calculator!$E$12="YES",IF(A386&lt;Calculator!$G$12,0,MIN(MIN(MOD(A386/Calculator!$F$12,1),1-MOD(A386/Calculator!$F$12,1)),ABS(MOD(A386/Calculator!$F$12,1)-0.5))),1)</f>
        <v>1</v>
      </c>
      <c r="C386" s="219" t="n">
        <f aca="false">IF(Calculator!$E$13="YES",IF(A386&lt;Calculator!$G$13,0,MIN(MIN(MOD(A386/Calculator!$F$13,1),1-MOD(A386/Calculator!$F$13,1)),ABS(MOD(A386/Calculator!$F$13,1)-0.5))),1)</f>
        <v>1</v>
      </c>
      <c r="D386" s="219" t="n">
        <f aca="false">IF(Calculator!$E$14="YES",IF(A386&lt;Calculator!$G$14,0,MIN(MIN(MOD(A386/Calculator!$F$14,1),1-MOD(A386/Calculator!$F$14,1)),ABS(MOD(A386/Calculator!$F$14,1)-0.5))),1)</f>
        <v>1</v>
      </c>
      <c r="E386" s="219" t="n">
        <f aca="false">IF(Calculator!$E$15="YES",IF(A386&lt;Calculator!$G$15,0,MIN(MIN(MOD(A386/Calculator!$F$15,1),1-MOD(A386/Calculator!$F$15,1)),ABS(MOD(A386/Calculator!$F$15,1)-0.5))),1)</f>
        <v>0.152526315789474</v>
      </c>
      <c r="F386" s="219" t="n">
        <f aca="false">IF(Calculator!$E$16="YES",IF(A386&lt;Calculator!$G$16,0,MIN(MIN(MOD(A386/Calculator!$F$16,1),1-MOD(A386/Calculator!$F$16,1)),ABS(MOD(A386/Calculator!$F$16,1)-0.5))),1)</f>
        <v>1</v>
      </c>
      <c r="G386" s="219" t="n">
        <f aca="false">IF(Calculator!$E$17="YES",IF(A386&lt;Calculator!$G$17,0,MIN(MIN(MOD(A386/Calculator!$F$17,1),1-MOD(A386/Calculator!$F$17,1)),ABS(MOD(A386/Calculator!$F$17,1)-0.5))),1)</f>
        <v>0.232578947368421</v>
      </c>
      <c r="H386" s="219" t="n">
        <f aca="false">IF(Calculator!$E$18="YES",IF(A386&lt;Calculator!$G$18,0,MIN(MIN(MOD(A386/Calculator!$F$18,1),1-MOD(A386/Calculator!$F$18,1)),ABS(MOD(A386/Calculator!$F$18,1)-0.5))),1)</f>
        <v>1</v>
      </c>
      <c r="I386" s="219" t="n">
        <f aca="false">IF(Calculator!$E$19="YES",IF(A386&lt;Calculator!$G$19,0,MIN(MIN(MOD(A386/Calculator!$F$19,1),1-MOD(A386/Calculator!$F$19,1)),ABS(MOD(A386/Calculator!$F$19,1)-0.5))),1)</f>
        <v>1</v>
      </c>
      <c r="J386" s="219" t="n">
        <f aca="false">IF(Calculator!$E$20="YES",IF(A386&lt;Calculator!$G$20,0,MIN(MIN(MOD(A386/Calculator!$F$20,1),1-MOD(A386/Calculator!$F$20,1)),ABS(MOD(A386/Calculator!$F$20,1)-0.5))),1)</f>
        <v>1</v>
      </c>
      <c r="K386" s="219" t="n">
        <f aca="false">IF(Calculator!$E$21="YES",IF(A386&lt;Calculator!$G$21,0,MIN(MIN(MOD(A386/Calculator!$F$21,1),1-MOD(A386/Calculator!$F$21,1)),ABS(MOD(A386/Calculator!$F$21,1)-0.5))),1)</f>
        <v>0.185368421052631</v>
      </c>
      <c r="L386" s="219" t="n">
        <f aca="false">IF(Calculator!$E$22="YES",IF(A386&lt;Calculator!$G$22,0,MIN(MIN(MOD(A386/Calculator!$F$22,1),1-MOD(A386/Calculator!$F$22,1)),ABS(MOD(A386/Calculator!$F$22,1)-0.5))),1)</f>
        <v>1</v>
      </c>
      <c r="M386" s="219" t="n">
        <f aca="false">MIN(B386:L386)</f>
        <v>0.152526315789474</v>
      </c>
      <c r="N386" s="219" t="n">
        <f aca="false">SUMPRODUCT(($M$7:$M$557&gt;M386)*1)+SUMPRODUCT(($M$7:$M$557=M386)*(ROW($M$7:$M$557)&lt;ROW(M386)))+1</f>
        <v>33</v>
      </c>
      <c r="O386" s="219" t="str">
        <f aca="false">IF(M386&gt;=0.2,"★★★ EXCELLENT",IF(M386&gt;=0.12,"★★  GOOD",IF(M386&gt;=0.07,"★  FAIR",IF(M386&gt;=0.025,"⚠  MARGINAL","✗  AVOID"))))</f>
        <v>★★  GOOD</v>
      </c>
    </row>
    <row r="387" customFormat="false" ht="15" hidden="false" customHeight="true" outlineLevel="0" collapsed="false">
      <c r="A387" s="216" t="n">
        <v>43</v>
      </c>
      <c r="B387" s="217" t="n">
        <f aca="false">IF(Calculator!$E$12="YES",IF(A387&lt;Calculator!$G$12,0,MIN(MIN(MOD(A387/Calculator!$F$12,1),1-MOD(A387/Calculator!$F$12,1)),ABS(MOD(A387/Calculator!$F$12,1)-0.5))),1)</f>
        <v>1</v>
      </c>
      <c r="C387" s="217" t="n">
        <f aca="false">IF(Calculator!$E$13="YES",IF(A387&lt;Calculator!$G$13,0,MIN(MIN(MOD(A387/Calculator!$F$13,1),1-MOD(A387/Calculator!$F$13,1)),ABS(MOD(A387/Calculator!$F$13,1)-0.5))),1)</f>
        <v>1</v>
      </c>
      <c r="D387" s="217" t="n">
        <f aca="false">IF(Calculator!$E$14="YES",IF(A387&lt;Calculator!$G$14,0,MIN(MIN(MOD(A387/Calculator!$F$14,1),1-MOD(A387/Calculator!$F$14,1)),ABS(MOD(A387/Calculator!$F$14,1)-0.5))),1)</f>
        <v>1</v>
      </c>
      <c r="E387" s="217" t="n">
        <f aca="false">IF(Calculator!$E$15="YES",IF(A387&lt;Calculator!$G$15,0,MIN(MIN(MOD(A387/Calculator!$F$15,1),1-MOD(A387/Calculator!$F$15,1)),ABS(MOD(A387/Calculator!$F$15,1)-0.5))),1)</f>
        <v>0.157543859649123</v>
      </c>
      <c r="F387" s="217" t="n">
        <f aca="false">IF(Calculator!$E$16="YES",IF(A387&lt;Calculator!$G$16,0,MIN(MIN(MOD(A387/Calculator!$F$16,1),1-MOD(A387/Calculator!$F$16,1)),ABS(MOD(A387/Calculator!$F$16,1)-0.5))),1)</f>
        <v>1</v>
      </c>
      <c r="G387" s="217" t="n">
        <f aca="false">IF(Calculator!$E$17="YES",IF(A387&lt;Calculator!$G$17,0,MIN(MIN(MOD(A387/Calculator!$F$17,1),1-MOD(A387/Calculator!$F$17,1)),ABS(MOD(A387/Calculator!$F$17,1)-0.5))),1)</f>
        <v>0.222631578947368</v>
      </c>
      <c r="H387" s="217" t="n">
        <f aca="false">IF(Calculator!$E$18="YES",IF(A387&lt;Calculator!$G$18,0,MIN(MIN(MOD(A387/Calculator!$F$18,1),1-MOD(A387/Calculator!$F$18,1)),ABS(MOD(A387/Calculator!$F$18,1)-0.5))),1)</f>
        <v>1</v>
      </c>
      <c r="I387" s="217" t="n">
        <f aca="false">IF(Calculator!$E$19="YES",IF(A387&lt;Calculator!$G$19,0,MIN(MIN(MOD(A387/Calculator!$F$19,1),1-MOD(A387/Calculator!$F$19,1)),ABS(MOD(A387/Calculator!$F$19,1)-0.5))),1)</f>
        <v>1</v>
      </c>
      <c r="J387" s="217" t="n">
        <f aca="false">IF(Calculator!$E$20="YES",IF(A387&lt;Calculator!$G$20,0,MIN(MIN(MOD(A387/Calculator!$F$20,1),1-MOD(A387/Calculator!$F$20,1)),ABS(MOD(A387/Calculator!$F$20,1)-0.5))),1)</f>
        <v>1</v>
      </c>
      <c r="K387" s="217" t="n">
        <f aca="false">IF(Calculator!$E$21="YES",IF(A387&lt;Calculator!$G$21,0,MIN(MIN(MOD(A387/Calculator!$F$21,1),1-MOD(A387/Calculator!$F$21,1)),ABS(MOD(A387/Calculator!$F$21,1)-0.5))),1)</f>
        <v>0.20561403508772</v>
      </c>
      <c r="L387" s="217" t="n">
        <f aca="false">IF(Calculator!$E$22="YES",IF(A387&lt;Calculator!$G$22,0,MIN(MIN(MOD(A387/Calculator!$F$22,1),1-MOD(A387/Calculator!$F$22,1)),ABS(MOD(A387/Calculator!$F$22,1)-0.5))),1)</f>
        <v>1</v>
      </c>
      <c r="M387" s="217" t="n">
        <f aca="false">MIN(B387:L387)</f>
        <v>0.157543859649123</v>
      </c>
      <c r="N387" s="217" t="n">
        <f aca="false">SUMPRODUCT(($M$7:$M$557&gt;M387)*1)+SUMPRODUCT(($M$7:$M$557=M387)*(ROW($M$7:$M$557)&lt;ROW(M387)))+1</f>
        <v>27</v>
      </c>
      <c r="O387" s="217" t="str">
        <f aca="false">IF(M387&gt;=0.2,"★★★ EXCELLENT",IF(M387&gt;=0.12,"★★  GOOD",IF(M387&gt;=0.07,"★  FAIR",IF(M387&gt;=0.025,"⚠  MARGINAL","✗  AVOID"))))</f>
        <v>★★  GOOD</v>
      </c>
    </row>
    <row r="388" customFormat="false" ht="15" hidden="false" customHeight="true" outlineLevel="0" collapsed="false">
      <c r="A388" s="218" t="n">
        <v>43.1</v>
      </c>
      <c r="B388" s="219" t="n">
        <f aca="false">IF(Calculator!$E$12="YES",IF(A388&lt;Calculator!$G$12,0,MIN(MIN(MOD(A388/Calculator!$F$12,1),1-MOD(A388/Calculator!$F$12,1)),ABS(MOD(A388/Calculator!$F$12,1)-0.5))),1)</f>
        <v>1</v>
      </c>
      <c r="C388" s="219" t="n">
        <f aca="false">IF(Calculator!$E$13="YES",IF(A388&lt;Calculator!$G$13,0,MIN(MIN(MOD(A388/Calculator!$F$13,1),1-MOD(A388/Calculator!$F$13,1)),ABS(MOD(A388/Calculator!$F$13,1)-0.5))),1)</f>
        <v>1</v>
      </c>
      <c r="D388" s="219" t="n">
        <f aca="false">IF(Calculator!$E$14="YES",IF(A388&lt;Calculator!$G$14,0,MIN(MIN(MOD(A388/Calculator!$F$14,1),1-MOD(A388/Calculator!$F$14,1)),ABS(MOD(A388/Calculator!$F$14,1)-0.5))),1)</f>
        <v>1</v>
      </c>
      <c r="E388" s="219" t="n">
        <f aca="false">IF(Calculator!$E$15="YES",IF(A388&lt;Calculator!$G$15,0,MIN(MIN(MOD(A388/Calculator!$F$15,1),1-MOD(A388/Calculator!$F$15,1)),ABS(MOD(A388/Calculator!$F$15,1)-0.5))),1)</f>
        <v>0.162561403508772</v>
      </c>
      <c r="F388" s="219" t="n">
        <f aca="false">IF(Calculator!$E$16="YES",IF(A388&lt;Calculator!$G$16,0,MIN(MIN(MOD(A388/Calculator!$F$16,1),1-MOD(A388/Calculator!$F$16,1)),ABS(MOD(A388/Calculator!$F$16,1)-0.5))),1)</f>
        <v>1</v>
      </c>
      <c r="G388" s="219" t="n">
        <f aca="false">IF(Calculator!$E$17="YES",IF(A388&lt;Calculator!$G$17,0,MIN(MIN(MOD(A388/Calculator!$F$17,1),1-MOD(A388/Calculator!$F$17,1)),ABS(MOD(A388/Calculator!$F$17,1)-0.5))),1)</f>
        <v>0.212684210526315</v>
      </c>
      <c r="H388" s="219" t="n">
        <f aca="false">IF(Calculator!$E$18="YES",IF(A388&lt;Calculator!$G$18,0,MIN(MIN(MOD(A388/Calculator!$F$18,1),1-MOD(A388/Calculator!$F$18,1)),ABS(MOD(A388/Calculator!$F$18,1)-0.5))),1)</f>
        <v>1</v>
      </c>
      <c r="I388" s="219" t="n">
        <f aca="false">IF(Calculator!$E$19="YES",IF(A388&lt;Calculator!$G$19,0,MIN(MIN(MOD(A388/Calculator!$F$19,1),1-MOD(A388/Calculator!$F$19,1)),ABS(MOD(A388/Calculator!$F$19,1)-0.5))),1)</f>
        <v>1</v>
      </c>
      <c r="J388" s="219" t="n">
        <f aca="false">IF(Calculator!$E$20="YES",IF(A388&lt;Calculator!$G$20,0,MIN(MIN(MOD(A388/Calculator!$F$20,1),1-MOD(A388/Calculator!$F$20,1)),ABS(MOD(A388/Calculator!$F$20,1)-0.5))),1)</f>
        <v>1</v>
      </c>
      <c r="K388" s="219" t="n">
        <f aca="false">IF(Calculator!$E$21="YES",IF(A388&lt;Calculator!$G$21,0,MIN(MIN(MOD(A388/Calculator!$F$21,1),1-MOD(A388/Calculator!$F$21,1)),ABS(MOD(A388/Calculator!$F$21,1)-0.5))),1)</f>
        <v>0.225859649122807</v>
      </c>
      <c r="L388" s="219" t="n">
        <f aca="false">IF(Calculator!$E$22="YES",IF(A388&lt;Calculator!$G$22,0,MIN(MIN(MOD(A388/Calculator!$F$22,1),1-MOD(A388/Calculator!$F$22,1)),ABS(MOD(A388/Calculator!$F$22,1)-0.5))),1)</f>
        <v>1</v>
      </c>
      <c r="M388" s="219" t="n">
        <f aca="false">MIN(B388:L388)</f>
        <v>0.162561403508772</v>
      </c>
      <c r="N388" s="219" t="n">
        <f aca="false">SUMPRODUCT(($M$7:$M$557&gt;M388)*1)+SUMPRODUCT(($M$7:$M$557=M388)*(ROW($M$7:$M$557)&lt;ROW(M388)))+1</f>
        <v>20</v>
      </c>
      <c r="O388" s="219" t="str">
        <f aca="false">IF(M388&gt;=0.2,"★★★ EXCELLENT",IF(M388&gt;=0.12,"★★  GOOD",IF(M388&gt;=0.07,"★  FAIR",IF(M388&gt;=0.025,"⚠  MARGINAL","✗  AVOID"))))</f>
        <v>★★  GOOD</v>
      </c>
    </row>
    <row r="389" customFormat="false" ht="15" hidden="false" customHeight="true" outlineLevel="0" collapsed="false">
      <c r="A389" s="216" t="n">
        <v>43.2</v>
      </c>
      <c r="B389" s="217" t="n">
        <f aca="false">IF(Calculator!$E$12="YES",IF(A389&lt;Calculator!$G$12,0,MIN(MIN(MOD(A389/Calculator!$F$12,1),1-MOD(A389/Calculator!$F$12,1)),ABS(MOD(A389/Calculator!$F$12,1)-0.5))),1)</f>
        <v>1</v>
      </c>
      <c r="C389" s="217" t="n">
        <f aca="false">IF(Calculator!$E$13="YES",IF(A389&lt;Calculator!$G$13,0,MIN(MIN(MOD(A389/Calculator!$F$13,1),1-MOD(A389/Calculator!$F$13,1)),ABS(MOD(A389/Calculator!$F$13,1)-0.5))),1)</f>
        <v>1</v>
      </c>
      <c r="D389" s="217" t="n">
        <f aca="false">IF(Calculator!$E$14="YES",IF(A389&lt;Calculator!$G$14,0,MIN(MIN(MOD(A389/Calculator!$F$14,1),1-MOD(A389/Calculator!$F$14,1)),ABS(MOD(A389/Calculator!$F$14,1)-0.5))),1)</f>
        <v>1</v>
      </c>
      <c r="E389" s="217" t="n">
        <f aca="false">IF(Calculator!$E$15="YES",IF(A389&lt;Calculator!$G$15,0,MIN(MIN(MOD(A389/Calculator!$F$15,1),1-MOD(A389/Calculator!$F$15,1)),ABS(MOD(A389/Calculator!$F$15,1)-0.5))),1)</f>
        <v>0.167578947368421</v>
      </c>
      <c r="F389" s="217" t="n">
        <f aca="false">IF(Calculator!$E$16="YES",IF(A389&lt;Calculator!$G$16,0,MIN(MIN(MOD(A389/Calculator!$F$16,1),1-MOD(A389/Calculator!$F$16,1)),ABS(MOD(A389/Calculator!$F$16,1)-0.5))),1)</f>
        <v>1</v>
      </c>
      <c r="G389" s="217" t="n">
        <f aca="false">IF(Calculator!$E$17="YES",IF(A389&lt;Calculator!$G$17,0,MIN(MIN(MOD(A389/Calculator!$F$17,1),1-MOD(A389/Calculator!$F$17,1)),ABS(MOD(A389/Calculator!$F$17,1)-0.5))),1)</f>
        <v>0.202736842105263</v>
      </c>
      <c r="H389" s="217" t="n">
        <f aca="false">IF(Calculator!$E$18="YES",IF(A389&lt;Calculator!$G$18,0,MIN(MIN(MOD(A389/Calculator!$F$18,1),1-MOD(A389/Calculator!$F$18,1)),ABS(MOD(A389/Calculator!$F$18,1)-0.5))),1)</f>
        <v>1</v>
      </c>
      <c r="I389" s="217" t="n">
        <f aca="false">IF(Calculator!$E$19="YES",IF(A389&lt;Calculator!$G$19,0,MIN(MIN(MOD(A389/Calculator!$F$19,1),1-MOD(A389/Calculator!$F$19,1)),ABS(MOD(A389/Calculator!$F$19,1)-0.5))),1)</f>
        <v>1</v>
      </c>
      <c r="J389" s="217" t="n">
        <f aca="false">IF(Calculator!$E$20="YES",IF(A389&lt;Calculator!$G$20,0,MIN(MIN(MOD(A389/Calculator!$F$20,1),1-MOD(A389/Calculator!$F$20,1)),ABS(MOD(A389/Calculator!$F$20,1)-0.5))),1)</f>
        <v>1</v>
      </c>
      <c r="K389" s="217" t="n">
        <f aca="false">IF(Calculator!$E$21="YES",IF(A389&lt;Calculator!$G$21,0,MIN(MIN(MOD(A389/Calculator!$F$21,1),1-MOD(A389/Calculator!$F$21,1)),ABS(MOD(A389/Calculator!$F$21,1)-0.5))),1)</f>
        <v>0.246105263157896</v>
      </c>
      <c r="L389" s="217" t="n">
        <f aca="false">IF(Calculator!$E$22="YES",IF(A389&lt;Calculator!$G$22,0,MIN(MIN(MOD(A389/Calculator!$F$22,1),1-MOD(A389/Calculator!$F$22,1)),ABS(MOD(A389/Calculator!$F$22,1)-0.5))),1)</f>
        <v>1</v>
      </c>
      <c r="M389" s="217" t="n">
        <f aca="false">MIN(B389:L389)</f>
        <v>0.167578947368421</v>
      </c>
      <c r="N389" s="217" t="n">
        <f aca="false">SUMPRODUCT(($M$7:$M$557&gt;M389)*1)+SUMPRODUCT(($M$7:$M$557=M389)*(ROW($M$7:$M$557)&lt;ROW(M389)))+1</f>
        <v>13</v>
      </c>
      <c r="O389" s="217" t="str">
        <f aca="false">IF(M389&gt;=0.2,"★★★ EXCELLENT",IF(M389&gt;=0.12,"★★  GOOD",IF(M389&gt;=0.07,"★  FAIR",IF(M389&gt;=0.025,"⚠  MARGINAL","✗  AVOID"))))</f>
        <v>★★  GOOD</v>
      </c>
    </row>
    <row r="390" customFormat="false" ht="15" hidden="false" customHeight="true" outlineLevel="0" collapsed="false">
      <c r="A390" s="218" t="n">
        <v>43.3</v>
      </c>
      <c r="B390" s="219" t="n">
        <f aca="false">IF(Calculator!$E$12="YES",IF(A390&lt;Calculator!$G$12,0,MIN(MIN(MOD(A390/Calculator!$F$12,1),1-MOD(A390/Calculator!$F$12,1)),ABS(MOD(A390/Calculator!$F$12,1)-0.5))),1)</f>
        <v>1</v>
      </c>
      <c r="C390" s="219" t="n">
        <f aca="false">IF(Calculator!$E$13="YES",IF(A390&lt;Calculator!$G$13,0,MIN(MIN(MOD(A390/Calculator!$F$13,1),1-MOD(A390/Calculator!$F$13,1)),ABS(MOD(A390/Calculator!$F$13,1)-0.5))),1)</f>
        <v>1</v>
      </c>
      <c r="D390" s="219" t="n">
        <f aca="false">IF(Calculator!$E$14="YES",IF(A390&lt;Calculator!$G$14,0,MIN(MIN(MOD(A390/Calculator!$F$14,1),1-MOD(A390/Calculator!$F$14,1)),ABS(MOD(A390/Calculator!$F$14,1)-0.5))),1)</f>
        <v>1</v>
      </c>
      <c r="E390" s="219" t="n">
        <f aca="false">IF(Calculator!$E$15="YES",IF(A390&lt;Calculator!$G$15,0,MIN(MIN(MOD(A390/Calculator!$F$15,1),1-MOD(A390/Calculator!$F$15,1)),ABS(MOD(A390/Calculator!$F$15,1)-0.5))),1)</f>
        <v>0.17259649122807</v>
      </c>
      <c r="F390" s="219" t="n">
        <f aca="false">IF(Calculator!$E$16="YES",IF(A390&lt;Calculator!$G$16,0,MIN(MIN(MOD(A390/Calculator!$F$16,1),1-MOD(A390/Calculator!$F$16,1)),ABS(MOD(A390/Calculator!$F$16,1)-0.5))),1)</f>
        <v>1</v>
      </c>
      <c r="G390" s="219" t="n">
        <f aca="false">IF(Calculator!$E$17="YES",IF(A390&lt;Calculator!$G$17,0,MIN(MIN(MOD(A390/Calculator!$F$17,1),1-MOD(A390/Calculator!$F$17,1)),ABS(MOD(A390/Calculator!$F$17,1)-0.5))),1)</f>
        <v>0.19278947368421</v>
      </c>
      <c r="H390" s="219" t="n">
        <f aca="false">IF(Calculator!$E$18="YES",IF(A390&lt;Calculator!$G$18,0,MIN(MIN(MOD(A390/Calculator!$F$18,1),1-MOD(A390/Calculator!$F$18,1)),ABS(MOD(A390/Calculator!$F$18,1)-0.5))),1)</f>
        <v>1</v>
      </c>
      <c r="I390" s="219" t="n">
        <f aca="false">IF(Calculator!$E$19="YES",IF(A390&lt;Calculator!$G$19,0,MIN(MIN(MOD(A390/Calculator!$F$19,1),1-MOD(A390/Calculator!$F$19,1)),ABS(MOD(A390/Calculator!$F$19,1)-0.5))),1)</f>
        <v>1</v>
      </c>
      <c r="J390" s="219" t="n">
        <f aca="false">IF(Calculator!$E$20="YES",IF(A390&lt;Calculator!$G$20,0,MIN(MIN(MOD(A390/Calculator!$F$20,1),1-MOD(A390/Calculator!$F$20,1)),ABS(MOD(A390/Calculator!$F$20,1)-0.5))),1)</f>
        <v>1</v>
      </c>
      <c r="K390" s="219" t="n">
        <f aca="false">IF(Calculator!$E$21="YES",IF(A390&lt;Calculator!$G$21,0,MIN(MIN(MOD(A390/Calculator!$F$21,1),1-MOD(A390/Calculator!$F$21,1)),ABS(MOD(A390/Calculator!$F$21,1)-0.5))),1)</f>
        <v>0.233649122807018</v>
      </c>
      <c r="L390" s="219" t="n">
        <f aca="false">IF(Calculator!$E$22="YES",IF(A390&lt;Calculator!$G$22,0,MIN(MIN(MOD(A390/Calculator!$F$22,1),1-MOD(A390/Calculator!$F$22,1)),ABS(MOD(A390/Calculator!$F$22,1)-0.5))),1)</f>
        <v>1</v>
      </c>
      <c r="M390" s="219" t="n">
        <f aca="false">MIN(B390:L390)</f>
        <v>0.17259649122807</v>
      </c>
      <c r="N390" s="219" t="n">
        <f aca="false">SUMPRODUCT(($M$7:$M$557&gt;M390)*1)+SUMPRODUCT(($M$7:$M$557=M390)*(ROW($M$7:$M$557)&lt;ROW(M390)))+1</f>
        <v>6</v>
      </c>
      <c r="O390" s="219" t="str">
        <f aca="false">IF(M390&gt;=0.2,"★★★ EXCELLENT",IF(M390&gt;=0.12,"★★  GOOD",IF(M390&gt;=0.07,"★  FAIR",IF(M390&gt;=0.025,"⚠  MARGINAL","✗  AVOID"))))</f>
        <v>★★  GOOD</v>
      </c>
    </row>
    <row r="391" customFormat="false" ht="15" hidden="false" customHeight="true" outlineLevel="0" collapsed="false">
      <c r="A391" s="216" t="n">
        <v>43.4</v>
      </c>
      <c r="B391" s="217" t="n">
        <f aca="false">IF(Calculator!$E$12="YES",IF(A391&lt;Calculator!$G$12,0,MIN(MIN(MOD(A391/Calculator!$F$12,1),1-MOD(A391/Calculator!$F$12,1)),ABS(MOD(A391/Calculator!$F$12,1)-0.5))),1)</f>
        <v>1</v>
      </c>
      <c r="C391" s="217" t="n">
        <f aca="false">IF(Calculator!$E$13="YES",IF(A391&lt;Calculator!$G$13,0,MIN(MIN(MOD(A391/Calculator!$F$13,1),1-MOD(A391/Calculator!$F$13,1)),ABS(MOD(A391/Calculator!$F$13,1)-0.5))),1)</f>
        <v>1</v>
      </c>
      <c r="D391" s="217" t="n">
        <f aca="false">IF(Calculator!$E$14="YES",IF(A391&lt;Calculator!$G$14,0,MIN(MIN(MOD(A391/Calculator!$F$14,1),1-MOD(A391/Calculator!$F$14,1)),ABS(MOD(A391/Calculator!$F$14,1)-0.5))),1)</f>
        <v>1</v>
      </c>
      <c r="E391" s="217" t="n">
        <f aca="false">IF(Calculator!$E$15="YES",IF(A391&lt;Calculator!$G$15,0,MIN(MIN(MOD(A391/Calculator!$F$15,1),1-MOD(A391/Calculator!$F$15,1)),ABS(MOD(A391/Calculator!$F$15,1)-0.5))),1)</f>
        <v>0.177614035087719</v>
      </c>
      <c r="F391" s="217" t="n">
        <f aca="false">IF(Calculator!$E$16="YES",IF(A391&lt;Calculator!$G$16,0,MIN(MIN(MOD(A391/Calculator!$F$16,1),1-MOD(A391/Calculator!$F$16,1)),ABS(MOD(A391/Calculator!$F$16,1)-0.5))),1)</f>
        <v>1</v>
      </c>
      <c r="G391" s="217" t="n">
        <f aca="false">IF(Calculator!$E$17="YES",IF(A391&lt;Calculator!$G$17,0,MIN(MIN(MOD(A391/Calculator!$F$17,1),1-MOD(A391/Calculator!$F$17,1)),ABS(MOD(A391/Calculator!$F$17,1)-0.5))),1)</f>
        <v>0.182842105263158</v>
      </c>
      <c r="H391" s="217" t="n">
        <f aca="false">IF(Calculator!$E$18="YES",IF(A391&lt;Calculator!$G$18,0,MIN(MIN(MOD(A391/Calculator!$F$18,1),1-MOD(A391/Calculator!$F$18,1)),ABS(MOD(A391/Calculator!$F$18,1)-0.5))),1)</f>
        <v>1</v>
      </c>
      <c r="I391" s="217" t="n">
        <f aca="false">IF(Calculator!$E$19="YES",IF(A391&lt;Calculator!$G$19,0,MIN(MIN(MOD(A391/Calculator!$F$19,1),1-MOD(A391/Calculator!$F$19,1)),ABS(MOD(A391/Calculator!$F$19,1)-0.5))),1)</f>
        <v>1</v>
      </c>
      <c r="J391" s="217" t="n">
        <f aca="false">IF(Calculator!$E$20="YES",IF(A391&lt;Calculator!$G$20,0,MIN(MIN(MOD(A391/Calculator!$F$20,1),1-MOD(A391/Calculator!$F$20,1)),ABS(MOD(A391/Calculator!$F$20,1)-0.5))),1)</f>
        <v>1</v>
      </c>
      <c r="K391" s="217" t="n">
        <f aca="false">IF(Calculator!$E$21="YES",IF(A391&lt;Calculator!$G$21,0,MIN(MIN(MOD(A391/Calculator!$F$21,1),1-MOD(A391/Calculator!$F$21,1)),ABS(MOD(A391/Calculator!$F$21,1)-0.5))),1)</f>
        <v>0.213403508771931</v>
      </c>
      <c r="L391" s="217" t="n">
        <f aca="false">IF(Calculator!$E$22="YES",IF(A391&lt;Calculator!$G$22,0,MIN(MIN(MOD(A391/Calculator!$F$22,1),1-MOD(A391/Calculator!$F$22,1)),ABS(MOD(A391/Calculator!$F$22,1)-0.5))),1)</f>
        <v>1</v>
      </c>
      <c r="M391" s="217" t="n">
        <f aca="false">MIN(B391:L391)</f>
        <v>0.177614035087719</v>
      </c>
      <c r="N391" s="217" t="n">
        <f aca="false">SUMPRODUCT(($M$7:$M$557&gt;M391)*1)+SUMPRODUCT(($M$7:$M$557=M391)*(ROW($M$7:$M$557)&lt;ROW(M391)))+1</f>
        <v>2</v>
      </c>
      <c r="O391" s="217" t="str">
        <f aca="false">IF(M391&gt;=0.2,"★★★ EXCELLENT",IF(M391&gt;=0.12,"★★  GOOD",IF(M391&gt;=0.07,"★  FAIR",IF(M391&gt;=0.025,"⚠  MARGINAL","✗  AVOID"))))</f>
        <v>★★  GOOD</v>
      </c>
    </row>
    <row r="392" customFormat="false" ht="15" hidden="false" customHeight="true" outlineLevel="0" collapsed="false">
      <c r="A392" s="218" t="n">
        <v>43.5</v>
      </c>
      <c r="B392" s="219" t="n">
        <f aca="false">IF(Calculator!$E$12="YES",IF(A392&lt;Calculator!$G$12,0,MIN(MIN(MOD(A392/Calculator!$F$12,1),1-MOD(A392/Calculator!$F$12,1)),ABS(MOD(A392/Calculator!$F$12,1)-0.5))),1)</f>
        <v>1</v>
      </c>
      <c r="C392" s="219" t="n">
        <f aca="false">IF(Calculator!$E$13="YES",IF(A392&lt;Calculator!$G$13,0,MIN(MIN(MOD(A392/Calculator!$F$13,1),1-MOD(A392/Calculator!$F$13,1)),ABS(MOD(A392/Calculator!$F$13,1)-0.5))),1)</f>
        <v>1</v>
      </c>
      <c r="D392" s="219" t="n">
        <f aca="false">IF(Calculator!$E$14="YES",IF(A392&lt;Calculator!$G$14,0,MIN(MIN(MOD(A392/Calculator!$F$14,1),1-MOD(A392/Calculator!$F$14,1)),ABS(MOD(A392/Calculator!$F$14,1)-0.5))),1)</f>
        <v>1</v>
      </c>
      <c r="E392" s="219" t="n">
        <f aca="false">IF(Calculator!$E$15="YES",IF(A392&lt;Calculator!$G$15,0,MIN(MIN(MOD(A392/Calculator!$F$15,1),1-MOD(A392/Calculator!$F$15,1)),ABS(MOD(A392/Calculator!$F$15,1)-0.5))),1)</f>
        <v>0.182631578947368</v>
      </c>
      <c r="F392" s="219" t="n">
        <f aca="false">IF(Calculator!$E$16="YES",IF(A392&lt;Calculator!$G$16,0,MIN(MIN(MOD(A392/Calculator!$F$16,1),1-MOD(A392/Calculator!$F$16,1)),ABS(MOD(A392/Calculator!$F$16,1)-0.5))),1)</f>
        <v>1</v>
      </c>
      <c r="G392" s="219" t="n">
        <f aca="false">IF(Calculator!$E$17="YES",IF(A392&lt;Calculator!$G$17,0,MIN(MIN(MOD(A392/Calculator!$F$17,1),1-MOD(A392/Calculator!$F$17,1)),ABS(MOD(A392/Calculator!$F$17,1)-0.5))),1)</f>
        <v>0.172894736842105</v>
      </c>
      <c r="H392" s="219" t="n">
        <f aca="false">IF(Calculator!$E$18="YES",IF(A392&lt;Calculator!$G$18,0,MIN(MIN(MOD(A392/Calculator!$F$18,1),1-MOD(A392/Calculator!$F$18,1)),ABS(MOD(A392/Calculator!$F$18,1)-0.5))),1)</f>
        <v>1</v>
      </c>
      <c r="I392" s="219" t="n">
        <f aca="false">IF(Calculator!$E$19="YES",IF(A392&lt;Calculator!$G$19,0,MIN(MIN(MOD(A392/Calculator!$F$19,1),1-MOD(A392/Calculator!$F$19,1)),ABS(MOD(A392/Calculator!$F$19,1)-0.5))),1)</f>
        <v>1</v>
      </c>
      <c r="J392" s="219" t="n">
        <f aca="false">IF(Calculator!$E$20="YES",IF(A392&lt;Calculator!$G$20,0,MIN(MIN(MOD(A392/Calculator!$F$20,1),1-MOD(A392/Calculator!$F$20,1)),ABS(MOD(A392/Calculator!$F$20,1)-0.5))),1)</f>
        <v>1</v>
      </c>
      <c r="K392" s="219" t="n">
        <f aca="false">IF(Calculator!$E$21="YES",IF(A392&lt;Calculator!$G$21,0,MIN(MIN(MOD(A392/Calculator!$F$21,1),1-MOD(A392/Calculator!$F$21,1)),ABS(MOD(A392/Calculator!$F$21,1)-0.5))),1)</f>
        <v>0.193157894736842</v>
      </c>
      <c r="L392" s="219" t="n">
        <f aca="false">IF(Calculator!$E$22="YES",IF(A392&lt;Calculator!$G$22,0,MIN(MIN(MOD(A392/Calculator!$F$22,1),1-MOD(A392/Calculator!$F$22,1)),ABS(MOD(A392/Calculator!$F$22,1)-0.5))),1)</f>
        <v>1</v>
      </c>
      <c r="M392" s="219" t="n">
        <f aca="false">MIN(B392:L392)</f>
        <v>0.172894736842105</v>
      </c>
      <c r="N392" s="219" t="n">
        <f aca="false">SUMPRODUCT(($M$7:$M$557&gt;M392)*1)+SUMPRODUCT(($M$7:$M$557=M392)*(ROW($M$7:$M$557)&lt;ROW(M392)))+1</f>
        <v>5</v>
      </c>
      <c r="O392" s="219" t="str">
        <f aca="false">IF(M392&gt;=0.2,"★★★ EXCELLENT",IF(M392&gt;=0.12,"★★  GOOD",IF(M392&gt;=0.07,"★  FAIR",IF(M392&gt;=0.025,"⚠  MARGINAL","✗  AVOID"))))</f>
        <v>★★  GOOD</v>
      </c>
    </row>
    <row r="393" customFormat="false" ht="15" hidden="false" customHeight="true" outlineLevel="0" collapsed="false">
      <c r="A393" s="216" t="n">
        <v>43.6</v>
      </c>
      <c r="B393" s="217" t="n">
        <f aca="false">IF(Calculator!$E$12="YES",IF(A393&lt;Calculator!$G$12,0,MIN(MIN(MOD(A393/Calculator!$F$12,1),1-MOD(A393/Calculator!$F$12,1)),ABS(MOD(A393/Calculator!$F$12,1)-0.5))),1)</f>
        <v>1</v>
      </c>
      <c r="C393" s="217" t="n">
        <f aca="false">IF(Calculator!$E$13="YES",IF(A393&lt;Calculator!$G$13,0,MIN(MIN(MOD(A393/Calculator!$F$13,1),1-MOD(A393/Calculator!$F$13,1)),ABS(MOD(A393/Calculator!$F$13,1)-0.5))),1)</f>
        <v>1</v>
      </c>
      <c r="D393" s="217" t="n">
        <f aca="false">IF(Calculator!$E$14="YES",IF(A393&lt;Calculator!$G$14,0,MIN(MIN(MOD(A393/Calculator!$F$14,1),1-MOD(A393/Calculator!$F$14,1)),ABS(MOD(A393/Calculator!$F$14,1)-0.5))),1)</f>
        <v>1</v>
      </c>
      <c r="E393" s="217" t="n">
        <f aca="false">IF(Calculator!$E$15="YES",IF(A393&lt;Calculator!$G$15,0,MIN(MIN(MOD(A393/Calculator!$F$15,1),1-MOD(A393/Calculator!$F$15,1)),ABS(MOD(A393/Calculator!$F$15,1)-0.5))),1)</f>
        <v>0.187649122807018</v>
      </c>
      <c r="F393" s="217" t="n">
        <f aca="false">IF(Calculator!$E$16="YES",IF(A393&lt;Calculator!$G$16,0,MIN(MIN(MOD(A393/Calculator!$F$16,1),1-MOD(A393/Calculator!$F$16,1)),ABS(MOD(A393/Calculator!$F$16,1)-0.5))),1)</f>
        <v>1</v>
      </c>
      <c r="G393" s="217" t="n">
        <f aca="false">IF(Calculator!$E$17="YES",IF(A393&lt;Calculator!$G$17,0,MIN(MIN(MOD(A393/Calculator!$F$17,1),1-MOD(A393/Calculator!$F$17,1)),ABS(MOD(A393/Calculator!$F$17,1)-0.5))),1)</f>
        <v>0.162947368421052</v>
      </c>
      <c r="H393" s="217" t="n">
        <f aca="false">IF(Calculator!$E$18="YES",IF(A393&lt;Calculator!$G$18,0,MIN(MIN(MOD(A393/Calculator!$F$18,1),1-MOD(A393/Calculator!$F$18,1)),ABS(MOD(A393/Calculator!$F$18,1)-0.5))),1)</f>
        <v>1</v>
      </c>
      <c r="I393" s="217" t="n">
        <f aca="false">IF(Calculator!$E$19="YES",IF(A393&lt;Calculator!$G$19,0,MIN(MIN(MOD(A393/Calculator!$F$19,1),1-MOD(A393/Calculator!$F$19,1)),ABS(MOD(A393/Calculator!$F$19,1)-0.5))),1)</f>
        <v>1</v>
      </c>
      <c r="J393" s="217" t="n">
        <f aca="false">IF(Calculator!$E$20="YES",IF(A393&lt;Calculator!$G$20,0,MIN(MIN(MOD(A393/Calculator!$F$20,1),1-MOD(A393/Calculator!$F$20,1)),ABS(MOD(A393/Calculator!$F$20,1)-0.5))),1)</f>
        <v>1</v>
      </c>
      <c r="K393" s="217" t="n">
        <f aca="false">IF(Calculator!$E$21="YES",IF(A393&lt;Calculator!$G$21,0,MIN(MIN(MOD(A393/Calculator!$F$21,1),1-MOD(A393/Calculator!$F$21,1)),ABS(MOD(A393/Calculator!$F$21,1)-0.5))),1)</f>
        <v>0.172912280701754</v>
      </c>
      <c r="L393" s="217" t="n">
        <f aca="false">IF(Calculator!$E$22="YES",IF(A393&lt;Calculator!$G$22,0,MIN(MIN(MOD(A393/Calculator!$F$22,1),1-MOD(A393/Calculator!$F$22,1)),ABS(MOD(A393/Calculator!$F$22,1)-0.5))),1)</f>
        <v>1</v>
      </c>
      <c r="M393" s="217" t="n">
        <f aca="false">MIN(B393:L393)</f>
        <v>0.162947368421052</v>
      </c>
      <c r="N393" s="217" t="n">
        <f aca="false">SUMPRODUCT(($M$7:$M$557&gt;M393)*1)+SUMPRODUCT(($M$7:$M$557=M393)*(ROW($M$7:$M$557)&lt;ROW(M393)))+1</f>
        <v>19</v>
      </c>
      <c r="O393" s="217" t="str">
        <f aca="false">IF(M393&gt;=0.2,"★★★ EXCELLENT",IF(M393&gt;=0.12,"★★  GOOD",IF(M393&gt;=0.07,"★  FAIR",IF(M393&gt;=0.025,"⚠  MARGINAL","✗  AVOID"))))</f>
        <v>★★  GOOD</v>
      </c>
    </row>
    <row r="394" customFormat="false" ht="15" hidden="false" customHeight="true" outlineLevel="0" collapsed="false">
      <c r="A394" s="218" t="n">
        <v>43.7</v>
      </c>
      <c r="B394" s="219" t="n">
        <f aca="false">IF(Calculator!$E$12="YES",IF(A394&lt;Calculator!$G$12,0,MIN(MIN(MOD(A394/Calculator!$F$12,1),1-MOD(A394/Calculator!$F$12,1)),ABS(MOD(A394/Calculator!$F$12,1)-0.5))),1)</f>
        <v>1</v>
      </c>
      <c r="C394" s="219" t="n">
        <f aca="false">IF(Calculator!$E$13="YES",IF(A394&lt;Calculator!$G$13,0,MIN(MIN(MOD(A394/Calculator!$F$13,1),1-MOD(A394/Calculator!$F$13,1)),ABS(MOD(A394/Calculator!$F$13,1)-0.5))),1)</f>
        <v>1</v>
      </c>
      <c r="D394" s="219" t="n">
        <f aca="false">IF(Calculator!$E$14="YES",IF(A394&lt;Calculator!$G$14,0,MIN(MIN(MOD(A394/Calculator!$F$14,1),1-MOD(A394/Calculator!$F$14,1)),ABS(MOD(A394/Calculator!$F$14,1)-0.5))),1)</f>
        <v>1</v>
      </c>
      <c r="E394" s="219" t="n">
        <f aca="false">IF(Calculator!$E$15="YES",IF(A394&lt;Calculator!$G$15,0,MIN(MIN(MOD(A394/Calculator!$F$15,1),1-MOD(A394/Calculator!$F$15,1)),ABS(MOD(A394/Calculator!$F$15,1)-0.5))),1)</f>
        <v>0.192666666666667</v>
      </c>
      <c r="F394" s="219" t="n">
        <f aca="false">IF(Calculator!$E$16="YES",IF(A394&lt;Calculator!$G$16,0,MIN(MIN(MOD(A394/Calculator!$F$16,1),1-MOD(A394/Calculator!$F$16,1)),ABS(MOD(A394/Calculator!$F$16,1)-0.5))),1)</f>
        <v>1</v>
      </c>
      <c r="G394" s="219" t="n">
        <f aca="false">IF(Calculator!$E$17="YES",IF(A394&lt;Calculator!$G$17,0,MIN(MIN(MOD(A394/Calculator!$F$17,1),1-MOD(A394/Calculator!$F$17,1)),ABS(MOD(A394/Calculator!$F$17,1)-0.5))),1)</f>
        <v>0.153</v>
      </c>
      <c r="H394" s="219" t="n">
        <f aca="false">IF(Calculator!$E$18="YES",IF(A394&lt;Calculator!$G$18,0,MIN(MIN(MOD(A394/Calculator!$F$18,1),1-MOD(A394/Calculator!$F$18,1)),ABS(MOD(A394/Calculator!$F$18,1)-0.5))),1)</f>
        <v>1</v>
      </c>
      <c r="I394" s="219" t="n">
        <f aca="false">IF(Calculator!$E$19="YES",IF(A394&lt;Calculator!$G$19,0,MIN(MIN(MOD(A394/Calculator!$F$19,1),1-MOD(A394/Calculator!$F$19,1)),ABS(MOD(A394/Calculator!$F$19,1)-0.5))),1)</f>
        <v>1</v>
      </c>
      <c r="J394" s="219" t="n">
        <f aca="false">IF(Calculator!$E$20="YES",IF(A394&lt;Calculator!$G$20,0,MIN(MIN(MOD(A394/Calculator!$F$20,1),1-MOD(A394/Calculator!$F$20,1)),ABS(MOD(A394/Calculator!$F$20,1)-0.5))),1)</f>
        <v>1</v>
      </c>
      <c r="K394" s="219" t="n">
        <f aca="false">IF(Calculator!$E$21="YES",IF(A394&lt;Calculator!$G$21,0,MIN(MIN(MOD(A394/Calculator!$F$21,1),1-MOD(A394/Calculator!$F$21,1)),ABS(MOD(A394/Calculator!$F$21,1)-0.5))),1)</f>
        <v>0.152666666666667</v>
      </c>
      <c r="L394" s="219" t="n">
        <f aca="false">IF(Calculator!$E$22="YES",IF(A394&lt;Calculator!$G$22,0,MIN(MIN(MOD(A394/Calculator!$F$22,1),1-MOD(A394/Calculator!$F$22,1)),ABS(MOD(A394/Calculator!$F$22,1)-0.5))),1)</f>
        <v>1</v>
      </c>
      <c r="M394" s="219" t="n">
        <f aca="false">MIN(B394:L394)</f>
        <v>0.152666666666667</v>
      </c>
      <c r="N394" s="219" t="n">
        <f aca="false">SUMPRODUCT(($M$7:$M$557&gt;M394)*1)+SUMPRODUCT(($M$7:$M$557=M394)*(ROW($M$7:$M$557)&lt;ROW(M394)))+1</f>
        <v>32</v>
      </c>
      <c r="O394" s="219" t="str">
        <f aca="false">IF(M394&gt;=0.2,"★★★ EXCELLENT",IF(M394&gt;=0.12,"★★  GOOD",IF(M394&gt;=0.07,"★  FAIR",IF(M394&gt;=0.025,"⚠  MARGINAL","✗  AVOID"))))</f>
        <v>★★  GOOD</v>
      </c>
    </row>
    <row r="395" customFormat="false" ht="15" hidden="false" customHeight="true" outlineLevel="0" collapsed="false">
      <c r="A395" s="216" t="n">
        <v>43.8</v>
      </c>
      <c r="B395" s="217" t="n">
        <f aca="false">IF(Calculator!$E$12="YES",IF(A395&lt;Calculator!$G$12,0,MIN(MIN(MOD(A395/Calculator!$F$12,1),1-MOD(A395/Calculator!$F$12,1)),ABS(MOD(A395/Calculator!$F$12,1)-0.5))),1)</f>
        <v>1</v>
      </c>
      <c r="C395" s="217" t="n">
        <f aca="false">IF(Calculator!$E$13="YES",IF(A395&lt;Calculator!$G$13,0,MIN(MIN(MOD(A395/Calculator!$F$13,1),1-MOD(A395/Calculator!$F$13,1)),ABS(MOD(A395/Calculator!$F$13,1)-0.5))),1)</f>
        <v>1</v>
      </c>
      <c r="D395" s="217" t="n">
        <f aca="false">IF(Calculator!$E$14="YES",IF(A395&lt;Calculator!$G$14,0,MIN(MIN(MOD(A395/Calculator!$F$14,1),1-MOD(A395/Calculator!$F$14,1)),ABS(MOD(A395/Calculator!$F$14,1)-0.5))),1)</f>
        <v>1</v>
      </c>
      <c r="E395" s="217" t="n">
        <f aca="false">IF(Calculator!$E$15="YES",IF(A395&lt;Calculator!$G$15,0,MIN(MIN(MOD(A395/Calculator!$F$15,1),1-MOD(A395/Calculator!$F$15,1)),ABS(MOD(A395/Calculator!$F$15,1)-0.5))),1)</f>
        <v>0.197684210526316</v>
      </c>
      <c r="F395" s="217" t="n">
        <f aca="false">IF(Calculator!$E$16="YES",IF(A395&lt;Calculator!$G$16,0,MIN(MIN(MOD(A395/Calculator!$F$16,1),1-MOD(A395/Calculator!$F$16,1)),ABS(MOD(A395/Calculator!$F$16,1)-0.5))),1)</f>
        <v>1</v>
      </c>
      <c r="G395" s="217" t="n">
        <f aca="false">IF(Calculator!$E$17="YES",IF(A395&lt;Calculator!$G$17,0,MIN(MIN(MOD(A395/Calculator!$F$17,1),1-MOD(A395/Calculator!$F$17,1)),ABS(MOD(A395/Calculator!$F$17,1)-0.5))),1)</f>
        <v>0.143052631578947</v>
      </c>
      <c r="H395" s="217" t="n">
        <f aca="false">IF(Calculator!$E$18="YES",IF(A395&lt;Calculator!$G$18,0,MIN(MIN(MOD(A395/Calculator!$F$18,1),1-MOD(A395/Calculator!$F$18,1)),ABS(MOD(A395/Calculator!$F$18,1)-0.5))),1)</f>
        <v>1</v>
      </c>
      <c r="I395" s="217" t="n">
        <f aca="false">IF(Calculator!$E$19="YES",IF(A395&lt;Calculator!$G$19,0,MIN(MIN(MOD(A395/Calculator!$F$19,1),1-MOD(A395/Calculator!$F$19,1)),ABS(MOD(A395/Calculator!$F$19,1)-0.5))),1)</f>
        <v>1</v>
      </c>
      <c r="J395" s="217" t="n">
        <f aca="false">IF(Calculator!$E$20="YES",IF(A395&lt;Calculator!$G$20,0,MIN(MIN(MOD(A395/Calculator!$F$20,1),1-MOD(A395/Calculator!$F$20,1)),ABS(MOD(A395/Calculator!$F$20,1)-0.5))),1)</f>
        <v>1</v>
      </c>
      <c r="K395" s="217" t="n">
        <f aca="false">IF(Calculator!$E$21="YES",IF(A395&lt;Calculator!$G$21,0,MIN(MIN(MOD(A395/Calculator!$F$21,1),1-MOD(A395/Calculator!$F$21,1)),ABS(MOD(A395/Calculator!$F$21,1)-0.5))),1)</f>
        <v>0.13242105263158</v>
      </c>
      <c r="L395" s="217" t="n">
        <f aca="false">IF(Calculator!$E$22="YES",IF(A395&lt;Calculator!$G$22,0,MIN(MIN(MOD(A395/Calculator!$F$22,1),1-MOD(A395/Calculator!$F$22,1)),ABS(MOD(A395/Calculator!$F$22,1)-0.5))),1)</f>
        <v>1</v>
      </c>
      <c r="M395" s="217" t="n">
        <f aca="false">MIN(B395:L395)</f>
        <v>0.13242105263158</v>
      </c>
      <c r="N395" s="217" t="n">
        <f aca="false">SUMPRODUCT(($M$7:$M$557&gt;M395)*1)+SUMPRODUCT(($M$7:$M$557=M395)*(ROW($M$7:$M$557)&lt;ROW(M395)))+1</f>
        <v>54</v>
      </c>
      <c r="O395" s="217" t="str">
        <f aca="false">IF(M395&gt;=0.2,"★★★ EXCELLENT",IF(M395&gt;=0.12,"★★  GOOD",IF(M395&gt;=0.07,"★  FAIR",IF(M395&gt;=0.025,"⚠  MARGINAL","✗  AVOID"))))</f>
        <v>★★  GOOD</v>
      </c>
    </row>
    <row r="396" customFormat="false" ht="15" hidden="false" customHeight="true" outlineLevel="0" collapsed="false">
      <c r="A396" s="218" t="n">
        <v>43.9</v>
      </c>
      <c r="B396" s="219" t="n">
        <f aca="false">IF(Calculator!$E$12="YES",IF(A396&lt;Calculator!$G$12,0,MIN(MIN(MOD(A396/Calculator!$F$12,1),1-MOD(A396/Calculator!$F$12,1)),ABS(MOD(A396/Calculator!$F$12,1)-0.5))),1)</f>
        <v>1</v>
      </c>
      <c r="C396" s="219" t="n">
        <f aca="false">IF(Calculator!$E$13="YES",IF(A396&lt;Calculator!$G$13,0,MIN(MIN(MOD(A396/Calculator!$F$13,1),1-MOD(A396/Calculator!$F$13,1)),ABS(MOD(A396/Calculator!$F$13,1)-0.5))),1)</f>
        <v>1</v>
      </c>
      <c r="D396" s="219" t="n">
        <f aca="false">IF(Calculator!$E$14="YES",IF(A396&lt;Calculator!$G$14,0,MIN(MIN(MOD(A396/Calculator!$F$14,1),1-MOD(A396/Calculator!$F$14,1)),ABS(MOD(A396/Calculator!$F$14,1)-0.5))),1)</f>
        <v>1</v>
      </c>
      <c r="E396" s="219" t="n">
        <f aca="false">IF(Calculator!$E$15="YES",IF(A396&lt;Calculator!$G$15,0,MIN(MIN(MOD(A396/Calculator!$F$15,1),1-MOD(A396/Calculator!$F$15,1)),ABS(MOD(A396/Calculator!$F$15,1)-0.5))),1)</f>
        <v>0.202701754385965</v>
      </c>
      <c r="F396" s="219" t="n">
        <f aca="false">IF(Calculator!$E$16="YES",IF(A396&lt;Calculator!$G$16,0,MIN(MIN(MOD(A396/Calculator!$F$16,1),1-MOD(A396/Calculator!$F$16,1)),ABS(MOD(A396/Calculator!$F$16,1)-0.5))),1)</f>
        <v>1</v>
      </c>
      <c r="G396" s="219" t="n">
        <f aca="false">IF(Calculator!$E$17="YES",IF(A396&lt;Calculator!$G$17,0,MIN(MIN(MOD(A396/Calculator!$F$17,1),1-MOD(A396/Calculator!$F$17,1)),ABS(MOD(A396/Calculator!$F$17,1)-0.5))),1)</f>
        <v>0.133105263157894</v>
      </c>
      <c r="H396" s="219" t="n">
        <f aca="false">IF(Calculator!$E$18="YES",IF(A396&lt;Calculator!$G$18,0,MIN(MIN(MOD(A396/Calculator!$F$18,1),1-MOD(A396/Calculator!$F$18,1)),ABS(MOD(A396/Calculator!$F$18,1)-0.5))),1)</f>
        <v>1</v>
      </c>
      <c r="I396" s="219" t="n">
        <f aca="false">IF(Calculator!$E$19="YES",IF(A396&lt;Calculator!$G$19,0,MIN(MIN(MOD(A396/Calculator!$F$19,1),1-MOD(A396/Calculator!$F$19,1)),ABS(MOD(A396/Calculator!$F$19,1)-0.5))),1)</f>
        <v>1</v>
      </c>
      <c r="J396" s="219" t="n">
        <f aca="false">IF(Calculator!$E$20="YES",IF(A396&lt;Calculator!$G$20,0,MIN(MIN(MOD(A396/Calculator!$F$20,1),1-MOD(A396/Calculator!$F$20,1)),ABS(MOD(A396/Calculator!$F$20,1)-0.5))),1)</f>
        <v>1</v>
      </c>
      <c r="K396" s="219" t="n">
        <f aca="false">IF(Calculator!$E$21="YES",IF(A396&lt;Calculator!$G$21,0,MIN(MIN(MOD(A396/Calculator!$F$21,1),1-MOD(A396/Calculator!$F$21,1)),ABS(MOD(A396/Calculator!$F$21,1)-0.5))),1)</f>
        <v>0.112175438596491</v>
      </c>
      <c r="L396" s="219" t="n">
        <f aca="false">IF(Calculator!$E$22="YES",IF(A396&lt;Calculator!$G$22,0,MIN(MIN(MOD(A396/Calculator!$F$22,1),1-MOD(A396/Calculator!$F$22,1)),ABS(MOD(A396/Calculator!$F$22,1)-0.5))),1)</f>
        <v>1</v>
      </c>
      <c r="M396" s="219" t="n">
        <f aca="false">MIN(B396:L396)</f>
        <v>0.112175438596491</v>
      </c>
      <c r="N396" s="219" t="n">
        <f aca="false">SUMPRODUCT(($M$7:$M$557&gt;M396)*1)+SUMPRODUCT(($M$7:$M$557=M396)*(ROW($M$7:$M$557)&lt;ROW(M396)))+1</f>
        <v>78</v>
      </c>
      <c r="O396" s="219" t="str">
        <f aca="false">IF(M396&gt;=0.2,"★★★ EXCELLENT",IF(M396&gt;=0.12,"★★  GOOD",IF(M396&gt;=0.07,"★  FAIR",IF(M396&gt;=0.025,"⚠  MARGINAL","✗  AVOID"))))</f>
        <v>★  FAIR</v>
      </c>
    </row>
    <row r="397" customFormat="false" ht="15" hidden="false" customHeight="true" outlineLevel="0" collapsed="false">
      <c r="A397" s="216" t="n">
        <v>44</v>
      </c>
      <c r="B397" s="217" t="n">
        <f aca="false">IF(Calculator!$E$12="YES",IF(A397&lt;Calculator!$G$12,0,MIN(MIN(MOD(A397/Calculator!$F$12,1),1-MOD(A397/Calculator!$F$12,1)),ABS(MOD(A397/Calculator!$F$12,1)-0.5))),1)</f>
        <v>1</v>
      </c>
      <c r="C397" s="217" t="n">
        <f aca="false">IF(Calculator!$E$13="YES",IF(A397&lt;Calculator!$G$13,0,MIN(MIN(MOD(A397/Calculator!$F$13,1),1-MOD(A397/Calculator!$F$13,1)),ABS(MOD(A397/Calculator!$F$13,1)-0.5))),1)</f>
        <v>1</v>
      </c>
      <c r="D397" s="217" t="n">
        <f aca="false">IF(Calculator!$E$14="YES",IF(A397&lt;Calculator!$G$14,0,MIN(MIN(MOD(A397/Calculator!$F$14,1),1-MOD(A397/Calculator!$F$14,1)),ABS(MOD(A397/Calculator!$F$14,1)-0.5))),1)</f>
        <v>1</v>
      </c>
      <c r="E397" s="217" t="n">
        <f aca="false">IF(Calculator!$E$15="YES",IF(A397&lt;Calculator!$G$15,0,MIN(MIN(MOD(A397/Calculator!$F$15,1),1-MOD(A397/Calculator!$F$15,1)),ABS(MOD(A397/Calculator!$F$15,1)-0.5))),1)</f>
        <v>0.207719298245614</v>
      </c>
      <c r="F397" s="217" t="n">
        <f aca="false">IF(Calculator!$E$16="YES",IF(A397&lt;Calculator!$G$16,0,MIN(MIN(MOD(A397/Calculator!$F$16,1),1-MOD(A397/Calculator!$F$16,1)),ABS(MOD(A397/Calculator!$F$16,1)-0.5))),1)</f>
        <v>1</v>
      </c>
      <c r="G397" s="217" t="n">
        <f aca="false">IF(Calculator!$E$17="YES",IF(A397&lt;Calculator!$G$17,0,MIN(MIN(MOD(A397/Calculator!$F$17,1),1-MOD(A397/Calculator!$F$17,1)),ABS(MOD(A397/Calculator!$F$17,1)-0.5))),1)</f>
        <v>0.123157894736842</v>
      </c>
      <c r="H397" s="217" t="n">
        <f aca="false">IF(Calculator!$E$18="YES",IF(A397&lt;Calculator!$G$18,0,MIN(MIN(MOD(A397/Calculator!$F$18,1),1-MOD(A397/Calculator!$F$18,1)),ABS(MOD(A397/Calculator!$F$18,1)-0.5))),1)</f>
        <v>1</v>
      </c>
      <c r="I397" s="217" t="n">
        <f aca="false">IF(Calculator!$E$19="YES",IF(A397&lt;Calculator!$G$19,0,MIN(MIN(MOD(A397/Calculator!$F$19,1),1-MOD(A397/Calculator!$F$19,1)),ABS(MOD(A397/Calculator!$F$19,1)-0.5))),1)</f>
        <v>1</v>
      </c>
      <c r="J397" s="217" t="n">
        <f aca="false">IF(Calculator!$E$20="YES",IF(A397&lt;Calculator!$G$20,0,MIN(MIN(MOD(A397/Calculator!$F$20,1),1-MOD(A397/Calculator!$F$20,1)),ABS(MOD(A397/Calculator!$F$20,1)-0.5))),1)</f>
        <v>1</v>
      </c>
      <c r="K397" s="217" t="n">
        <f aca="false">IF(Calculator!$E$21="YES",IF(A397&lt;Calculator!$G$21,0,MIN(MIN(MOD(A397/Calculator!$F$21,1),1-MOD(A397/Calculator!$F$21,1)),ABS(MOD(A397/Calculator!$F$21,1)-0.5))),1)</f>
        <v>0.0919298245614044</v>
      </c>
      <c r="L397" s="217" t="n">
        <f aca="false">IF(Calculator!$E$22="YES",IF(A397&lt;Calculator!$G$22,0,MIN(MIN(MOD(A397/Calculator!$F$22,1),1-MOD(A397/Calculator!$F$22,1)),ABS(MOD(A397/Calculator!$F$22,1)-0.5))),1)</f>
        <v>1</v>
      </c>
      <c r="M397" s="217" t="n">
        <f aca="false">MIN(B397:L397)</f>
        <v>0.0919298245614044</v>
      </c>
      <c r="N397" s="217" t="n">
        <f aca="false">SUMPRODUCT(($M$7:$M$557&gt;M397)*1)+SUMPRODUCT(($M$7:$M$557=M397)*(ROW($M$7:$M$557)&lt;ROW(M397)))+1</f>
        <v>126</v>
      </c>
      <c r="O397" s="217" t="str">
        <f aca="false">IF(M397&gt;=0.2,"★★★ EXCELLENT",IF(M397&gt;=0.12,"★★  GOOD",IF(M397&gt;=0.07,"★  FAIR",IF(M397&gt;=0.025,"⚠  MARGINAL","✗  AVOID"))))</f>
        <v>★  FAIR</v>
      </c>
    </row>
    <row r="398" customFormat="false" ht="15" hidden="false" customHeight="true" outlineLevel="0" collapsed="false">
      <c r="A398" s="218" t="n">
        <v>44.1</v>
      </c>
      <c r="B398" s="219" t="n">
        <f aca="false">IF(Calculator!$E$12="YES",IF(A398&lt;Calculator!$G$12,0,MIN(MIN(MOD(A398/Calculator!$F$12,1),1-MOD(A398/Calculator!$F$12,1)),ABS(MOD(A398/Calculator!$F$12,1)-0.5))),1)</f>
        <v>1</v>
      </c>
      <c r="C398" s="219" t="n">
        <f aca="false">IF(Calculator!$E$13="YES",IF(A398&lt;Calculator!$G$13,0,MIN(MIN(MOD(A398/Calculator!$F$13,1),1-MOD(A398/Calculator!$F$13,1)),ABS(MOD(A398/Calculator!$F$13,1)-0.5))),1)</f>
        <v>1</v>
      </c>
      <c r="D398" s="219" t="n">
        <f aca="false">IF(Calculator!$E$14="YES",IF(A398&lt;Calculator!$G$14,0,MIN(MIN(MOD(A398/Calculator!$F$14,1),1-MOD(A398/Calculator!$F$14,1)),ABS(MOD(A398/Calculator!$F$14,1)-0.5))),1)</f>
        <v>1</v>
      </c>
      <c r="E398" s="219" t="n">
        <f aca="false">IF(Calculator!$E$15="YES",IF(A398&lt;Calculator!$G$15,0,MIN(MIN(MOD(A398/Calculator!$F$15,1),1-MOD(A398/Calculator!$F$15,1)),ABS(MOD(A398/Calculator!$F$15,1)-0.5))),1)</f>
        <v>0.212736842105263</v>
      </c>
      <c r="F398" s="219" t="n">
        <f aca="false">IF(Calculator!$E$16="YES",IF(A398&lt;Calculator!$G$16,0,MIN(MIN(MOD(A398/Calculator!$F$16,1),1-MOD(A398/Calculator!$F$16,1)),ABS(MOD(A398/Calculator!$F$16,1)-0.5))),1)</f>
        <v>1</v>
      </c>
      <c r="G398" s="219" t="n">
        <f aca="false">IF(Calculator!$E$17="YES",IF(A398&lt;Calculator!$G$17,0,MIN(MIN(MOD(A398/Calculator!$F$17,1),1-MOD(A398/Calculator!$F$17,1)),ABS(MOD(A398/Calculator!$F$17,1)-0.5))),1)</f>
        <v>0.113210526315789</v>
      </c>
      <c r="H398" s="219" t="n">
        <f aca="false">IF(Calculator!$E$18="YES",IF(A398&lt;Calculator!$G$18,0,MIN(MIN(MOD(A398/Calculator!$F$18,1),1-MOD(A398/Calculator!$F$18,1)),ABS(MOD(A398/Calculator!$F$18,1)-0.5))),1)</f>
        <v>1</v>
      </c>
      <c r="I398" s="219" t="n">
        <f aca="false">IF(Calculator!$E$19="YES",IF(A398&lt;Calculator!$G$19,0,MIN(MIN(MOD(A398/Calculator!$F$19,1),1-MOD(A398/Calculator!$F$19,1)),ABS(MOD(A398/Calculator!$F$19,1)-0.5))),1)</f>
        <v>1</v>
      </c>
      <c r="J398" s="219" t="n">
        <f aca="false">IF(Calculator!$E$20="YES",IF(A398&lt;Calculator!$G$20,0,MIN(MIN(MOD(A398/Calculator!$F$20,1),1-MOD(A398/Calculator!$F$20,1)),ABS(MOD(A398/Calculator!$F$20,1)-0.5))),1)</f>
        <v>1</v>
      </c>
      <c r="K398" s="219" t="n">
        <f aca="false">IF(Calculator!$E$21="YES",IF(A398&lt;Calculator!$G$21,0,MIN(MIN(MOD(A398/Calculator!$F$21,1),1-MOD(A398/Calculator!$F$21,1)),ABS(MOD(A398/Calculator!$F$21,1)-0.5))),1)</f>
        <v>0.0716842105263158</v>
      </c>
      <c r="L398" s="219" t="n">
        <f aca="false">IF(Calculator!$E$22="YES",IF(A398&lt;Calculator!$G$22,0,MIN(MIN(MOD(A398/Calculator!$F$22,1),1-MOD(A398/Calculator!$F$22,1)),ABS(MOD(A398/Calculator!$F$22,1)-0.5))),1)</f>
        <v>1</v>
      </c>
      <c r="M398" s="219" t="n">
        <f aca="false">MIN(B398:L398)</f>
        <v>0.0716842105263158</v>
      </c>
      <c r="N398" s="219" t="n">
        <f aca="false">SUMPRODUCT(($M$7:$M$557&gt;M398)*1)+SUMPRODUCT(($M$7:$M$557=M398)*(ROW($M$7:$M$557)&lt;ROW(M398)))+1</f>
        <v>200</v>
      </c>
      <c r="O398" s="219" t="str">
        <f aca="false">IF(M398&gt;=0.2,"★★★ EXCELLENT",IF(M398&gt;=0.12,"★★  GOOD",IF(M398&gt;=0.07,"★  FAIR",IF(M398&gt;=0.025,"⚠  MARGINAL","✗  AVOID"))))</f>
        <v>★  FAIR</v>
      </c>
    </row>
    <row r="399" customFormat="false" ht="15" hidden="false" customHeight="true" outlineLevel="0" collapsed="false">
      <c r="A399" s="216" t="n">
        <v>44.2</v>
      </c>
      <c r="B399" s="217" t="n">
        <f aca="false">IF(Calculator!$E$12="YES",IF(A399&lt;Calculator!$G$12,0,MIN(MIN(MOD(A399/Calculator!$F$12,1),1-MOD(A399/Calculator!$F$12,1)),ABS(MOD(A399/Calculator!$F$12,1)-0.5))),1)</f>
        <v>1</v>
      </c>
      <c r="C399" s="217" t="n">
        <f aca="false">IF(Calculator!$E$13="YES",IF(A399&lt;Calculator!$G$13,0,MIN(MIN(MOD(A399/Calculator!$F$13,1),1-MOD(A399/Calculator!$F$13,1)),ABS(MOD(A399/Calculator!$F$13,1)-0.5))),1)</f>
        <v>1</v>
      </c>
      <c r="D399" s="217" t="n">
        <f aca="false">IF(Calculator!$E$14="YES",IF(A399&lt;Calculator!$G$14,0,MIN(MIN(MOD(A399/Calculator!$F$14,1),1-MOD(A399/Calculator!$F$14,1)),ABS(MOD(A399/Calculator!$F$14,1)-0.5))),1)</f>
        <v>1</v>
      </c>
      <c r="E399" s="217" t="n">
        <f aca="false">IF(Calculator!$E$15="YES",IF(A399&lt;Calculator!$G$15,0,MIN(MIN(MOD(A399/Calculator!$F$15,1),1-MOD(A399/Calculator!$F$15,1)),ABS(MOD(A399/Calculator!$F$15,1)-0.5))),1)</f>
        <v>0.217754385964912</v>
      </c>
      <c r="F399" s="217" t="n">
        <f aca="false">IF(Calculator!$E$16="YES",IF(A399&lt;Calculator!$G$16,0,MIN(MIN(MOD(A399/Calculator!$F$16,1),1-MOD(A399/Calculator!$F$16,1)),ABS(MOD(A399/Calculator!$F$16,1)-0.5))),1)</f>
        <v>1</v>
      </c>
      <c r="G399" s="217" t="n">
        <f aca="false">IF(Calculator!$E$17="YES",IF(A399&lt;Calculator!$G$17,0,MIN(MIN(MOD(A399/Calculator!$F$17,1),1-MOD(A399/Calculator!$F$17,1)),ABS(MOD(A399/Calculator!$F$17,1)-0.5))),1)</f>
        <v>0.103263157894737</v>
      </c>
      <c r="H399" s="217" t="n">
        <f aca="false">IF(Calculator!$E$18="YES",IF(A399&lt;Calculator!$G$18,0,MIN(MIN(MOD(A399/Calculator!$F$18,1),1-MOD(A399/Calculator!$F$18,1)),ABS(MOD(A399/Calculator!$F$18,1)-0.5))),1)</f>
        <v>1</v>
      </c>
      <c r="I399" s="217" t="n">
        <f aca="false">IF(Calculator!$E$19="YES",IF(A399&lt;Calculator!$G$19,0,MIN(MIN(MOD(A399/Calculator!$F$19,1),1-MOD(A399/Calculator!$F$19,1)),ABS(MOD(A399/Calculator!$F$19,1)-0.5))),1)</f>
        <v>1</v>
      </c>
      <c r="J399" s="217" t="n">
        <f aca="false">IF(Calculator!$E$20="YES",IF(A399&lt;Calculator!$G$20,0,MIN(MIN(MOD(A399/Calculator!$F$20,1),1-MOD(A399/Calculator!$F$20,1)),ABS(MOD(A399/Calculator!$F$20,1)-0.5))),1)</f>
        <v>1</v>
      </c>
      <c r="K399" s="217" t="n">
        <f aca="false">IF(Calculator!$E$21="YES",IF(A399&lt;Calculator!$G$21,0,MIN(MIN(MOD(A399/Calculator!$F$21,1),1-MOD(A399/Calculator!$F$21,1)),ABS(MOD(A399/Calculator!$F$21,1)-0.5))),1)</f>
        <v>0.0514385964912272</v>
      </c>
      <c r="L399" s="217" t="n">
        <f aca="false">IF(Calculator!$E$22="YES",IF(A399&lt;Calculator!$G$22,0,MIN(MIN(MOD(A399/Calculator!$F$22,1),1-MOD(A399/Calculator!$F$22,1)),ABS(MOD(A399/Calculator!$F$22,1)-0.5))),1)</f>
        <v>1</v>
      </c>
      <c r="M399" s="217" t="n">
        <f aca="false">MIN(B399:L399)</f>
        <v>0.0514385964912272</v>
      </c>
      <c r="N399" s="217" t="n">
        <f aca="false">SUMPRODUCT(($M$7:$M$557&gt;M399)*1)+SUMPRODUCT(($M$7:$M$557=M399)*(ROW($M$7:$M$557)&lt;ROW(M399)))+1</f>
        <v>279</v>
      </c>
      <c r="O399" s="217" t="str">
        <f aca="false">IF(M399&gt;=0.2,"★★★ EXCELLENT",IF(M399&gt;=0.12,"★★  GOOD",IF(M399&gt;=0.07,"★  FAIR",IF(M399&gt;=0.025,"⚠  MARGINAL","✗  AVOID"))))</f>
        <v>⚠  MARGINAL</v>
      </c>
    </row>
    <row r="400" customFormat="false" ht="15" hidden="false" customHeight="true" outlineLevel="0" collapsed="false">
      <c r="A400" s="218" t="n">
        <v>44.3</v>
      </c>
      <c r="B400" s="219" t="n">
        <f aca="false">IF(Calculator!$E$12="YES",IF(A400&lt;Calculator!$G$12,0,MIN(MIN(MOD(A400/Calculator!$F$12,1),1-MOD(A400/Calculator!$F$12,1)),ABS(MOD(A400/Calculator!$F$12,1)-0.5))),1)</f>
        <v>1</v>
      </c>
      <c r="C400" s="219" t="n">
        <f aca="false">IF(Calculator!$E$13="YES",IF(A400&lt;Calculator!$G$13,0,MIN(MIN(MOD(A400/Calculator!$F$13,1),1-MOD(A400/Calculator!$F$13,1)),ABS(MOD(A400/Calculator!$F$13,1)-0.5))),1)</f>
        <v>1</v>
      </c>
      <c r="D400" s="219" t="n">
        <f aca="false">IF(Calculator!$E$14="YES",IF(A400&lt;Calculator!$G$14,0,MIN(MIN(MOD(A400/Calculator!$F$14,1),1-MOD(A400/Calculator!$F$14,1)),ABS(MOD(A400/Calculator!$F$14,1)-0.5))),1)</f>
        <v>1</v>
      </c>
      <c r="E400" s="219" t="n">
        <f aca="false">IF(Calculator!$E$15="YES",IF(A400&lt;Calculator!$G$15,0,MIN(MIN(MOD(A400/Calculator!$F$15,1),1-MOD(A400/Calculator!$F$15,1)),ABS(MOD(A400/Calculator!$F$15,1)-0.5))),1)</f>
        <v>0.222771929824561</v>
      </c>
      <c r="F400" s="219" t="n">
        <f aca="false">IF(Calculator!$E$16="YES",IF(A400&lt;Calculator!$G$16,0,MIN(MIN(MOD(A400/Calculator!$F$16,1),1-MOD(A400/Calculator!$F$16,1)),ABS(MOD(A400/Calculator!$F$16,1)-0.5))),1)</f>
        <v>1</v>
      </c>
      <c r="G400" s="219" t="n">
        <f aca="false">IF(Calculator!$E$17="YES",IF(A400&lt;Calculator!$G$17,0,MIN(MIN(MOD(A400/Calculator!$F$17,1),1-MOD(A400/Calculator!$F$17,1)),ABS(MOD(A400/Calculator!$F$17,1)-0.5))),1)</f>
        <v>0.0933157894736842</v>
      </c>
      <c r="H400" s="219" t="n">
        <f aca="false">IF(Calculator!$E$18="YES",IF(A400&lt;Calculator!$G$18,0,MIN(MIN(MOD(A400/Calculator!$F$18,1),1-MOD(A400/Calculator!$F$18,1)),ABS(MOD(A400/Calculator!$F$18,1)-0.5))),1)</f>
        <v>1</v>
      </c>
      <c r="I400" s="219" t="n">
        <f aca="false">IF(Calculator!$E$19="YES",IF(A400&lt;Calculator!$G$19,0,MIN(MIN(MOD(A400/Calculator!$F$19,1),1-MOD(A400/Calculator!$F$19,1)),ABS(MOD(A400/Calculator!$F$19,1)-0.5))),1)</f>
        <v>1</v>
      </c>
      <c r="J400" s="219" t="n">
        <f aca="false">IF(Calculator!$E$20="YES",IF(A400&lt;Calculator!$G$20,0,MIN(MIN(MOD(A400/Calculator!$F$20,1),1-MOD(A400/Calculator!$F$20,1)),ABS(MOD(A400/Calculator!$F$20,1)-0.5))),1)</f>
        <v>1</v>
      </c>
      <c r="K400" s="219" t="n">
        <f aca="false">IF(Calculator!$E$21="YES",IF(A400&lt;Calculator!$G$21,0,MIN(MIN(MOD(A400/Calculator!$F$21,1),1-MOD(A400/Calculator!$F$21,1)),ABS(MOD(A400/Calculator!$F$21,1)-0.5))),1)</f>
        <v>0.0311929824561403</v>
      </c>
      <c r="L400" s="219" t="n">
        <f aca="false">IF(Calculator!$E$22="YES",IF(A400&lt;Calculator!$G$22,0,MIN(MIN(MOD(A400/Calculator!$F$22,1),1-MOD(A400/Calculator!$F$22,1)),ABS(MOD(A400/Calculator!$F$22,1)-0.5))),1)</f>
        <v>1</v>
      </c>
      <c r="M400" s="219" t="n">
        <f aca="false">MIN(B400:L400)</f>
        <v>0.0311929824561403</v>
      </c>
      <c r="N400" s="219" t="n">
        <f aca="false">SUMPRODUCT(($M$7:$M$557&gt;M400)*1)+SUMPRODUCT(($M$7:$M$557=M400)*(ROW($M$7:$M$557)&lt;ROW(M400)))+1</f>
        <v>360</v>
      </c>
      <c r="O400" s="219" t="str">
        <f aca="false">IF(M400&gt;=0.2,"★★★ EXCELLENT",IF(M400&gt;=0.12,"★★  GOOD",IF(M400&gt;=0.07,"★  FAIR",IF(M400&gt;=0.025,"⚠  MARGINAL","✗  AVOID"))))</f>
        <v>⚠  MARGINAL</v>
      </c>
    </row>
    <row r="401" customFormat="false" ht="15" hidden="false" customHeight="true" outlineLevel="0" collapsed="false">
      <c r="A401" s="216" t="n">
        <v>44.4</v>
      </c>
      <c r="B401" s="217" t="n">
        <f aca="false">IF(Calculator!$E$12="YES",IF(A401&lt;Calculator!$G$12,0,MIN(MIN(MOD(A401/Calculator!$F$12,1),1-MOD(A401/Calculator!$F$12,1)),ABS(MOD(A401/Calculator!$F$12,1)-0.5))),1)</f>
        <v>1</v>
      </c>
      <c r="C401" s="217" t="n">
        <f aca="false">IF(Calculator!$E$13="YES",IF(A401&lt;Calculator!$G$13,0,MIN(MIN(MOD(A401/Calculator!$F$13,1),1-MOD(A401/Calculator!$F$13,1)),ABS(MOD(A401/Calculator!$F$13,1)-0.5))),1)</f>
        <v>1</v>
      </c>
      <c r="D401" s="217" t="n">
        <f aca="false">IF(Calculator!$E$14="YES",IF(A401&lt;Calculator!$G$14,0,MIN(MIN(MOD(A401/Calculator!$F$14,1),1-MOD(A401/Calculator!$F$14,1)),ABS(MOD(A401/Calculator!$F$14,1)-0.5))),1)</f>
        <v>1</v>
      </c>
      <c r="E401" s="217" t="n">
        <f aca="false">IF(Calculator!$E$15="YES",IF(A401&lt;Calculator!$G$15,0,MIN(MIN(MOD(A401/Calculator!$F$15,1),1-MOD(A401/Calculator!$F$15,1)),ABS(MOD(A401/Calculator!$F$15,1)-0.5))),1)</f>
        <v>0.227789473684211</v>
      </c>
      <c r="F401" s="217" t="n">
        <f aca="false">IF(Calculator!$E$16="YES",IF(A401&lt;Calculator!$G$16,0,MIN(MIN(MOD(A401/Calculator!$F$16,1),1-MOD(A401/Calculator!$F$16,1)),ABS(MOD(A401/Calculator!$F$16,1)-0.5))),1)</f>
        <v>1</v>
      </c>
      <c r="G401" s="217" t="n">
        <f aca="false">IF(Calculator!$E$17="YES",IF(A401&lt;Calculator!$G$17,0,MIN(MIN(MOD(A401/Calculator!$F$17,1),1-MOD(A401/Calculator!$F$17,1)),ABS(MOD(A401/Calculator!$F$17,1)-0.5))),1)</f>
        <v>0.0833684210526311</v>
      </c>
      <c r="H401" s="217" t="n">
        <f aca="false">IF(Calculator!$E$18="YES",IF(A401&lt;Calculator!$G$18,0,MIN(MIN(MOD(A401/Calculator!$F$18,1),1-MOD(A401/Calculator!$F$18,1)),ABS(MOD(A401/Calculator!$F$18,1)-0.5))),1)</f>
        <v>1</v>
      </c>
      <c r="I401" s="217" t="n">
        <f aca="false">IF(Calculator!$E$19="YES",IF(A401&lt;Calculator!$G$19,0,MIN(MIN(MOD(A401/Calculator!$F$19,1),1-MOD(A401/Calculator!$F$19,1)),ABS(MOD(A401/Calculator!$F$19,1)-0.5))),1)</f>
        <v>1</v>
      </c>
      <c r="J401" s="217" t="n">
        <f aca="false">IF(Calculator!$E$20="YES",IF(A401&lt;Calculator!$G$20,0,MIN(MIN(MOD(A401/Calculator!$F$20,1),1-MOD(A401/Calculator!$F$20,1)),ABS(MOD(A401/Calculator!$F$20,1)-0.5))),1)</f>
        <v>1</v>
      </c>
      <c r="K401" s="217" t="n">
        <f aca="false">IF(Calculator!$E$21="YES",IF(A401&lt;Calculator!$G$21,0,MIN(MIN(MOD(A401/Calculator!$F$21,1),1-MOD(A401/Calculator!$F$21,1)),ABS(MOD(A401/Calculator!$F$21,1)-0.5))),1)</f>
        <v>0.0109473684210535</v>
      </c>
      <c r="L401" s="217" t="n">
        <f aca="false">IF(Calculator!$E$22="YES",IF(A401&lt;Calculator!$G$22,0,MIN(MIN(MOD(A401/Calculator!$F$22,1),1-MOD(A401/Calculator!$F$22,1)),ABS(MOD(A401/Calculator!$F$22,1)-0.5))),1)</f>
        <v>1</v>
      </c>
      <c r="M401" s="217" t="n">
        <f aca="false">MIN(B401:L401)</f>
        <v>0.0109473684210535</v>
      </c>
      <c r="N401" s="217" t="n">
        <f aca="false">SUMPRODUCT(($M$7:$M$557&gt;M401)*1)+SUMPRODUCT(($M$7:$M$557=M401)*(ROW($M$7:$M$557)&lt;ROW(M401)))+1</f>
        <v>440</v>
      </c>
      <c r="O401" s="217" t="str">
        <f aca="false">IF(M401&gt;=0.2,"★★★ EXCELLENT",IF(M401&gt;=0.12,"★★  GOOD",IF(M401&gt;=0.07,"★  FAIR",IF(M401&gt;=0.025,"⚠  MARGINAL","✗  AVOID"))))</f>
        <v>✗  AVOID</v>
      </c>
    </row>
    <row r="402" customFormat="false" ht="15" hidden="false" customHeight="true" outlineLevel="0" collapsed="false">
      <c r="A402" s="218" t="n">
        <v>44.5</v>
      </c>
      <c r="B402" s="219" t="n">
        <f aca="false">IF(Calculator!$E$12="YES",IF(A402&lt;Calculator!$G$12,0,MIN(MIN(MOD(A402/Calculator!$F$12,1),1-MOD(A402/Calculator!$F$12,1)),ABS(MOD(A402/Calculator!$F$12,1)-0.5))),1)</f>
        <v>1</v>
      </c>
      <c r="C402" s="219" t="n">
        <f aca="false">IF(Calculator!$E$13="YES",IF(A402&lt;Calculator!$G$13,0,MIN(MIN(MOD(A402/Calculator!$F$13,1),1-MOD(A402/Calculator!$F$13,1)),ABS(MOD(A402/Calculator!$F$13,1)-0.5))),1)</f>
        <v>1</v>
      </c>
      <c r="D402" s="219" t="n">
        <f aca="false">IF(Calculator!$E$14="YES",IF(A402&lt;Calculator!$G$14,0,MIN(MIN(MOD(A402/Calculator!$F$14,1),1-MOD(A402/Calculator!$F$14,1)),ABS(MOD(A402/Calculator!$F$14,1)-0.5))),1)</f>
        <v>1</v>
      </c>
      <c r="E402" s="219" t="n">
        <f aca="false">IF(Calculator!$E$15="YES",IF(A402&lt;Calculator!$G$15,0,MIN(MIN(MOD(A402/Calculator!$F$15,1),1-MOD(A402/Calculator!$F$15,1)),ABS(MOD(A402/Calculator!$F$15,1)-0.5))),1)</f>
        <v>0.232807017543859</v>
      </c>
      <c r="F402" s="219" t="n">
        <f aca="false">IF(Calculator!$E$16="YES",IF(A402&lt;Calculator!$G$16,0,MIN(MIN(MOD(A402/Calculator!$F$16,1),1-MOD(A402/Calculator!$F$16,1)),ABS(MOD(A402/Calculator!$F$16,1)-0.5))),1)</f>
        <v>1</v>
      </c>
      <c r="G402" s="219" t="n">
        <f aca="false">IF(Calculator!$E$17="YES",IF(A402&lt;Calculator!$G$17,0,MIN(MIN(MOD(A402/Calculator!$F$17,1),1-MOD(A402/Calculator!$F$17,1)),ABS(MOD(A402/Calculator!$F$17,1)-0.5))),1)</f>
        <v>0.0734210526315788</v>
      </c>
      <c r="H402" s="219" t="n">
        <f aca="false">IF(Calculator!$E$18="YES",IF(A402&lt;Calculator!$G$18,0,MIN(MIN(MOD(A402/Calculator!$F$18,1),1-MOD(A402/Calculator!$F$18,1)),ABS(MOD(A402/Calculator!$F$18,1)-0.5))),1)</f>
        <v>1</v>
      </c>
      <c r="I402" s="219" t="n">
        <f aca="false">IF(Calculator!$E$19="YES",IF(A402&lt;Calculator!$G$19,0,MIN(MIN(MOD(A402/Calculator!$F$19,1),1-MOD(A402/Calculator!$F$19,1)),ABS(MOD(A402/Calculator!$F$19,1)-0.5))),1)</f>
        <v>1</v>
      </c>
      <c r="J402" s="219" t="n">
        <f aca="false">IF(Calculator!$E$20="YES",IF(A402&lt;Calculator!$G$20,0,MIN(MIN(MOD(A402/Calculator!$F$20,1),1-MOD(A402/Calculator!$F$20,1)),ABS(MOD(A402/Calculator!$F$20,1)-0.5))),1)</f>
        <v>1</v>
      </c>
      <c r="K402" s="219" t="n">
        <f aca="false">IF(Calculator!$E$21="YES",IF(A402&lt;Calculator!$G$21,0,MIN(MIN(MOD(A402/Calculator!$F$21,1),1-MOD(A402/Calculator!$F$21,1)),ABS(MOD(A402/Calculator!$F$21,1)-0.5))),1)</f>
        <v>0.00929824561403514</v>
      </c>
      <c r="L402" s="219" t="n">
        <f aca="false">IF(Calculator!$E$22="YES",IF(A402&lt;Calculator!$G$22,0,MIN(MIN(MOD(A402/Calculator!$F$22,1),1-MOD(A402/Calculator!$F$22,1)),ABS(MOD(A402/Calculator!$F$22,1)-0.5))),1)</f>
        <v>1</v>
      </c>
      <c r="M402" s="219" t="n">
        <f aca="false">MIN(B402:L402)</f>
        <v>0.00929824561403514</v>
      </c>
      <c r="N402" s="219" t="n">
        <f aca="false">SUMPRODUCT(($M$7:$M$557&gt;M402)*1)+SUMPRODUCT(($M$7:$M$557=M402)*(ROW($M$7:$M$557)&lt;ROW(M402)))+1</f>
        <v>448</v>
      </c>
      <c r="O402" s="219" t="str">
        <f aca="false">IF(M402&gt;=0.2,"★★★ EXCELLENT",IF(M402&gt;=0.12,"★★  GOOD",IF(M402&gt;=0.07,"★  FAIR",IF(M402&gt;=0.025,"⚠  MARGINAL","✗  AVOID"))))</f>
        <v>✗  AVOID</v>
      </c>
    </row>
    <row r="403" customFormat="false" ht="15" hidden="false" customHeight="true" outlineLevel="0" collapsed="false">
      <c r="A403" s="216" t="n">
        <v>44.6</v>
      </c>
      <c r="B403" s="217" t="n">
        <f aca="false">IF(Calculator!$E$12="YES",IF(A403&lt;Calculator!$G$12,0,MIN(MIN(MOD(A403/Calculator!$F$12,1),1-MOD(A403/Calculator!$F$12,1)),ABS(MOD(A403/Calculator!$F$12,1)-0.5))),1)</f>
        <v>1</v>
      </c>
      <c r="C403" s="217" t="n">
        <f aca="false">IF(Calculator!$E$13="YES",IF(A403&lt;Calculator!$G$13,0,MIN(MIN(MOD(A403/Calculator!$F$13,1),1-MOD(A403/Calculator!$F$13,1)),ABS(MOD(A403/Calculator!$F$13,1)-0.5))),1)</f>
        <v>1</v>
      </c>
      <c r="D403" s="217" t="n">
        <f aca="false">IF(Calculator!$E$14="YES",IF(A403&lt;Calculator!$G$14,0,MIN(MIN(MOD(A403/Calculator!$F$14,1),1-MOD(A403/Calculator!$F$14,1)),ABS(MOD(A403/Calculator!$F$14,1)-0.5))),1)</f>
        <v>1</v>
      </c>
      <c r="E403" s="217" t="n">
        <f aca="false">IF(Calculator!$E$15="YES",IF(A403&lt;Calculator!$G$15,0,MIN(MIN(MOD(A403/Calculator!$F$15,1),1-MOD(A403/Calculator!$F$15,1)),ABS(MOD(A403/Calculator!$F$15,1)-0.5))),1)</f>
        <v>0.237824561403509</v>
      </c>
      <c r="F403" s="217" t="n">
        <f aca="false">IF(Calculator!$E$16="YES",IF(A403&lt;Calculator!$G$16,0,MIN(MIN(MOD(A403/Calculator!$F$16,1),1-MOD(A403/Calculator!$F$16,1)),ABS(MOD(A403/Calculator!$F$16,1)-0.5))),1)</f>
        <v>1</v>
      </c>
      <c r="G403" s="217" t="n">
        <f aca="false">IF(Calculator!$E$17="YES",IF(A403&lt;Calculator!$G$17,0,MIN(MIN(MOD(A403/Calculator!$F$17,1),1-MOD(A403/Calculator!$F$17,1)),ABS(MOD(A403/Calculator!$F$17,1)-0.5))),1)</f>
        <v>0.0634736842105257</v>
      </c>
      <c r="H403" s="217" t="n">
        <f aca="false">IF(Calculator!$E$18="YES",IF(A403&lt;Calculator!$G$18,0,MIN(MIN(MOD(A403/Calculator!$F$18,1),1-MOD(A403/Calculator!$F$18,1)),ABS(MOD(A403/Calculator!$F$18,1)-0.5))),1)</f>
        <v>1</v>
      </c>
      <c r="I403" s="217" t="n">
        <f aca="false">IF(Calculator!$E$19="YES",IF(A403&lt;Calculator!$G$19,0,MIN(MIN(MOD(A403/Calculator!$F$19,1),1-MOD(A403/Calculator!$F$19,1)),ABS(MOD(A403/Calculator!$F$19,1)-0.5))),1)</f>
        <v>1</v>
      </c>
      <c r="J403" s="217" t="n">
        <f aca="false">IF(Calculator!$E$20="YES",IF(A403&lt;Calculator!$G$20,0,MIN(MIN(MOD(A403/Calculator!$F$20,1),1-MOD(A403/Calculator!$F$20,1)),ABS(MOD(A403/Calculator!$F$20,1)-0.5))),1)</f>
        <v>1</v>
      </c>
      <c r="K403" s="217" t="n">
        <f aca="false">IF(Calculator!$E$21="YES",IF(A403&lt;Calculator!$G$21,0,MIN(MIN(MOD(A403/Calculator!$F$21,1),1-MOD(A403/Calculator!$F$21,1)),ABS(MOD(A403/Calculator!$F$21,1)-0.5))),1)</f>
        <v>0.0295438596491238</v>
      </c>
      <c r="L403" s="217" t="n">
        <f aca="false">IF(Calculator!$E$22="YES",IF(A403&lt;Calculator!$G$22,0,MIN(MIN(MOD(A403/Calculator!$F$22,1),1-MOD(A403/Calculator!$F$22,1)),ABS(MOD(A403/Calculator!$F$22,1)-0.5))),1)</f>
        <v>1</v>
      </c>
      <c r="M403" s="217" t="n">
        <f aca="false">MIN(B403:L403)</f>
        <v>0.0295438596491238</v>
      </c>
      <c r="N403" s="217" t="n">
        <f aca="false">SUMPRODUCT(($M$7:$M$557&gt;M403)*1)+SUMPRODUCT(($M$7:$M$557=M403)*(ROW($M$7:$M$557)&lt;ROW(M403)))+1</f>
        <v>366</v>
      </c>
      <c r="O403" s="217" t="str">
        <f aca="false">IF(M403&gt;=0.2,"★★★ EXCELLENT",IF(M403&gt;=0.12,"★★  GOOD",IF(M403&gt;=0.07,"★  FAIR",IF(M403&gt;=0.025,"⚠  MARGINAL","✗  AVOID"))))</f>
        <v>⚠  MARGINAL</v>
      </c>
    </row>
    <row r="404" customFormat="false" ht="15" hidden="false" customHeight="true" outlineLevel="0" collapsed="false">
      <c r="A404" s="218" t="n">
        <v>44.7</v>
      </c>
      <c r="B404" s="219" t="n">
        <f aca="false">IF(Calculator!$E$12="YES",IF(A404&lt;Calculator!$G$12,0,MIN(MIN(MOD(A404/Calculator!$F$12,1),1-MOD(A404/Calculator!$F$12,1)),ABS(MOD(A404/Calculator!$F$12,1)-0.5))),1)</f>
        <v>1</v>
      </c>
      <c r="C404" s="219" t="n">
        <f aca="false">IF(Calculator!$E$13="YES",IF(A404&lt;Calculator!$G$13,0,MIN(MIN(MOD(A404/Calculator!$F$13,1),1-MOD(A404/Calculator!$F$13,1)),ABS(MOD(A404/Calculator!$F$13,1)-0.5))),1)</f>
        <v>1</v>
      </c>
      <c r="D404" s="219" t="n">
        <f aca="false">IF(Calculator!$E$14="YES",IF(A404&lt;Calculator!$G$14,0,MIN(MIN(MOD(A404/Calculator!$F$14,1),1-MOD(A404/Calculator!$F$14,1)),ABS(MOD(A404/Calculator!$F$14,1)-0.5))),1)</f>
        <v>1</v>
      </c>
      <c r="E404" s="219" t="n">
        <f aca="false">IF(Calculator!$E$15="YES",IF(A404&lt;Calculator!$G$15,0,MIN(MIN(MOD(A404/Calculator!$F$15,1),1-MOD(A404/Calculator!$F$15,1)),ABS(MOD(A404/Calculator!$F$15,1)-0.5))),1)</f>
        <v>0.242842105263158</v>
      </c>
      <c r="F404" s="219" t="n">
        <f aca="false">IF(Calculator!$E$16="YES",IF(A404&lt;Calculator!$G$16,0,MIN(MIN(MOD(A404/Calculator!$F$16,1),1-MOD(A404/Calculator!$F$16,1)),ABS(MOD(A404/Calculator!$F$16,1)-0.5))),1)</f>
        <v>1</v>
      </c>
      <c r="G404" s="219" t="n">
        <f aca="false">IF(Calculator!$E$17="YES",IF(A404&lt;Calculator!$G$17,0,MIN(MIN(MOD(A404/Calculator!$F$17,1),1-MOD(A404/Calculator!$F$17,1)),ABS(MOD(A404/Calculator!$F$17,1)-0.5))),1)</f>
        <v>0.0535263157894734</v>
      </c>
      <c r="H404" s="219" t="n">
        <f aca="false">IF(Calculator!$E$18="YES",IF(A404&lt;Calculator!$G$18,0,MIN(MIN(MOD(A404/Calculator!$F$18,1),1-MOD(A404/Calculator!$F$18,1)),ABS(MOD(A404/Calculator!$F$18,1)-0.5))),1)</f>
        <v>1</v>
      </c>
      <c r="I404" s="219" t="n">
        <f aca="false">IF(Calculator!$E$19="YES",IF(A404&lt;Calculator!$G$19,0,MIN(MIN(MOD(A404/Calculator!$F$19,1),1-MOD(A404/Calculator!$F$19,1)),ABS(MOD(A404/Calculator!$F$19,1)-0.5))),1)</f>
        <v>1</v>
      </c>
      <c r="J404" s="219" t="n">
        <f aca="false">IF(Calculator!$E$20="YES",IF(A404&lt;Calculator!$G$20,0,MIN(MIN(MOD(A404/Calculator!$F$20,1),1-MOD(A404/Calculator!$F$20,1)),ABS(MOD(A404/Calculator!$F$20,1)-0.5))),1)</f>
        <v>1</v>
      </c>
      <c r="K404" s="219" t="n">
        <f aca="false">IF(Calculator!$E$21="YES",IF(A404&lt;Calculator!$G$21,0,MIN(MIN(MOD(A404/Calculator!$F$21,1),1-MOD(A404/Calculator!$F$21,1)),ABS(MOD(A404/Calculator!$F$21,1)-0.5))),1)</f>
        <v>0.0497894736842106</v>
      </c>
      <c r="L404" s="219" t="n">
        <f aca="false">IF(Calculator!$E$22="YES",IF(A404&lt;Calculator!$G$22,0,MIN(MIN(MOD(A404/Calculator!$F$22,1),1-MOD(A404/Calculator!$F$22,1)),ABS(MOD(A404/Calculator!$F$22,1)-0.5))),1)</f>
        <v>1</v>
      </c>
      <c r="M404" s="219" t="n">
        <f aca="false">MIN(B404:L404)</f>
        <v>0.0497894736842106</v>
      </c>
      <c r="N404" s="219" t="n">
        <f aca="false">SUMPRODUCT(($M$7:$M$557&gt;M404)*1)+SUMPRODUCT(($M$7:$M$557=M404)*(ROW($M$7:$M$557)&lt;ROW(M404)))+1</f>
        <v>286</v>
      </c>
      <c r="O404" s="219" t="str">
        <f aca="false">IF(M404&gt;=0.2,"★★★ EXCELLENT",IF(M404&gt;=0.12,"★★  GOOD",IF(M404&gt;=0.07,"★  FAIR",IF(M404&gt;=0.025,"⚠  MARGINAL","✗  AVOID"))))</f>
        <v>⚠  MARGINAL</v>
      </c>
    </row>
    <row r="405" customFormat="false" ht="15" hidden="false" customHeight="true" outlineLevel="0" collapsed="false">
      <c r="A405" s="216" t="n">
        <v>44.8</v>
      </c>
      <c r="B405" s="217" t="n">
        <f aca="false">IF(Calculator!$E$12="YES",IF(A405&lt;Calculator!$G$12,0,MIN(MIN(MOD(A405/Calculator!$F$12,1),1-MOD(A405/Calculator!$F$12,1)),ABS(MOD(A405/Calculator!$F$12,1)-0.5))),1)</f>
        <v>1</v>
      </c>
      <c r="C405" s="217" t="n">
        <f aca="false">IF(Calculator!$E$13="YES",IF(A405&lt;Calculator!$G$13,0,MIN(MIN(MOD(A405/Calculator!$F$13,1),1-MOD(A405/Calculator!$F$13,1)),ABS(MOD(A405/Calculator!$F$13,1)-0.5))),1)</f>
        <v>1</v>
      </c>
      <c r="D405" s="217" t="n">
        <f aca="false">IF(Calculator!$E$14="YES",IF(A405&lt;Calculator!$G$14,0,MIN(MIN(MOD(A405/Calculator!$F$14,1),1-MOD(A405/Calculator!$F$14,1)),ABS(MOD(A405/Calculator!$F$14,1)-0.5))),1)</f>
        <v>1</v>
      </c>
      <c r="E405" s="217" t="n">
        <f aca="false">IF(Calculator!$E$15="YES",IF(A405&lt;Calculator!$G$15,0,MIN(MIN(MOD(A405/Calculator!$F$15,1),1-MOD(A405/Calculator!$F$15,1)),ABS(MOD(A405/Calculator!$F$15,1)-0.5))),1)</f>
        <v>0.247859649122807</v>
      </c>
      <c r="F405" s="217" t="n">
        <f aca="false">IF(Calculator!$E$16="YES",IF(A405&lt;Calculator!$G$16,0,MIN(MIN(MOD(A405/Calculator!$F$16,1),1-MOD(A405/Calculator!$F$16,1)),ABS(MOD(A405/Calculator!$F$16,1)-0.5))),1)</f>
        <v>1</v>
      </c>
      <c r="G405" s="217" t="n">
        <f aca="false">IF(Calculator!$E$17="YES",IF(A405&lt;Calculator!$G$17,0,MIN(MIN(MOD(A405/Calculator!$F$17,1),1-MOD(A405/Calculator!$F$17,1)),ABS(MOD(A405/Calculator!$F$17,1)-0.5))),1)</f>
        <v>0.0435789473684212</v>
      </c>
      <c r="H405" s="217" t="n">
        <f aca="false">IF(Calculator!$E$18="YES",IF(A405&lt;Calculator!$G$18,0,MIN(MIN(MOD(A405/Calculator!$F$18,1),1-MOD(A405/Calculator!$F$18,1)),ABS(MOD(A405/Calculator!$F$18,1)-0.5))),1)</f>
        <v>1</v>
      </c>
      <c r="I405" s="217" t="n">
        <f aca="false">IF(Calculator!$E$19="YES",IF(A405&lt;Calculator!$G$19,0,MIN(MIN(MOD(A405/Calculator!$F$19,1),1-MOD(A405/Calculator!$F$19,1)),ABS(MOD(A405/Calculator!$F$19,1)-0.5))),1)</f>
        <v>1</v>
      </c>
      <c r="J405" s="217" t="n">
        <f aca="false">IF(Calculator!$E$20="YES",IF(A405&lt;Calculator!$G$20,0,MIN(MIN(MOD(A405/Calculator!$F$20,1),1-MOD(A405/Calculator!$F$20,1)),ABS(MOD(A405/Calculator!$F$20,1)-0.5))),1)</f>
        <v>1</v>
      </c>
      <c r="K405" s="217" t="n">
        <f aca="false">IF(Calculator!$E$21="YES",IF(A405&lt;Calculator!$G$21,0,MIN(MIN(MOD(A405/Calculator!$F$21,1),1-MOD(A405/Calculator!$F$21,1)),ABS(MOD(A405/Calculator!$F$21,1)-0.5))),1)</f>
        <v>0.0700350877192975</v>
      </c>
      <c r="L405" s="217" t="n">
        <f aca="false">IF(Calculator!$E$22="YES",IF(A405&lt;Calculator!$G$22,0,MIN(MIN(MOD(A405/Calculator!$F$22,1),1-MOD(A405/Calculator!$F$22,1)),ABS(MOD(A405/Calculator!$F$22,1)-0.5))),1)</f>
        <v>1</v>
      </c>
      <c r="M405" s="217" t="n">
        <f aca="false">MIN(B405:L405)</f>
        <v>0.0435789473684212</v>
      </c>
      <c r="N405" s="217" t="n">
        <f aca="false">SUMPRODUCT(($M$7:$M$557&gt;M405)*1)+SUMPRODUCT(($M$7:$M$557=M405)*(ROW($M$7:$M$557)&lt;ROW(M405)))+1</f>
        <v>310</v>
      </c>
      <c r="O405" s="217" t="str">
        <f aca="false">IF(M405&gt;=0.2,"★★★ EXCELLENT",IF(M405&gt;=0.12,"★★  GOOD",IF(M405&gt;=0.07,"★  FAIR",IF(M405&gt;=0.025,"⚠  MARGINAL","✗  AVOID"))))</f>
        <v>⚠  MARGINAL</v>
      </c>
    </row>
    <row r="406" customFormat="false" ht="15" hidden="false" customHeight="true" outlineLevel="0" collapsed="false">
      <c r="A406" s="218" t="n">
        <v>44.9</v>
      </c>
      <c r="B406" s="219" t="n">
        <f aca="false">IF(Calculator!$E$12="YES",IF(A406&lt;Calculator!$G$12,0,MIN(MIN(MOD(A406/Calculator!$F$12,1),1-MOD(A406/Calculator!$F$12,1)),ABS(MOD(A406/Calculator!$F$12,1)-0.5))),1)</f>
        <v>1</v>
      </c>
      <c r="C406" s="219" t="n">
        <f aca="false">IF(Calculator!$E$13="YES",IF(A406&lt;Calculator!$G$13,0,MIN(MIN(MOD(A406/Calculator!$F$13,1),1-MOD(A406/Calculator!$F$13,1)),ABS(MOD(A406/Calculator!$F$13,1)-0.5))),1)</f>
        <v>1</v>
      </c>
      <c r="D406" s="219" t="n">
        <f aca="false">IF(Calculator!$E$14="YES",IF(A406&lt;Calculator!$G$14,0,MIN(MIN(MOD(A406/Calculator!$F$14,1),1-MOD(A406/Calculator!$F$14,1)),ABS(MOD(A406/Calculator!$F$14,1)-0.5))),1)</f>
        <v>1</v>
      </c>
      <c r="E406" s="219" t="n">
        <f aca="false">IF(Calculator!$E$15="YES",IF(A406&lt;Calculator!$G$15,0,MIN(MIN(MOD(A406/Calculator!$F$15,1),1-MOD(A406/Calculator!$F$15,1)),ABS(MOD(A406/Calculator!$F$15,1)-0.5))),1)</f>
        <v>0.247122807017544</v>
      </c>
      <c r="F406" s="219" t="n">
        <f aca="false">IF(Calculator!$E$16="YES",IF(A406&lt;Calculator!$G$16,0,MIN(MIN(MOD(A406/Calculator!$F$16,1),1-MOD(A406/Calculator!$F$16,1)),ABS(MOD(A406/Calculator!$F$16,1)-0.5))),1)</f>
        <v>1</v>
      </c>
      <c r="G406" s="219" t="n">
        <f aca="false">IF(Calculator!$E$17="YES",IF(A406&lt;Calculator!$G$17,0,MIN(MIN(MOD(A406/Calculator!$F$17,1),1-MOD(A406/Calculator!$F$17,1)),ABS(MOD(A406/Calculator!$F$17,1)-0.5))),1)</f>
        <v>0.033631578947368</v>
      </c>
      <c r="H406" s="219" t="n">
        <f aca="false">IF(Calculator!$E$18="YES",IF(A406&lt;Calculator!$G$18,0,MIN(MIN(MOD(A406/Calculator!$F$18,1),1-MOD(A406/Calculator!$F$18,1)),ABS(MOD(A406/Calculator!$F$18,1)-0.5))),1)</f>
        <v>1</v>
      </c>
      <c r="I406" s="219" t="n">
        <f aca="false">IF(Calculator!$E$19="YES",IF(A406&lt;Calculator!$G$19,0,MIN(MIN(MOD(A406/Calculator!$F$19,1),1-MOD(A406/Calculator!$F$19,1)),ABS(MOD(A406/Calculator!$F$19,1)-0.5))),1)</f>
        <v>1</v>
      </c>
      <c r="J406" s="219" t="n">
        <f aca="false">IF(Calculator!$E$20="YES",IF(A406&lt;Calculator!$G$20,0,MIN(MIN(MOD(A406/Calculator!$F$20,1),1-MOD(A406/Calculator!$F$20,1)),ABS(MOD(A406/Calculator!$F$20,1)-0.5))),1)</f>
        <v>1</v>
      </c>
      <c r="K406" s="219" t="n">
        <f aca="false">IF(Calculator!$E$21="YES",IF(A406&lt;Calculator!$G$21,0,MIN(MIN(MOD(A406/Calculator!$F$21,1),1-MOD(A406/Calculator!$F$21,1)),ABS(MOD(A406/Calculator!$F$21,1)-0.5))),1)</f>
        <v>0.0902807017543861</v>
      </c>
      <c r="L406" s="219" t="n">
        <f aca="false">IF(Calculator!$E$22="YES",IF(A406&lt;Calculator!$G$22,0,MIN(MIN(MOD(A406/Calculator!$F$22,1),1-MOD(A406/Calculator!$F$22,1)),ABS(MOD(A406/Calculator!$F$22,1)-0.5))),1)</f>
        <v>1</v>
      </c>
      <c r="M406" s="219" t="n">
        <f aca="false">MIN(B406:L406)</f>
        <v>0.033631578947368</v>
      </c>
      <c r="N406" s="219" t="n">
        <f aca="false">SUMPRODUCT(($M$7:$M$557&gt;M406)*1)+SUMPRODUCT(($M$7:$M$557=M406)*(ROW($M$7:$M$557)&lt;ROW(M406)))+1</f>
        <v>349</v>
      </c>
      <c r="O406" s="219" t="str">
        <f aca="false">IF(M406&gt;=0.2,"★★★ EXCELLENT",IF(M406&gt;=0.12,"★★  GOOD",IF(M406&gt;=0.07,"★  FAIR",IF(M406&gt;=0.025,"⚠  MARGINAL","✗  AVOID"))))</f>
        <v>⚠  MARGINAL</v>
      </c>
    </row>
    <row r="407" customFormat="false" ht="15" hidden="false" customHeight="true" outlineLevel="0" collapsed="false">
      <c r="A407" s="216" t="n">
        <v>45</v>
      </c>
      <c r="B407" s="217" t="n">
        <f aca="false">IF(Calculator!$E$12="YES",IF(A407&lt;Calculator!$G$12,0,MIN(MIN(MOD(A407/Calculator!$F$12,1),1-MOD(A407/Calculator!$F$12,1)),ABS(MOD(A407/Calculator!$F$12,1)-0.5))),1)</f>
        <v>1</v>
      </c>
      <c r="C407" s="217" t="n">
        <f aca="false">IF(Calculator!$E$13="YES",IF(A407&lt;Calculator!$G$13,0,MIN(MIN(MOD(A407/Calculator!$F$13,1),1-MOD(A407/Calculator!$F$13,1)),ABS(MOD(A407/Calculator!$F$13,1)-0.5))),1)</f>
        <v>1</v>
      </c>
      <c r="D407" s="217" t="n">
        <f aca="false">IF(Calculator!$E$14="YES",IF(A407&lt;Calculator!$G$14,0,MIN(MIN(MOD(A407/Calculator!$F$14,1),1-MOD(A407/Calculator!$F$14,1)),ABS(MOD(A407/Calculator!$F$14,1)-0.5))),1)</f>
        <v>1</v>
      </c>
      <c r="E407" s="217" t="n">
        <f aca="false">IF(Calculator!$E$15="YES",IF(A407&lt;Calculator!$G$15,0,MIN(MIN(MOD(A407/Calculator!$F$15,1),1-MOD(A407/Calculator!$F$15,1)),ABS(MOD(A407/Calculator!$F$15,1)-0.5))),1)</f>
        <v>0.242105263157895</v>
      </c>
      <c r="F407" s="217" t="n">
        <f aca="false">IF(Calculator!$E$16="YES",IF(A407&lt;Calculator!$G$16,0,MIN(MIN(MOD(A407/Calculator!$F$16,1),1-MOD(A407/Calculator!$F$16,1)),ABS(MOD(A407/Calculator!$F$16,1)-0.5))),1)</f>
        <v>1</v>
      </c>
      <c r="G407" s="217" t="n">
        <f aca="false">IF(Calculator!$E$17="YES",IF(A407&lt;Calculator!$G$17,0,MIN(MIN(MOD(A407/Calculator!$F$17,1),1-MOD(A407/Calculator!$F$17,1)),ABS(MOD(A407/Calculator!$F$17,1)-0.5))),1)</f>
        <v>0.0236842105263158</v>
      </c>
      <c r="H407" s="217" t="n">
        <f aca="false">IF(Calculator!$E$18="YES",IF(A407&lt;Calculator!$G$18,0,MIN(MIN(MOD(A407/Calculator!$F$18,1),1-MOD(A407/Calculator!$F$18,1)),ABS(MOD(A407/Calculator!$F$18,1)-0.5))),1)</f>
        <v>1</v>
      </c>
      <c r="I407" s="217" t="n">
        <f aca="false">IF(Calculator!$E$19="YES",IF(A407&lt;Calculator!$G$19,0,MIN(MIN(MOD(A407/Calculator!$F$19,1),1-MOD(A407/Calculator!$F$19,1)),ABS(MOD(A407/Calculator!$F$19,1)-0.5))),1)</f>
        <v>1</v>
      </c>
      <c r="J407" s="217" t="n">
        <f aca="false">IF(Calculator!$E$20="YES",IF(A407&lt;Calculator!$G$20,0,MIN(MIN(MOD(A407/Calculator!$F$20,1),1-MOD(A407/Calculator!$F$20,1)),ABS(MOD(A407/Calculator!$F$20,1)-0.5))),1)</f>
        <v>1</v>
      </c>
      <c r="K407" s="217" t="n">
        <f aca="false">IF(Calculator!$E$21="YES",IF(A407&lt;Calculator!$G$21,0,MIN(MIN(MOD(A407/Calculator!$F$21,1),1-MOD(A407/Calculator!$F$21,1)),ABS(MOD(A407/Calculator!$F$21,1)-0.5))),1)</f>
        <v>0.110526315789473</v>
      </c>
      <c r="L407" s="217" t="n">
        <f aca="false">IF(Calculator!$E$22="YES",IF(A407&lt;Calculator!$G$22,0,MIN(MIN(MOD(A407/Calculator!$F$22,1),1-MOD(A407/Calculator!$F$22,1)),ABS(MOD(A407/Calculator!$F$22,1)-0.5))),1)</f>
        <v>1</v>
      </c>
      <c r="M407" s="217" t="n">
        <f aca="false">MIN(B407:L407)</f>
        <v>0.0236842105263158</v>
      </c>
      <c r="N407" s="217" t="n">
        <f aca="false">SUMPRODUCT(($M$7:$M$557&gt;M407)*1)+SUMPRODUCT(($M$7:$M$557=M407)*(ROW($M$7:$M$557)&lt;ROW(M407)))+1</f>
        <v>386</v>
      </c>
      <c r="O407" s="217" t="str">
        <f aca="false">IF(M407&gt;=0.2,"★★★ EXCELLENT",IF(M407&gt;=0.12,"★★  GOOD",IF(M407&gt;=0.07,"★  FAIR",IF(M407&gt;=0.025,"⚠  MARGINAL","✗  AVOID"))))</f>
        <v>✗  AVOID</v>
      </c>
    </row>
    <row r="408" customFormat="false" ht="15" hidden="false" customHeight="true" outlineLevel="0" collapsed="false">
      <c r="A408" s="218" t="n">
        <v>45.1</v>
      </c>
      <c r="B408" s="219" t="n">
        <f aca="false">IF(Calculator!$E$12="YES",IF(A408&lt;Calculator!$G$12,0,MIN(MIN(MOD(A408/Calculator!$F$12,1),1-MOD(A408/Calculator!$F$12,1)),ABS(MOD(A408/Calculator!$F$12,1)-0.5))),1)</f>
        <v>1</v>
      </c>
      <c r="C408" s="219" t="n">
        <f aca="false">IF(Calculator!$E$13="YES",IF(A408&lt;Calculator!$G$13,0,MIN(MIN(MOD(A408/Calculator!$F$13,1),1-MOD(A408/Calculator!$F$13,1)),ABS(MOD(A408/Calculator!$F$13,1)-0.5))),1)</f>
        <v>1</v>
      </c>
      <c r="D408" s="219" t="n">
        <f aca="false">IF(Calculator!$E$14="YES",IF(A408&lt;Calculator!$G$14,0,MIN(MIN(MOD(A408/Calculator!$F$14,1),1-MOD(A408/Calculator!$F$14,1)),ABS(MOD(A408/Calculator!$F$14,1)-0.5))),1)</f>
        <v>1</v>
      </c>
      <c r="E408" s="219" t="n">
        <f aca="false">IF(Calculator!$E$15="YES",IF(A408&lt;Calculator!$G$15,0,MIN(MIN(MOD(A408/Calculator!$F$15,1),1-MOD(A408/Calculator!$F$15,1)),ABS(MOD(A408/Calculator!$F$15,1)-0.5))),1)</f>
        <v>0.237087719298246</v>
      </c>
      <c r="F408" s="219" t="n">
        <f aca="false">IF(Calculator!$E$16="YES",IF(A408&lt;Calculator!$G$16,0,MIN(MIN(MOD(A408/Calculator!$F$16,1),1-MOD(A408/Calculator!$F$16,1)),ABS(MOD(A408/Calculator!$F$16,1)-0.5))),1)</f>
        <v>1</v>
      </c>
      <c r="G408" s="219" t="n">
        <f aca="false">IF(Calculator!$E$17="YES",IF(A408&lt;Calculator!$G$17,0,MIN(MIN(MOD(A408/Calculator!$F$17,1),1-MOD(A408/Calculator!$F$17,1)),ABS(MOD(A408/Calculator!$F$17,1)-0.5))),1)</f>
        <v>0.0137368421052626</v>
      </c>
      <c r="H408" s="219" t="n">
        <f aca="false">IF(Calculator!$E$18="YES",IF(A408&lt;Calculator!$G$18,0,MIN(MIN(MOD(A408/Calculator!$F$18,1),1-MOD(A408/Calculator!$F$18,1)),ABS(MOD(A408/Calculator!$F$18,1)-0.5))),1)</f>
        <v>1</v>
      </c>
      <c r="I408" s="219" t="n">
        <f aca="false">IF(Calculator!$E$19="YES",IF(A408&lt;Calculator!$G$19,0,MIN(MIN(MOD(A408/Calculator!$F$19,1),1-MOD(A408/Calculator!$F$19,1)),ABS(MOD(A408/Calculator!$F$19,1)-0.5))),1)</f>
        <v>1</v>
      </c>
      <c r="J408" s="219" t="n">
        <f aca="false">IF(Calculator!$E$20="YES",IF(A408&lt;Calculator!$G$20,0,MIN(MIN(MOD(A408/Calculator!$F$20,1),1-MOD(A408/Calculator!$F$20,1)),ABS(MOD(A408/Calculator!$F$20,1)-0.5))),1)</f>
        <v>1</v>
      </c>
      <c r="K408" s="219" t="n">
        <f aca="false">IF(Calculator!$E$21="YES",IF(A408&lt;Calculator!$G$21,0,MIN(MIN(MOD(A408/Calculator!$F$21,1),1-MOD(A408/Calculator!$F$21,1)),ABS(MOD(A408/Calculator!$F$21,1)-0.5))),1)</f>
        <v>0.130771929824562</v>
      </c>
      <c r="L408" s="219" t="n">
        <f aca="false">IF(Calculator!$E$22="YES",IF(A408&lt;Calculator!$G$22,0,MIN(MIN(MOD(A408/Calculator!$F$22,1),1-MOD(A408/Calculator!$F$22,1)),ABS(MOD(A408/Calculator!$F$22,1)-0.5))),1)</f>
        <v>1</v>
      </c>
      <c r="M408" s="219" t="n">
        <f aca="false">MIN(B408:L408)</f>
        <v>0.0137368421052626</v>
      </c>
      <c r="N408" s="219" t="n">
        <f aca="false">SUMPRODUCT(($M$7:$M$557&gt;M408)*1)+SUMPRODUCT(($M$7:$M$557=M408)*(ROW($M$7:$M$557)&lt;ROW(M408)))+1</f>
        <v>426</v>
      </c>
      <c r="O408" s="219" t="str">
        <f aca="false">IF(M408&gt;=0.2,"★★★ EXCELLENT",IF(M408&gt;=0.12,"★★  GOOD",IF(M408&gt;=0.07,"★  FAIR",IF(M408&gt;=0.025,"⚠  MARGINAL","✗  AVOID"))))</f>
        <v>✗  AVOID</v>
      </c>
    </row>
    <row r="409" customFormat="false" ht="15" hidden="false" customHeight="true" outlineLevel="0" collapsed="false">
      <c r="A409" s="216" t="n">
        <v>45.2</v>
      </c>
      <c r="B409" s="217" t="n">
        <f aca="false">IF(Calculator!$E$12="YES",IF(A409&lt;Calculator!$G$12,0,MIN(MIN(MOD(A409/Calculator!$F$12,1),1-MOD(A409/Calculator!$F$12,1)),ABS(MOD(A409/Calculator!$F$12,1)-0.5))),1)</f>
        <v>1</v>
      </c>
      <c r="C409" s="217" t="n">
        <f aca="false">IF(Calculator!$E$13="YES",IF(A409&lt;Calculator!$G$13,0,MIN(MIN(MOD(A409/Calculator!$F$13,1),1-MOD(A409/Calculator!$F$13,1)),ABS(MOD(A409/Calculator!$F$13,1)-0.5))),1)</f>
        <v>1</v>
      </c>
      <c r="D409" s="217" t="n">
        <f aca="false">IF(Calculator!$E$14="YES",IF(A409&lt;Calculator!$G$14,0,MIN(MIN(MOD(A409/Calculator!$F$14,1),1-MOD(A409/Calculator!$F$14,1)),ABS(MOD(A409/Calculator!$F$14,1)-0.5))),1)</f>
        <v>1</v>
      </c>
      <c r="E409" s="217" t="n">
        <f aca="false">IF(Calculator!$E$15="YES",IF(A409&lt;Calculator!$G$15,0,MIN(MIN(MOD(A409/Calculator!$F$15,1),1-MOD(A409/Calculator!$F$15,1)),ABS(MOD(A409/Calculator!$F$15,1)-0.5))),1)</f>
        <v>0.232070175438596</v>
      </c>
      <c r="F409" s="217" t="n">
        <f aca="false">IF(Calculator!$E$16="YES",IF(A409&lt;Calculator!$G$16,0,MIN(MIN(MOD(A409/Calculator!$F$16,1),1-MOD(A409/Calculator!$F$16,1)),ABS(MOD(A409/Calculator!$F$16,1)-0.5))),1)</f>
        <v>1</v>
      </c>
      <c r="G409" s="217" t="n">
        <f aca="false">IF(Calculator!$E$17="YES",IF(A409&lt;Calculator!$G$17,0,MIN(MIN(MOD(A409/Calculator!$F$17,1),1-MOD(A409/Calculator!$F$17,1)),ABS(MOD(A409/Calculator!$F$17,1)-0.5))),1)</f>
        <v>0.00378947368420945</v>
      </c>
      <c r="H409" s="217" t="n">
        <f aca="false">IF(Calculator!$E$18="YES",IF(A409&lt;Calculator!$G$18,0,MIN(MIN(MOD(A409/Calculator!$F$18,1),1-MOD(A409/Calculator!$F$18,1)),ABS(MOD(A409/Calculator!$F$18,1)-0.5))),1)</f>
        <v>1</v>
      </c>
      <c r="I409" s="217" t="n">
        <f aca="false">IF(Calculator!$E$19="YES",IF(A409&lt;Calculator!$G$19,0,MIN(MIN(MOD(A409/Calculator!$F$19,1),1-MOD(A409/Calculator!$F$19,1)),ABS(MOD(A409/Calculator!$F$19,1)-0.5))),1)</f>
        <v>1</v>
      </c>
      <c r="J409" s="217" t="n">
        <f aca="false">IF(Calculator!$E$20="YES",IF(A409&lt;Calculator!$G$20,0,MIN(MIN(MOD(A409/Calculator!$F$20,1),1-MOD(A409/Calculator!$F$20,1)),ABS(MOD(A409/Calculator!$F$20,1)-0.5))),1)</f>
        <v>1</v>
      </c>
      <c r="K409" s="217" t="n">
        <f aca="false">IF(Calculator!$E$21="YES",IF(A409&lt;Calculator!$G$21,0,MIN(MIN(MOD(A409/Calculator!$F$21,1),1-MOD(A409/Calculator!$F$21,1)),ABS(MOD(A409/Calculator!$F$21,1)-0.5))),1)</f>
        <v>0.15101754385965</v>
      </c>
      <c r="L409" s="217" t="n">
        <f aca="false">IF(Calculator!$E$22="YES",IF(A409&lt;Calculator!$G$22,0,MIN(MIN(MOD(A409/Calculator!$F$22,1),1-MOD(A409/Calculator!$F$22,1)),ABS(MOD(A409/Calculator!$F$22,1)-0.5))),1)</f>
        <v>1</v>
      </c>
      <c r="M409" s="217" t="n">
        <f aca="false">MIN(B409:L409)</f>
        <v>0.00378947368420945</v>
      </c>
      <c r="N409" s="217" t="n">
        <f aca="false">SUMPRODUCT(($M$7:$M$557&gt;M409)*1)+SUMPRODUCT(($M$7:$M$557=M409)*(ROW($M$7:$M$557)&lt;ROW(M409)))+1</f>
        <v>477</v>
      </c>
      <c r="O409" s="217" t="str">
        <f aca="false">IF(M409&gt;=0.2,"★★★ EXCELLENT",IF(M409&gt;=0.12,"★★  GOOD",IF(M409&gt;=0.07,"★  FAIR",IF(M409&gt;=0.025,"⚠  MARGINAL","✗  AVOID"))))</f>
        <v>✗  AVOID</v>
      </c>
    </row>
    <row r="410" customFormat="false" ht="15" hidden="false" customHeight="true" outlineLevel="0" collapsed="false">
      <c r="A410" s="218" t="n">
        <v>45.3</v>
      </c>
      <c r="B410" s="219" t="n">
        <f aca="false">IF(Calculator!$E$12="YES",IF(A410&lt;Calculator!$G$12,0,MIN(MIN(MOD(A410/Calculator!$F$12,1),1-MOD(A410/Calculator!$F$12,1)),ABS(MOD(A410/Calculator!$F$12,1)-0.5))),1)</f>
        <v>1</v>
      </c>
      <c r="C410" s="219" t="n">
        <f aca="false">IF(Calculator!$E$13="YES",IF(A410&lt;Calculator!$G$13,0,MIN(MIN(MOD(A410/Calculator!$F$13,1),1-MOD(A410/Calculator!$F$13,1)),ABS(MOD(A410/Calculator!$F$13,1)-0.5))),1)</f>
        <v>1</v>
      </c>
      <c r="D410" s="219" t="n">
        <f aca="false">IF(Calculator!$E$14="YES",IF(A410&lt;Calculator!$G$14,0,MIN(MIN(MOD(A410/Calculator!$F$14,1),1-MOD(A410/Calculator!$F$14,1)),ABS(MOD(A410/Calculator!$F$14,1)-0.5))),1)</f>
        <v>1</v>
      </c>
      <c r="E410" s="219" t="n">
        <f aca="false">IF(Calculator!$E$15="YES",IF(A410&lt;Calculator!$G$15,0,MIN(MIN(MOD(A410/Calculator!$F$15,1),1-MOD(A410/Calculator!$F$15,1)),ABS(MOD(A410/Calculator!$F$15,1)-0.5))),1)</f>
        <v>0.227052631578947</v>
      </c>
      <c r="F410" s="219" t="n">
        <f aca="false">IF(Calculator!$E$16="YES",IF(A410&lt;Calculator!$G$16,0,MIN(MIN(MOD(A410/Calculator!$F$16,1),1-MOD(A410/Calculator!$F$16,1)),ABS(MOD(A410/Calculator!$F$16,1)-0.5))),1)</f>
        <v>1</v>
      </c>
      <c r="G410" s="219" t="n">
        <f aca="false">IF(Calculator!$E$17="YES",IF(A410&lt;Calculator!$G$17,0,MIN(MIN(MOD(A410/Calculator!$F$17,1),1-MOD(A410/Calculator!$F$17,1)),ABS(MOD(A410/Calculator!$F$17,1)-0.5))),1)</f>
        <v>0.00615789473684192</v>
      </c>
      <c r="H410" s="219" t="n">
        <f aca="false">IF(Calculator!$E$18="YES",IF(A410&lt;Calculator!$G$18,0,MIN(MIN(MOD(A410/Calculator!$F$18,1),1-MOD(A410/Calculator!$F$18,1)),ABS(MOD(A410/Calculator!$F$18,1)-0.5))),1)</f>
        <v>1</v>
      </c>
      <c r="I410" s="219" t="n">
        <f aca="false">IF(Calculator!$E$19="YES",IF(A410&lt;Calculator!$G$19,0,MIN(MIN(MOD(A410/Calculator!$F$19,1),1-MOD(A410/Calculator!$F$19,1)),ABS(MOD(A410/Calculator!$F$19,1)-0.5))),1)</f>
        <v>1</v>
      </c>
      <c r="J410" s="219" t="n">
        <f aca="false">IF(Calculator!$E$20="YES",IF(A410&lt;Calculator!$G$20,0,MIN(MIN(MOD(A410/Calculator!$F$20,1),1-MOD(A410/Calculator!$F$20,1)),ABS(MOD(A410/Calculator!$F$20,1)-0.5))),1)</f>
        <v>1</v>
      </c>
      <c r="K410" s="219" t="n">
        <f aca="false">IF(Calculator!$E$21="YES",IF(A410&lt;Calculator!$G$21,0,MIN(MIN(MOD(A410/Calculator!$F$21,1),1-MOD(A410/Calculator!$F$21,1)),ABS(MOD(A410/Calculator!$F$21,1)-0.5))),1)</f>
        <v>0.171263157894737</v>
      </c>
      <c r="L410" s="219" t="n">
        <f aca="false">IF(Calculator!$E$22="YES",IF(A410&lt;Calculator!$G$22,0,MIN(MIN(MOD(A410/Calculator!$F$22,1),1-MOD(A410/Calculator!$F$22,1)),ABS(MOD(A410/Calculator!$F$22,1)-0.5))),1)</f>
        <v>1</v>
      </c>
      <c r="M410" s="219" t="n">
        <f aca="false">MIN(B410:L410)</f>
        <v>0.00615789473684192</v>
      </c>
      <c r="N410" s="219" t="n">
        <f aca="false">SUMPRODUCT(($M$7:$M$557&gt;M410)*1)+SUMPRODUCT(($M$7:$M$557=M410)*(ROW($M$7:$M$557)&lt;ROW(M410)))+1</f>
        <v>465</v>
      </c>
      <c r="O410" s="219" t="str">
        <f aca="false">IF(M410&gt;=0.2,"★★★ EXCELLENT",IF(M410&gt;=0.12,"★★  GOOD",IF(M410&gt;=0.07,"★  FAIR",IF(M410&gt;=0.025,"⚠  MARGINAL","✗  AVOID"))))</f>
        <v>✗  AVOID</v>
      </c>
    </row>
    <row r="411" customFormat="false" ht="15" hidden="false" customHeight="true" outlineLevel="0" collapsed="false">
      <c r="A411" s="216" t="n">
        <v>45.4</v>
      </c>
      <c r="B411" s="217" t="n">
        <f aca="false">IF(Calculator!$E$12="YES",IF(A411&lt;Calculator!$G$12,0,MIN(MIN(MOD(A411/Calculator!$F$12,1),1-MOD(A411/Calculator!$F$12,1)),ABS(MOD(A411/Calculator!$F$12,1)-0.5))),1)</f>
        <v>1</v>
      </c>
      <c r="C411" s="217" t="n">
        <f aca="false">IF(Calculator!$E$13="YES",IF(A411&lt;Calculator!$G$13,0,MIN(MIN(MOD(A411/Calculator!$F$13,1),1-MOD(A411/Calculator!$F$13,1)),ABS(MOD(A411/Calculator!$F$13,1)-0.5))),1)</f>
        <v>1</v>
      </c>
      <c r="D411" s="217" t="n">
        <f aca="false">IF(Calculator!$E$14="YES",IF(A411&lt;Calculator!$G$14,0,MIN(MIN(MOD(A411/Calculator!$F$14,1),1-MOD(A411/Calculator!$F$14,1)),ABS(MOD(A411/Calculator!$F$14,1)-0.5))),1)</f>
        <v>1</v>
      </c>
      <c r="E411" s="217" t="n">
        <f aca="false">IF(Calculator!$E$15="YES",IF(A411&lt;Calculator!$G$15,0,MIN(MIN(MOD(A411/Calculator!$F$15,1),1-MOD(A411/Calculator!$F$15,1)),ABS(MOD(A411/Calculator!$F$15,1)-0.5))),1)</f>
        <v>0.222035087719298</v>
      </c>
      <c r="F411" s="217" t="n">
        <f aca="false">IF(Calculator!$E$16="YES",IF(A411&lt;Calculator!$G$16,0,MIN(MIN(MOD(A411/Calculator!$F$16,1),1-MOD(A411/Calculator!$F$16,1)),ABS(MOD(A411/Calculator!$F$16,1)-0.5))),1)</f>
        <v>1</v>
      </c>
      <c r="G411" s="217" t="n">
        <f aca="false">IF(Calculator!$E$17="YES",IF(A411&lt;Calculator!$G$17,0,MIN(MIN(MOD(A411/Calculator!$F$17,1),1-MOD(A411/Calculator!$F$17,1)),ABS(MOD(A411/Calculator!$F$17,1)-0.5))),1)</f>
        <v>0.0161052631578951</v>
      </c>
      <c r="H411" s="217" t="n">
        <f aca="false">IF(Calculator!$E$18="YES",IF(A411&lt;Calculator!$G$18,0,MIN(MIN(MOD(A411/Calculator!$F$18,1),1-MOD(A411/Calculator!$F$18,1)),ABS(MOD(A411/Calculator!$F$18,1)-0.5))),1)</f>
        <v>1</v>
      </c>
      <c r="I411" s="217" t="n">
        <f aca="false">IF(Calculator!$E$19="YES",IF(A411&lt;Calculator!$G$19,0,MIN(MIN(MOD(A411/Calculator!$F$19,1),1-MOD(A411/Calculator!$F$19,1)),ABS(MOD(A411/Calculator!$F$19,1)-0.5))),1)</f>
        <v>1</v>
      </c>
      <c r="J411" s="217" t="n">
        <f aca="false">IF(Calculator!$E$20="YES",IF(A411&lt;Calculator!$G$20,0,MIN(MIN(MOD(A411/Calculator!$F$20,1),1-MOD(A411/Calculator!$F$20,1)),ABS(MOD(A411/Calculator!$F$20,1)-0.5))),1)</f>
        <v>1</v>
      </c>
      <c r="K411" s="217" t="n">
        <f aca="false">IF(Calculator!$E$21="YES",IF(A411&lt;Calculator!$G$21,0,MIN(MIN(MOD(A411/Calculator!$F$21,1),1-MOD(A411/Calculator!$F$21,1)),ABS(MOD(A411/Calculator!$F$21,1)-0.5))),1)</f>
        <v>0.191508771929824</v>
      </c>
      <c r="L411" s="217" t="n">
        <f aca="false">IF(Calculator!$E$22="YES",IF(A411&lt;Calculator!$G$22,0,MIN(MIN(MOD(A411/Calculator!$F$22,1),1-MOD(A411/Calculator!$F$22,1)),ABS(MOD(A411/Calculator!$F$22,1)-0.5))),1)</f>
        <v>1</v>
      </c>
      <c r="M411" s="217" t="n">
        <f aca="false">MIN(B411:L411)</f>
        <v>0.0161052631578951</v>
      </c>
      <c r="N411" s="217" t="n">
        <f aca="false">SUMPRODUCT(($M$7:$M$557&gt;M411)*1)+SUMPRODUCT(($M$7:$M$557=M411)*(ROW($M$7:$M$557)&lt;ROW(M411)))+1</f>
        <v>418</v>
      </c>
      <c r="O411" s="217" t="str">
        <f aca="false">IF(M411&gt;=0.2,"★★★ EXCELLENT",IF(M411&gt;=0.12,"★★  GOOD",IF(M411&gt;=0.07,"★  FAIR",IF(M411&gt;=0.025,"⚠  MARGINAL","✗  AVOID"))))</f>
        <v>✗  AVOID</v>
      </c>
    </row>
    <row r="412" customFormat="false" ht="15" hidden="false" customHeight="true" outlineLevel="0" collapsed="false">
      <c r="A412" s="218" t="n">
        <v>45.5</v>
      </c>
      <c r="B412" s="219" t="n">
        <f aca="false">IF(Calculator!$E$12="YES",IF(A412&lt;Calculator!$G$12,0,MIN(MIN(MOD(A412/Calculator!$F$12,1),1-MOD(A412/Calculator!$F$12,1)),ABS(MOD(A412/Calculator!$F$12,1)-0.5))),1)</f>
        <v>1</v>
      </c>
      <c r="C412" s="219" t="n">
        <f aca="false">IF(Calculator!$E$13="YES",IF(A412&lt;Calculator!$G$13,0,MIN(MIN(MOD(A412/Calculator!$F$13,1),1-MOD(A412/Calculator!$F$13,1)),ABS(MOD(A412/Calculator!$F$13,1)-0.5))),1)</f>
        <v>1</v>
      </c>
      <c r="D412" s="219" t="n">
        <f aca="false">IF(Calculator!$E$14="YES",IF(A412&lt;Calculator!$G$14,0,MIN(MIN(MOD(A412/Calculator!$F$14,1),1-MOD(A412/Calculator!$F$14,1)),ABS(MOD(A412/Calculator!$F$14,1)-0.5))),1)</f>
        <v>1</v>
      </c>
      <c r="E412" s="219" t="n">
        <f aca="false">IF(Calculator!$E$15="YES",IF(A412&lt;Calculator!$G$15,0,MIN(MIN(MOD(A412/Calculator!$F$15,1),1-MOD(A412/Calculator!$F$15,1)),ABS(MOD(A412/Calculator!$F$15,1)-0.5))),1)</f>
        <v>0.217017543859649</v>
      </c>
      <c r="F412" s="219" t="n">
        <f aca="false">IF(Calculator!$E$16="YES",IF(A412&lt;Calculator!$G$16,0,MIN(MIN(MOD(A412/Calculator!$F$16,1),1-MOD(A412/Calculator!$F$16,1)),ABS(MOD(A412/Calculator!$F$16,1)-0.5))),1)</f>
        <v>1</v>
      </c>
      <c r="G412" s="219" t="n">
        <f aca="false">IF(Calculator!$E$17="YES",IF(A412&lt;Calculator!$G$17,0,MIN(MIN(MOD(A412/Calculator!$F$17,1),1-MOD(A412/Calculator!$F$17,1)),ABS(MOD(A412/Calculator!$F$17,1)-0.5))),1)</f>
        <v>0.0260526315789473</v>
      </c>
      <c r="H412" s="219" t="n">
        <f aca="false">IF(Calculator!$E$18="YES",IF(A412&lt;Calculator!$G$18,0,MIN(MIN(MOD(A412/Calculator!$F$18,1),1-MOD(A412/Calculator!$F$18,1)),ABS(MOD(A412/Calculator!$F$18,1)-0.5))),1)</f>
        <v>1</v>
      </c>
      <c r="I412" s="219" t="n">
        <f aca="false">IF(Calculator!$E$19="YES",IF(A412&lt;Calculator!$G$19,0,MIN(MIN(MOD(A412/Calculator!$F$19,1),1-MOD(A412/Calculator!$F$19,1)),ABS(MOD(A412/Calculator!$F$19,1)-0.5))),1)</f>
        <v>1</v>
      </c>
      <c r="J412" s="219" t="n">
        <f aca="false">IF(Calculator!$E$20="YES",IF(A412&lt;Calculator!$G$20,0,MIN(MIN(MOD(A412/Calculator!$F$20,1),1-MOD(A412/Calculator!$F$20,1)),ABS(MOD(A412/Calculator!$F$20,1)-0.5))),1)</f>
        <v>1</v>
      </c>
      <c r="K412" s="219" t="n">
        <f aca="false">IF(Calculator!$E$21="YES",IF(A412&lt;Calculator!$G$21,0,MIN(MIN(MOD(A412/Calculator!$F$21,1),1-MOD(A412/Calculator!$F$21,1)),ABS(MOD(A412/Calculator!$F$21,1)-0.5))),1)</f>
        <v>0.211754385964912</v>
      </c>
      <c r="L412" s="219" t="n">
        <f aca="false">IF(Calculator!$E$22="YES",IF(A412&lt;Calculator!$G$22,0,MIN(MIN(MOD(A412/Calculator!$F$22,1),1-MOD(A412/Calculator!$F$22,1)),ABS(MOD(A412/Calculator!$F$22,1)-0.5))),1)</f>
        <v>1</v>
      </c>
      <c r="M412" s="219" t="n">
        <f aca="false">MIN(B412:L412)</f>
        <v>0.0260526315789473</v>
      </c>
      <c r="N412" s="219" t="n">
        <f aca="false">SUMPRODUCT(($M$7:$M$557&gt;M412)*1)+SUMPRODUCT(($M$7:$M$557=M412)*(ROW($M$7:$M$557)&lt;ROW(M412)))+1</f>
        <v>379</v>
      </c>
      <c r="O412" s="219" t="str">
        <f aca="false">IF(M412&gt;=0.2,"★★★ EXCELLENT",IF(M412&gt;=0.12,"★★  GOOD",IF(M412&gt;=0.07,"★  FAIR",IF(M412&gt;=0.025,"⚠  MARGINAL","✗  AVOID"))))</f>
        <v>⚠  MARGINAL</v>
      </c>
    </row>
    <row r="413" customFormat="false" ht="15" hidden="false" customHeight="true" outlineLevel="0" collapsed="false">
      <c r="A413" s="216" t="n">
        <v>45.6</v>
      </c>
      <c r="B413" s="217" t="n">
        <f aca="false">IF(Calculator!$E$12="YES",IF(A413&lt;Calculator!$G$12,0,MIN(MIN(MOD(A413/Calculator!$F$12,1),1-MOD(A413/Calculator!$F$12,1)),ABS(MOD(A413/Calculator!$F$12,1)-0.5))),1)</f>
        <v>1</v>
      </c>
      <c r="C413" s="217" t="n">
        <f aca="false">IF(Calculator!$E$13="YES",IF(A413&lt;Calculator!$G$13,0,MIN(MIN(MOD(A413/Calculator!$F$13,1),1-MOD(A413/Calculator!$F$13,1)),ABS(MOD(A413/Calculator!$F$13,1)-0.5))),1)</f>
        <v>1</v>
      </c>
      <c r="D413" s="217" t="n">
        <f aca="false">IF(Calculator!$E$14="YES",IF(A413&lt;Calculator!$G$14,0,MIN(MIN(MOD(A413/Calculator!$F$14,1),1-MOD(A413/Calculator!$F$14,1)),ABS(MOD(A413/Calculator!$F$14,1)-0.5))),1)</f>
        <v>1</v>
      </c>
      <c r="E413" s="217" t="n">
        <f aca="false">IF(Calculator!$E$15="YES",IF(A413&lt;Calculator!$G$15,0,MIN(MIN(MOD(A413/Calculator!$F$15,1),1-MOD(A413/Calculator!$F$15,1)),ABS(MOD(A413/Calculator!$F$15,1)-0.5))),1)</f>
        <v>0.212</v>
      </c>
      <c r="F413" s="217" t="n">
        <f aca="false">IF(Calculator!$E$16="YES",IF(A413&lt;Calculator!$G$16,0,MIN(MIN(MOD(A413/Calculator!$F$16,1),1-MOD(A413/Calculator!$F$16,1)),ABS(MOD(A413/Calculator!$F$16,1)-0.5))),1)</f>
        <v>1</v>
      </c>
      <c r="G413" s="217" t="n">
        <f aca="false">IF(Calculator!$E$17="YES",IF(A413&lt;Calculator!$G$17,0,MIN(MIN(MOD(A413/Calculator!$F$17,1),1-MOD(A413/Calculator!$F$17,1)),ABS(MOD(A413/Calculator!$F$17,1)-0.5))),1)</f>
        <v>0.0360000000000005</v>
      </c>
      <c r="H413" s="217" t="n">
        <f aca="false">IF(Calculator!$E$18="YES",IF(A413&lt;Calculator!$G$18,0,MIN(MIN(MOD(A413/Calculator!$F$18,1),1-MOD(A413/Calculator!$F$18,1)),ABS(MOD(A413/Calculator!$F$18,1)-0.5))),1)</f>
        <v>1</v>
      </c>
      <c r="I413" s="217" t="n">
        <f aca="false">IF(Calculator!$E$19="YES",IF(A413&lt;Calculator!$G$19,0,MIN(MIN(MOD(A413/Calculator!$F$19,1),1-MOD(A413/Calculator!$F$19,1)),ABS(MOD(A413/Calculator!$F$19,1)-0.5))),1)</f>
        <v>1</v>
      </c>
      <c r="J413" s="217" t="n">
        <f aca="false">IF(Calculator!$E$20="YES",IF(A413&lt;Calculator!$G$20,0,MIN(MIN(MOD(A413/Calculator!$F$20,1),1-MOD(A413/Calculator!$F$20,1)),ABS(MOD(A413/Calculator!$F$20,1)-0.5))),1)</f>
        <v>1</v>
      </c>
      <c r="K413" s="217" t="n">
        <f aca="false">IF(Calculator!$E$21="YES",IF(A413&lt;Calculator!$G$21,0,MIN(MIN(MOD(A413/Calculator!$F$21,1),1-MOD(A413/Calculator!$F$21,1)),ABS(MOD(A413/Calculator!$F$21,1)-0.5))),1)</f>
        <v>0.231999999999999</v>
      </c>
      <c r="L413" s="217" t="n">
        <f aca="false">IF(Calculator!$E$22="YES",IF(A413&lt;Calculator!$G$22,0,MIN(MIN(MOD(A413/Calculator!$F$22,1),1-MOD(A413/Calculator!$F$22,1)),ABS(MOD(A413/Calculator!$F$22,1)-0.5))),1)</f>
        <v>1</v>
      </c>
      <c r="M413" s="217" t="n">
        <f aca="false">MIN(B413:L413)</f>
        <v>0.0360000000000005</v>
      </c>
      <c r="N413" s="217" t="n">
        <f aca="false">SUMPRODUCT(($M$7:$M$557&gt;M413)*1)+SUMPRODUCT(($M$7:$M$557=M413)*(ROW($M$7:$M$557)&lt;ROW(M413)))+1</f>
        <v>340</v>
      </c>
      <c r="O413" s="217" t="str">
        <f aca="false">IF(M413&gt;=0.2,"★★★ EXCELLENT",IF(M413&gt;=0.12,"★★  GOOD",IF(M413&gt;=0.07,"★  FAIR",IF(M413&gt;=0.025,"⚠  MARGINAL","✗  AVOID"))))</f>
        <v>⚠  MARGINAL</v>
      </c>
    </row>
    <row r="414" customFormat="false" ht="15" hidden="false" customHeight="true" outlineLevel="0" collapsed="false">
      <c r="A414" s="218" t="n">
        <v>45.7</v>
      </c>
      <c r="B414" s="219" t="n">
        <f aca="false">IF(Calculator!$E$12="YES",IF(A414&lt;Calculator!$G$12,0,MIN(MIN(MOD(A414/Calculator!$F$12,1),1-MOD(A414/Calculator!$F$12,1)),ABS(MOD(A414/Calculator!$F$12,1)-0.5))),1)</f>
        <v>1</v>
      </c>
      <c r="C414" s="219" t="n">
        <f aca="false">IF(Calculator!$E$13="YES",IF(A414&lt;Calculator!$G$13,0,MIN(MIN(MOD(A414/Calculator!$F$13,1),1-MOD(A414/Calculator!$F$13,1)),ABS(MOD(A414/Calculator!$F$13,1)-0.5))),1)</f>
        <v>1</v>
      </c>
      <c r="D414" s="219" t="n">
        <f aca="false">IF(Calculator!$E$14="YES",IF(A414&lt;Calculator!$G$14,0,MIN(MIN(MOD(A414/Calculator!$F$14,1),1-MOD(A414/Calculator!$F$14,1)),ABS(MOD(A414/Calculator!$F$14,1)-0.5))),1)</f>
        <v>1</v>
      </c>
      <c r="E414" s="219" t="n">
        <f aca="false">IF(Calculator!$E$15="YES",IF(A414&lt;Calculator!$G$15,0,MIN(MIN(MOD(A414/Calculator!$F$15,1),1-MOD(A414/Calculator!$F$15,1)),ABS(MOD(A414/Calculator!$F$15,1)-0.5))),1)</f>
        <v>0.206982456140351</v>
      </c>
      <c r="F414" s="219" t="n">
        <f aca="false">IF(Calculator!$E$16="YES",IF(A414&lt;Calculator!$G$16,0,MIN(MIN(MOD(A414/Calculator!$F$16,1),1-MOD(A414/Calculator!$F$16,1)),ABS(MOD(A414/Calculator!$F$16,1)-0.5))),1)</f>
        <v>1</v>
      </c>
      <c r="G414" s="219" t="n">
        <f aca="false">IF(Calculator!$E$17="YES",IF(A414&lt;Calculator!$G$17,0,MIN(MIN(MOD(A414/Calculator!$F$17,1),1-MOD(A414/Calculator!$F$17,1)),ABS(MOD(A414/Calculator!$F$17,1)-0.5))),1)</f>
        <v>0.0459473684210536</v>
      </c>
      <c r="H414" s="219" t="n">
        <f aca="false">IF(Calculator!$E$18="YES",IF(A414&lt;Calculator!$G$18,0,MIN(MIN(MOD(A414/Calculator!$F$18,1),1-MOD(A414/Calculator!$F$18,1)),ABS(MOD(A414/Calculator!$F$18,1)-0.5))),1)</f>
        <v>1</v>
      </c>
      <c r="I414" s="219" t="n">
        <f aca="false">IF(Calculator!$E$19="YES",IF(A414&lt;Calculator!$G$19,0,MIN(MIN(MOD(A414/Calculator!$F$19,1),1-MOD(A414/Calculator!$F$19,1)),ABS(MOD(A414/Calculator!$F$19,1)-0.5))),1)</f>
        <v>1</v>
      </c>
      <c r="J414" s="219" t="n">
        <f aca="false">IF(Calculator!$E$20="YES",IF(A414&lt;Calculator!$G$20,0,MIN(MIN(MOD(A414/Calculator!$F$20,1),1-MOD(A414/Calculator!$F$20,1)),ABS(MOD(A414/Calculator!$F$20,1)-0.5))),1)</f>
        <v>1</v>
      </c>
      <c r="K414" s="219" t="n">
        <f aca="false">IF(Calculator!$E$21="YES",IF(A414&lt;Calculator!$G$21,0,MIN(MIN(MOD(A414/Calculator!$F$21,1),1-MOD(A414/Calculator!$F$21,1)),ABS(MOD(A414/Calculator!$F$21,1)-0.5))),1)</f>
        <v>0.247754385964912</v>
      </c>
      <c r="L414" s="219" t="n">
        <f aca="false">IF(Calculator!$E$22="YES",IF(A414&lt;Calculator!$G$22,0,MIN(MIN(MOD(A414/Calculator!$F$22,1),1-MOD(A414/Calculator!$F$22,1)),ABS(MOD(A414/Calculator!$F$22,1)-0.5))),1)</f>
        <v>1</v>
      </c>
      <c r="M414" s="219" t="n">
        <f aca="false">MIN(B414:L414)</f>
        <v>0.0459473684210536</v>
      </c>
      <c r="N414" s="219" t="n">
        <f aca="false">SUMPRODUCT(($M$7:$M$557&gt;M414)*1)+SUMPRODUCT(($M$7:$M$557=M414)*(ROW($M$7:$M$557)&lt;ROW(M414)))+1</f>
        <v>302</v>
      </c>
      <c r="O414" s="219" t="str">
        <f aca="false">IF(M414&gt;=0.2,"★★★ EXCELLENT",IF(M414&gt;=0.12,"★★  GOOD",IF(M414&gt;=0.07,"★  FAIR",IF(M414&gt;=0.025,"⚠  MARGINAL","✗  AVOID"))))</f>
        <v>⚠  MARGINAL</v>
      </c>
    </row>
    <row r="415" customFormat="false" ht="15" hidden="false" customHeight="true" outlineLevel="0" collapsed="false">
      <c r="A415" s="216" t="n">
        <v>45.8</v>
      </c>
      <c r="B415" s="217" t="n">
        <f aca="false">IF(Calculator!$E$12="YES",IF(A415&lt;Calculator!$G$12,0,MIN(MIN(MOD(A415/Calculator!$F$12,1),1-MOD(A415/Calculator!$F$12,1)),ABS(MOD(A415/Calculator!$F$12,1)-0.5))),1)</f>
        <v>1</v>
      </c>
      <c r="C415" s="217" t="n">
        <f aca="false">IF(Calculator!$E$13="YES",IF(A415&lt;Calculator!$G$13,0,MIN(MIN(MOD(A415/Calculator!$F$13,1),1-MOD(A415/Calculator!$F$13,1)),ABS(MOD(A415/Calculator!$F$13,1)-0.5))),1)</f>
        <v>1</v>
      </c>
      <c r="D415" s="217" t="n">
        <f aca="false">IF(Calculator!$E$14="YES",IF(A415&lt;Calculator!$G$14,0,MIN(MIN(MOD(A415/Calculator!$F$14,1),1-MOD(A415/Calculator!$F$14,1)),ABS(MOD(A415/Calculator!$F$14,1)-0.5))),1)</f>
        <v>1</v>
      </c>
      <c r="E415" s="217" t="n">
        <f aca="false">IF(Calculator!$E$15="YES",IF(A415&lt;Calculator!$G$15,0,MIN(MIN(MOD(A415/Calculator!$F$15,1),1-MOD(A415/Calculator!$F$15,1)),ABS(MOD(A415/Calculator!$F$15,1)-0.5))),1)</f>
        <v>0.201964912280702</v>
      </c>
      <c r="F415" s="217" t="n">
        <f aca="false">IF(Calculator!$E$16="YES",IF(A415&lt;Calculator!$G$16,0,MIN(MIN(MOD(A415/Calculator!$F$16,1),1-MOD(A415/Calculator!$F$16,1)),ABS(MOD(A415/Calculator!$F$16,1)-0.5))),1)</f>
        <v>1</v>
      </c>
      <c r="G415" s="217" t="n">
        <f aca="false">IF(Calculator!$E$17="YES",IF(A415&lt;Calculator!$G$17,0,MIN(MIN(MOD(A415/Calculator!$F$17,1),1-MOD(A415/Calculator!$F$17,1)),ABS(MOD(A415/Calculator!$F$17,1)-0.5))),1)</f>
        <v>0.055894736842105</v>
      </c>
      <c r="H415" s="217" t="n">
        <f aca="false">IF(Calculator!$E$18="YES",IF(A415&lt;Calculator!$G$18,0,MIN(MIN(MOD(A415/Calculator!$F$18,1),1-MOD(A415/Calculator!$F$18,1)),ABS(MOD(A415/Calculator!$F$18,1)-0.5))),1)</f>
        <v>1</v>
      </c>
      <c r="I415" s="217" t="n">
        <f aca="false">IF(Calculator!$E$19="YES",IF(A415&lt;Calculator!$G$19,0,MIN(MIN(MOD(A415/Calculator!$F$19,1),1-MOD(A415/Calculator!$F$19,1)),ABS(MOD(A415/Calculator!$F$19,1)-0.5))),1)</f>
        <v>1</v>
      </c>
      <c r="J415" s="217" t="n">
        <f aca="false">IF(Calculator!$E$20="YES",IF(A415&lt;Calculator!$G$20,0,MIN(MIN(MOD(A415/Calculator!$F$20,1),1-MOD(A415/Calculator!$F$20,1)),ABS(MOD(A415/Calculator!$F$20,1)-0.5))),1)</f>
        <v>1</v>
      </c>
      <c r="K415" s="217" t="n">
        <f aca="false">IF(Calculator!$E$21="YES",IF(A415&lt;Calculator!$G$21,0,MIN(MIN(MOD(A415/Calculator!$F$21,1),1-MOD(A415/Calculator!$F$21,1)),ABS(MOD(A415/Calculator!$F$21,1)-0.5))),1)</f>
        <v>0.227508771929825</v>
      </c>
      <c r="L415" s="217" t="n">
        <f aca="false">IF(Calculator!$E$22="YES",IF(A415&lt;Calculator!$G$22,0,MIN(MIN(MOD(A415/Calculator!$F$22,1),1-MOD(A415/Calculator!$F$22,1)),ABS(MOD(A415/Calculator!$F$22,1)-0.5))),1)</f>
        <v>1</v>
      </c>
      <c r="M415" s="217" t="n">
        <f aca="false">MIN(B415:L415)</f>
        <v>0.055894736842105</v>
      </c>
      <c r="N415" s="217" t="n">
        <f aca="false">SUMPRODUCT(($M$7:$M$557&gt;M415)*1)+SUMPRODUCT(($M$7:$M$557=M415)*(ROW($M$7:$M$557)&lt;ROW(M415)))+1</f>
        <v>261</v>
      </c>
      <c r="O415" s="217" t="str">
        <f aca="false">IF(M415&gt;=0.2,"★★★ EXCELLENT",IF(M415&gt;=0.12,"★★  GOOD",IF(M415&gt;=0.07,"★  FAIR",IF(M415&gt;=0.025,"⚠  MARGINAL","✗  AVOID"))))</f>
        <v>⚠  MARGINAL</v>
      </c>
    </row>
    <row r="416" customFormat="false" ht="15" hidden="false" customHeight="true" outlineLevel="0" collapsed="false">
      <c r="A416" s="218" t="n">
        <v>45.9</v>
      </c>
      <c r="B416" s="219" t="n">
        <f aca="false">IF(Calculator!$E$12="YES",IF(A416&lt;Calculator!$G$12,0,MIN(MIN(MOD(A416/Calculator!$F$12,1),1-MOD(A416/Calculator!$F$12,1)),ABS(MOD(A416/Calculator!$F$12,1)-0.5))),1)</f>
        <v>1</v>
      </c>
      <c r="C416" s="219" t="n">
        <f aca="false">IF(Calculator!$E$13="YES",IF(A416&lt;Calculator!$G$13,0,MIN(MIN(MOD(A416/Calculator!$F$13,1),1-MOD(A416/Calculator!$F$13,1)),ABS(MOD(A416/Calculator!$F$13,1)-0.5))),1)</f>
        <v>1</v>
      </c>
      <c r="D416" s="219" t="n">
        <f aca="false">IF(Calculator!$E$14="YES",IF(A416&lt;Calculator!$G$14,0,MIN(MIN(MOD(A416/Calculator!$F$14,1),1-MOD(A416/Calculator!$F$14,1)),ABS(MOD(A416/Calculator!$F$14,1)-0.5))),1)</f>
        <v>1</v>
      </c>
      <c r="E416" s="219" t="n">
        <f aca="false">IF(Calculator!$E$15="YES",IF(A416&lt;Calculator!$G$15,0,MIN(MIN(MOD(A416/Calculator!$F$15,1),1-MOD(A416/Calculator!$F$15,1)),ABS(MOD(A416/Calculator!$F$15,1)-0.5))),1)</f>
        <v>0.196947368421053</v>
      </c>
      <c r="F416" s="219" t="n">
        <f aca="false">IF(Calculator!$E$16="YES",IF(A416&lt;Calculator!$G$16,0,MIN(MIN(MOD(A416/Calculator!$F$16,1),1-MOD(A416/Calculator!$F$16,1)),ABS(MOD(A416/Calculator!$F$16,1)-0.5))),1)</f>
        <v>1</v>
      </c>
      <c r="G416" s="219" t="n">
        <f aca="false">IF(Calculator!$E$17="YES",IF(A416&lt;Calculator!$G$17,0,MIN(MIN(MOD(A416/Calculator!$F$17,1),1-MOD(A416/Calculator!$F$17,1)),ABS(MOD(A416/Calculator!$F$17,1)-0.5))),1)</f>
        <v>0.0658421052631582</v>
      </c>
      <c r="H416" s="219" t="n">
        <f aca="false">IF(Calculator!$E$18="YES",IF(A416&lt;Calculator!$G$18,0,MIN(MIN(MOD(A416/Calculator!$F$18,1),1-MOD(A416/Calculator!$F$18,1)),ABS(MOD(A416/Calculator!$F$18,1)-0.5))),1)</f>
        <v>1</v>
      </c>
      <c r="I416" s="219" t="n">
        <f aca="false">IF(Calculator!$E$19="YES",IF(A416&lt;Calculator!$G$19,0,MIN(MIN(MOD(A416/Calculator!$F$19,1),1-MOD(A416/Calculator!$F$19,1)),ABS(MOD(A416/Calculator!$F$19,1)-0.5))),1)</f>
        <v>1</v>
      </c>
      <c r="J416" s="219" t="n">
        <f aca="false">IF(Calculator!$E$20="YES",IF(A416&lt;Calculator!$G$20,0,MIN(MIN(MOD(A416/Calculator!$F$20,1),1-MOD(A416/Calculator!$F$20,1)),ABS(MOD(A416/Calculator!$F$20,1)-0.5))),1)</f>
        <v>1</v>
      </c>
      <c r="K416" s="219" t="n">
        <f aca="false">IF(Calculator!$E$21="YES",IF(A416&lt;Calculator!$G$21,0,MIN(MIN(MOD(A416/Calculator!$F$21,1),1-MOD(A416/Calculator!$F$21,1)),ABS(MOD(A416/Calculator!$F$21,1)-0.5))),1)</f>
        <v>0.207263157894737</v>
      </c>
      <c r="L416" s="219" t="n">
        <f aca="false">IF(Calculator!$E$22="YES",IF(A416&lt;Calculator!$G$22,0,MIN(MIN(MOD(A416/Calculator!$F$22,1),1-MOD(A416/Calculator!$F$22,1)),ABS(MOD(A416/Calculator!$F$22,1)-0.5))),1)</f>
        <v>1</v>
      </c>
      <c r="M416" s="219" t="n">
        <f aca="false">MIN(B416:L416)</f>
        <v>0.0658421052631582</v>
      </c>
      <c r="N416" s="219" t="n">
        <f aca="false">SUMPRODUCT(($M$7:$M$557&gt;M416)*1)+SUMPRODUCT(($M$7:$M$557=M416)*(ROW($M$7:$M$557)&lt;ROW(M416)))+1</f>
        <v>223</v>
      </c>
      <c r="O416" s="219" t="str">
        <f aca="false">IF(M416&gt;=0.2,"★★★ EXCELLENT",IF(M416&gt;=0.12,"★★  GOOD",IF(M416&gt;=0.07,"★  FAIR",IF(M416&gt;=0.025,"⚠  MARGINAL","✗  AVOID"))))</f>
        <v>⚠  MARGINAL</v>
      </c>
    </row>
    <row r="417" customFormat="false" ht="15" hidden="false" customHeight="true" outlineLevel="0" collapsed="false">
      <c r="A417" s="216" t="n">
        <v>46</v>
      </c>
      <c r="B417" s="217" t="n">
        <f aca="false">IF(Calculator!$E$12="YES",IF(A417&lt;Calculator!$G$12,0,MIN(MIN(MOD(A417/Calculator!$F$12,1),1-MOD(A417/Calculator!$F$12,1)),ABS(MOD(A417/Calculator!$F$12,1)-0.5))),1)</f>
        <v>1</v>
      </c>
      <c r="C417" s="217" t="n">
        <f aca="false">IF(Calculator!$E$13="YES",IF(A417&lt;Calculator!$G$13,0,MIN(MIN(MOD(A417/Calculator!$F$13,1),1-MOD(A417/Calculator!$F$13,1)),ABS(MOD(A417/Calculator!$F$13,1)-0.5))),1)</f>
        <v>1</v>
      </c>
      <c r="D417" s="217" t="n">
        <f aca="false">IF(Calculator!$E$14="YES",IF(A417&lt;Calculator!$G$14,0,MIN(MIN(MOD(A417/Calculator!$F$14,1),1-MOD(A417/Calculator!$F$14,1)),ABS(MOD(A417/Calculator!$F$14,1)-0.5))),1)</f>
        <v>1</v>
      </c>
      <c r="E417" s="217" t="n">
        <f aca="false">IF(Calculator!$E$15="YES",IF(A417&lt;Calculator!$G$15,0,MIN(MIN(MOD(A417/Calculator!$F$15,1),1-MOD(A417/Calculator!$F$15,1)),ABS(MOD(A417/Calculator!$F$15,1)-0.5))),1)</f>
        <v>0.191929824561404</v>
      </c>
      <c r="F417" s="217" t="n">
        <f aca="false">IF(Calculator!$E$16="YES",IF(A417&lt;Calculator!$G$16,0,MIN(MIN(MOD(A417/Calculator!$F$16,1),1-MOD(A417/Calculator!$F$16,1)),ABS(MOD(A417/Calculator!$F$16,1)-0.5))),1)</f>
        <v>1</v>
      </c>
      <c r="G417" s="217" t="n">
        <f aca="false">IF(Calculator!$E$17="YES",IF(A417&lt;Calculator!$G$17,0,MIN(MIN(MOD(A417/Calculator!$F$17,1),1-MOD(A417/Calculator!$F$17,1)),ABS(MOD(A417/Calculator!$F$17,1)-0.5))),1)</f>
        <v>0.0757894736842113</v>
      </c>
      <c r="H417" s="217" t="n">
        <f aca="false">IF(Calculator!$E$18="YES",IF(A417&lt;Calculator!$G$18,0,MIN(MIN(MOD(A417/Calculator!$F$18,1),1-MOD(A417/Calculator!$F$18,1)),ABS(MOD(A417/Calculator!$F$18,1)-0.5))),1)</f>
        <v>1</v>
      </c>
      <c r="I417" s="217" t="n">
        <f aca="false">IF(Calculator!$E$19="YES",IF(A417&lt;Calculator!$G$19,0,MIN(MIN(MOD(A417/Calculator!$F$19,1),1-MOD(A417/Calculator!$F$19,1)),ABS(MOD(A417/Calculator!$F$19,1)-0.5))),1)</f>
        <v>1</v>
      </c>
      <c r="J417" s="217" t="n">
        <f aca="false">IF(Calculator!$E$20="YES",IF(A417&lt;Calculator!$G$20,0,MIN(MIN(MOD(A417/Calculator!$F$20,1),1-MOD(A417/Calculator!$F$20,1)),ABS(MOD(A417/Calculator!$F$20,1)-0.5))),1)</f>
        <v>1</v>
      </c>
      <c r="K417" s="217" t="n">
        <f aca="false">IF(Calculator!$E$21="YES",IF(A417&lt;Calculator!$G$21,0,MIN(MIN(MOD(A417/Calculator!$F$21,1),1-MOD(A417/Calculator!$F$21,1)),ABS(MOD(A417/Calculator!$F$21,1)-0.5))),1)</f>
        <v>0.18701754385965</v>
      </c>
      <c r="L417" s="217" t="n">
        <f aca="false">IF(Calculator!$E$22="YES",IF(A417&lt;Calculator!$G$22,0,MIN(MIN(MOD(A417/Calculator!$F$22,1),1-MOD(A417/Calculator!$F$22,1)),ABS(MOD(A417/Calculator!$F$22,1)-0.5))),1)</f>
        <v>1</v>
      </c>
      <c r="M417" s="217" t="n">
        <f aca="false">MIN(B417:L417)</f>
        <v>0.0757894736842113</v>
      </c>
      <c r="N417" s="217" t="n">
        <f aca="false">SUMPRODUCT(($M$7:$M$557&gt;M417)*1)+SUMPRODUCT(($M$7:$M$557=M417)*(ROW($M$7:$M$557)&lt;ROW(M417)))+1</f>
        <v>185</v>
      </c>
      <c r="O417" s="217" t="str">
        <f aca="false">IF(M417&gt;=0.2,"★★★ EXCELLENT",IF(M417&gt;=0.12,"★★  GOOD",IF(M417&gt;=0.07,"★  FAIR",IF(M417&gt;=0.025,"⚠  MARGINAL","✗  AVOID"))))</f>
        <v>★  FAIR</v>
      </c>
    </row>
    <row r="418" customFormat="false" ht="15" hidden="false" customHeight="true" outlineLevel="0" collapsed="false">
      <c r="A418" s="218" t="n">
        <v>46.1</v>
      </c>
      <c r="B418" s="219" t="n">
        <f aca="false">IF(Calculator!$E$12="YES",IF(A418&lt;Calculator!$G$12,0,MIN(MIN(MOD(A418/Calculator!$F$12,1),1-MOD(A418/Calculator!$F$12,1)),ABS(MOD(A418/Calculator!$F$12,1)-0.5))),1)</f>
        <v>1</v>
      </c>
      <c r="C418" s="219" t="n">
        <f aca="false">IF(Calculator!$E$13="YES",IF(A418&lt;Calculator!$G$13,0,MIN(MIN(MOD(A418/Calculator!$F$13,1),1-MOD(A418/Calculator!$F$13,1)),ABS(MOD(A418/Calculator!$F$13,1)-0.5))),1)</f>
        <v>1</v>
      </c>
      <c r="D418" s="219" t="n">
        <f aca="false">IF(Calculator!$E$14="YES",IF(A418&lt;Calculator!$G$14,0,MIN(MIN(MOD(A418/Calculator!$F$14,1),1-MOD(A418/Calculator!$F$14,1)),ABS(MOD(A418/Calculator!$F$14,1)-0.5))),1)</f>
        <v>1</v>
      </c>
      <c r="E418" s="219" t="n">
        <f aca="false">IF(Calculator!$E$15="YES",IF(A418&lt;Calculator!$G$15,0,MIN(MIN(MOD(A418/Calculator!$F$15,1),1-MOD(A418/Calculator!$F$15,1)),ABS(MOD(A418/Calculator!$F$15,1)-0.5))),1)</f>
        <v>0.186912280701754</v>
      </c>
      <c r="F418" s="219" t="n">
        <f aca="false">IF(Calculator!$E$16="YES",IF(A418&lt;Calculator!$G$16,0,MIN(MIN(MOD(A418/Calculator!$F$16,1),1-MOD(A418/Calculator!$F$16,1)),ABS(MOD(A418/Calculator!$F$16,1)-0.5))),1)</f>
        <v>1</v>
      </c>
      <c r="G418" s="219" t="n">
        <f aca="false">IF(Calculator!$E$17="YES",IF(A418&lt;Calculator!$G$17,0,MIN(MIN(MOD(A418/Calculator!$F$17,1),1-MOD(A418/Calculator!$F$17,1)),ABS(MOD(A418/Calculator!$F$17,1)-0.5))),1)</f>
        <v>0.0857368421052636</v>
      </c>
      <c r="H418" s="219" t="n">
        <f aca="false">IF(Calculator!$E$18="YES",IF(A418&lt;Calculator!$G$18,0,MIN(MIN(MOD(A418/Calculator!$F$18,1),1-MOD(A418/Calculator!$F$18,1)),ABS(MOD(A418/Calculator!$F$18,1)-0.5))),1)</f>
        <v>1</v>
      </c>
      <c r="I418" s="219" t="n">
        <f aca="false">IF(Calculator!$E$19="YES",IF(A418&lt;Calculator!$G$19,0,MIN(MIN(MOD(A418/Calculator!$F$19,1),1-MOD(A418/Calculator!$F$19,1)),ABS(MOD(A418/Calculator!$F$19,1)-0.5))),1)</f>
        <v>1</v>
      </c>
      <c r="J418" s="219" t="n">
        <f aca="false">IF(Calculator!$E$20="YES",IF(A418&lt;Calculator!$G$20,0,MIN(MIN(MOD(A418/Calculator!$F$20,1),1-MOD(A418/Calculator!$F$20,1)),ABS(MOD(A418/Calculator!$F$20,1)-0.5))),1)</f>
        <v>1</v>
      </c>
      <c r="K418" s="219" t="n">
        <f aca="false">IF(Calculator!$E$21="YES",IF(A418&lt;Calculator!$G$21,0,MIN(MIN(MOD(A418/Calculator!$F$21,1),1-MOD(A418/Calculator!$F$21,1)),ABS(MOD(A418/Calculator!$F$21,1)-0.5))),1)</f>
        <v>0.166771929824561</v>
      </c>
      <c r="L418" s="219" t="n">
        <f aca="false">IF(Calculator!$E$22="YES",IF(A418&lt;Calculator!$G$22,0,MIN(MIN(MOD(A418/Calculator!$F$22,1),1-MOD(A418/Calculator!$F$22,1)),ABS(MOD(A418/Calculator!$F$22,1)-0.5))),1)</f>
        <v>1</v>
      </c>
      <c r="M418" s="219" t="n">
        <f aca="false">MIN(B418:L418)</f>
        <v>0.0857368421052636</v>
      </c>
      <c r="N418" s="219" t="n">
        <f aca="false">SUMPRODUCT(($M$7:$M$557&gt;M418)*1)+SUMPRODUCT(($M$7:$M$557=M418)*(ROW($M$7:$M$557)&lt;ROW(M418)))+1</f>
        <v>149</v>
      </c>
      <c r="O418" s="219" t="str">
        <f aca="false">IF(M418&gt;=0.2,"★★★ EXCELLENT",IF(M418&gt;=0.12,"★★  GOOD",IF(M418&gt;=0.07,"★  FAIR",IF(M418&gt;=0.025,"⚠  MARGINAL","✗  AVOID"))))</f>
        <v>★  FAIR</v>
      </c>
    </row>
    <row r="419" customFormat="false" ht="15" hidden="false" customHeight="true" outlineLevel="0" collapsed="false">
      <c r="A419" s="216" t="n">
        <v>46.2</v>
      </c>
      <c r="B419" s="217" t="n">
        <f aca="false">IF(Calculator!$E$12="YES",IF(A419&lt;Calculator!$G$12,0,MIN(MIN(MOD(A419/Calculator!$F$12,1),1-MOD(A419/Calculator!$F$12,1)),ABS(MOD(A419/Calculator!$F$12,1)-0.5))),1)</f>
        <v>1</v>
      </c>
      <c r="C419" s="217" t="n">
        <f aca="false">IF(Calculator!$E$13="YES",IF(A419&lt;Calculator!$G$13,0,MIN(MIN(MOD(A419/Calculator!$F$13,1),1-MOD(A419/Calculator!$F$13,1)),ABS(MOD(A419/Calculator!$F$13,1)-0.5))),1)</f>
        <v>1</v>
      </c>
      <c r="D419" s="217" t="n">
        <f aca="false">IF(Calculator!$E$14="YES",IF(A419&lt;Calculator!$G$14,0,MIN(MIN(MOD(A419/Calculator!$F$14,1),1-MOD(A419/Calculator!$F$14,1)),ABS(MOD(A419/Calculator!$F$14,1)-0.5))),1)</f>
        <v>1</v>
      </c>
      <c r="E419" s="217" t="n">
        <f aca="false">IF(Calculator!$E$15="YES",IF(A419&lt;Calculator!$G$15,0,MIN(MIN(MOD(A419/Calculator!$F$15,1),1-MOD(A419/Calculator!$F$15,1)),ABS(MOD(A419/Calculator!$F$15,1)-0.5))),1)</f>
        <v>0.181894736842105</v>
      </c>
      <c r="F419" s="217" t="n">
        <f aca="false">IF(Calculator!$E$16="YES",IF(A419&lt;Calculator!$G$16,0,MIN(MIN(MOD(A419/Calculator!$F$16,1),1-MOD(A419/Calculator!$F$16,1)),ABS(MOD(A419/Calculator!$F$16,1)-0.5))),1)</f>
        <v>1</v>
      </c>
      <c r="G419" s="217" t="n">
        <f aca="false">IF(Calculator!$E$17="YES",IF(A419&lt;Calculator!$G$17,0,MIN(MIN(MOD(A419/Calculator!$F$17,1),1-MOD(A419/Calculator!$F$17,1)),ABS(MOD(A419/Calculator!$F$17,1)-0.5))),1)</f>
        <v>0.0956842105263167</v>
      </c>
      <c r="H419" s="217" t="n">
        <f aca="false">IF(Calculator!$E$18="YES",IF(A419&lt;Calculator!$G$18,0,MIN(MIN(MOD(A419/Calculator!$F$18,1),1-MOD(A419/Calculator!$F$18,1)),ABS(MOD(A419/Calculator!$F$18,1)-0.5))),1)</f>
        <v>1</v>
      </c>
      <c r="I419" s="217" t="n">
        <f aca="false">IF(Calculator!$E$19="YES",IF(A419&lt;Calculator!$G$19,0,MIN(MIN(MOD(A419/Calculator!$F$19,1),1-MOD(A419/Calculator!$F$19,1)),ABS(MOD(A419/Calculator!$F$19,1)-0.5))),1)</f>
        <v>1</v>
      </c>
      <c r="J419" s="217" t="n">
        <f aca="false">IF(Calculator!$E$20="YES",IF(A419&lt;Calculator!$G$20,0,MIN(MIN(MOD(A419/Calculator!$F$20,1),1-MOD(A419/Calculator!$F$20,1)),ABS(MOD(A419/Calculator!$F$20,1)-0.5))),1)</f>
        <v>1</v>
      </c>
      <c r="K419" s="217" t="n">
        <f aca="false">IF(Calculator!$E$21="YES",IF(A419&lt;Calculator!$G$21,0,MIN(MIN(MOD(A419/Calculator!$F$21,1),1-MOD(A419/Calculator!$F$21,1)),ABS(MOD(A419/Calculator!$F$21,1)-0.5))),1)</f>
        <v>0.146526315789473</v>
      </c>
      <c r="L419" s="217" t="n">
        <f aca="false">IF(Calculator!$E$22="YES",IF(A419&lt;Calculator!$G$22,0,MIN(MIN(MOD(A419/Calculator!$F$22,1),1-MOD(A419/Calculator!$F$22,1)),ABS(MOD(A419/Calculator!$F$22,1)-0.5))),1)</f>
        <v>1</v>
      </c>
      <c r="M419" s="217" t="n">
        <f aca="false">MIN(B419:L419)</f>
        <v>0.0956842105263167</v>
      </c>
      <c r="N419" s="217" t="n">
        <f aca="false">SUMPRODUCT(($M$7:$M$557&gt;M419)*1)+SUMPRODUCT(($M$7:$M$557=M419)*(ROW($M$7:$M$557)&lt;ROW(M419)))+1</f>
        <v>118</v>
      </c>
      <c r="O419" s="217" t="str">
        <f aca="false">IF(M419&gt;=0.2,"★★★ EXCELLENT",IF(M419&gt;=0.12,"★★  GOOD",IF(M419&gt;=0.07,"★  FAIR",IF(M419&gt;=0.025,"⚠  MARGINAL","✗  AVOID"))))</f>
        <v>★  FAIR</v>
      </c>
    </row>
    <row r="420" customFormat="false" ht="15" hidden="false" customHeight="true" outlineLevel="0" collapsed="false">
      <c r="A420" s="218" t="n">
        <v>46.3</v>
      </c>
      <c r="B420" s="219" t="n">
        <f aca="false">IF(Calculator!$E$12="YES",IF(A420&lt;Calculator!$G$12,0,MIN(MIN(MOD(A420/Calculator!$F$12,1),1-MOD(A420/Calculator!$F$12,1)),ABS(MOD(A420/Calculator!$F$12,1)-0.5))),1)</f>
        <v>1</v>
      </c>
      <c r="C420" s="219" t="n">
        <f aca="false">IF(Calculator!$E$13="YES",IF(A420&lt;Calculator!$G$13,0,MIN(MIN(MOD(A420/Calculator!$F$13,1),1-MOD(A420/Calculator!$F$13,1)),ABS(MOD(A420/Calculator!$F$13,1)-0.5))),1)</f>
        <v>1</v>
      </c>
      <c r="D420" s="219" t="n">
        <f aca="false">IF(Calculator!$E$14="YES",IF(A420&lt;Calculator!$G$14,0,MIN(MIN(MOD(A420/Calculator!$F$14,1),1-MOD(A420/Calculator!$F$14,1)),ABS(MOD(A420/Calculator!$F$14,1)-0.5))),1)</f>
        <v>1</v>
      </c>
      <c r="E420" s="219" t="n">
        <f aca="false">IF(Calculator!$E$15="YES",IF(A420&lt;Calculator!$G$15,0,MIN(MIN(MOD(A420/Calculator!$F$15,1),1-MOD(A420/Calculator!$F$15,1)),ABS(MOD(A420/Calculator!$F$15,1)-0.5))),1)</f>
        <v>0.176877192982456</v>
      </c>
      <c r="F420" s="219" t="n">
        <f aca="false">IF(Calculator!$E$16="YES",IF(A420&lt;Calculator!$G$16,0,MIN(MIN(MOD(A420/Calculator!$F$16,1),1-MOD(A420/Calculator!$F$16,1)),ABS(MOD(A420/Calculator!$F$16,1)-0.5))),1)</f>
        <v>1</v>
      </c>
      <c r="G420" s="219" t="n">
        <f aca="false">IF(Calculator!$E$17="YES",IF(A420&lt;Calculator!$G$17,0,MIN(MIN(MOD(A420/Calculator!$F$17,1),1-MOD(A420/Calculator!$F$17,1)),ABS(MOD(A420/Calculator!$F$17,1)-0.5))),1)</f>
        <v>0.105631578947368</v>
      </c>
      <c r="H420" s="219" t="n">
        <f aca="false">IF(Calculator!$E$18="YES",IF(A420&lt;Calculator!$G$18,0,MIN(MIN(MOD(A420/Calculator!$F$18,1),1-MOD(A420/Calculator!$F$18,1)),ABS(MOD(A420/Calculator!$F$18,1)-0.5))),1)</f>
        <v>1</v>
      </c>
      <c r="I420" s="219" t="n">
        <f aca="false">IF(Calculator!$E$19="YES",IF(A420&lt;Calculator!$G$19,0,MIN(MIN(MOD(A420/Calculator!$F$19,1),1-MOD(A420/Calculator!$F$19,1)),ABS(MOD(A420/Calculator!$F$19,1)-0.5))),1)</f>
        <v>1</v>
      </c>
      <c r="J420" s="219" t="n">
        <f aca="false">IF(Calculator!$E$20="YES",IF(A420&lt;Calculator!$G$20,0,MIN(MIN(MOD(A420/Calculator!$F$20,1),1-MOD(A420/Calculator!$F$20,1)),ABS(MOD(A420/Calculator!$F$20,1)-0.5))),1)</f>
        <v>1</v>
      </c>
      <c r="K420" s="219" t="n">
        <f aca="false">IF(Calculator!$E$21="YES",IF(A420&lt;Calculator!$G$21,0,MIN(MIN(MOD(A420/Calculator!$F$21,1),1-MOD(A420/Calculator!$F$21,1)),ABS(MOD(A420/Calculator!$F$21,1)-0.5))),1)</f>
        <v>0.126280701754387</v>
      </c>
      <c r="L420" s="219" t="n">
        <f aca="false">IF(Calculator!$E$22="YES",IF(A420&lt;Calculator!$G$22,0,MIN(MIN(MOD(A420/Calculator!$F$22,1),1-MOD(A420/Calculator!$F$22,1)),ABS(MOD(A420/Calculator!$F$22,1)-0.5))),1)</f>
        <v>1</v>
      </c>
      <c r="M420" s="219" t="n">
        <f aca="false">MIN(B420:L420)</f>
        <v>0.105631578947368</v>
      </c>
      <c r="N420" s="219" t="n">
        <f aca="false">SUMPRODUCT(($M$7:$M$557&gt;M420)*1)+SUMPRODUCT(($M$7:$M$557=M420)*(ROW($M$7:$M$557)&lt;ROW(M420)))+1</f>
        <v>93</v>
      </c>
      <c r="O420" s="219" t="str">
        <f aca="false">IF(M420&gt;=0.2,"★★★ EXCELLENT",IF(M420&gt;=0.12,"★★  GOOD",IF(M420&gt;=0.07,"★  FAIR",IF(M420&gt;=0.025,"⚠  MARGINAL","✗  AVOID"))))</f>
        <v>★  FAIR</v>
      </c>
    </row>
    <row r="421" customFormat="false" ht="15" hidden="false" customHeight="true" outlineLevel="0" collapsed="false">
      <c r="A421" s="216" t="n">
        <v>46.4</v>
      </c>
      <c r="B421" s="217" t="n">
        <f aca="false">IF(Calculator!$E$12="YES",IF(A421&lt;Calculator!$G$12,0,MIN(MIN(MOD(A421/Calculator!$F$12,1),1-MOD(A421/Calculator!$F$12,1)),ABS(MOD(A421/Calculator!$F$12,1)-0.5))),1)</f>
        <v>1</v>
      </c>
      <c r="C421" s="217" t="n">
        <f aca="false">IF(Calculator!$E$13="YES",IF(A421&lt;Calculator!$G$13,0,MIN(MIN(MOD(A421/Calculator!$F$13,1),1-MOD(A421/Calculator!$F$13,1)),ABS(MOD(A421/Calculator!$F$13,1)-0.5))),1)</f>
        <v>1</v>
      </c>
      <c r="D421" s="217" t="n">
        <f aca="false">IF(Calculator!$E$14="YES",IF(A421&lt;Calculator!$G$14,0,MIN(MIN(MOD(A421/Calculator!$F$14,1),1-MOD(A421/Calculator!$F$14,1)),ABS(MOD(A421/Calculator!$F$14,1)-0.5))),1)</f>
        <v>1</v>
      </c>
      <c r="E421" s="217" t="n">
        <f aca="false">IF(Calculator!$E$15="YES",IF(A421&lt;Calculator!$G$15,0,MIN(MIN(MOD(A421/Calculator!$F$15,1),1-MOD(A421/Calculator!$F$15,1)),ABS(MOD(A421/Calculator!$F$15,1)-0.5))),1)</f>
        <v>0.171859649122807</v>
      </c>
      <c r="F421" s="217" t="n">
        <f aca="false">IF(Calculator!$E$16="YES",IF(A421&lt;Calculator!$G$16,0,MIN(MIN(MOD(A421/Calculator!$F$16,1),1-MOD(A421/Calculator!$F$16,1)),ABS(MOD(A421/Calculator!$F$16,1)-0.5))),1)</f>
        <v>1</v>
      </c>
      <c r="G421" s="217" t="n">
        <f aca="false">IF(Calculator!$E$17="YES",IF(A421&lt;Calculator!$G$17,0,MIN(MIN(MOD(A421/Calculator!$F$17,1),1-MOD(A421/Calculator!$F$17,1)),ABS(MOD(A421/Calculator!$F$17,1)-0.5))),1)</f>
        <v>0.115578947368421</v>
      </c>
      <c r="H421" s="217" t="n">
        <f aca="false">IF(Calculator!$E$18="YES",IF(A421&lt;Calculator!$G$18,0,MIN(MIN(MOD(A421/Calculator!$F$18,1),1-MOD(A421/Calculator!$F$18,1)),ABS(MOD(A421/Calculator!$F$18,1)-0.5))),1)</f>
        <v>1</v>
      </c>
      <c r="I421" s="217" t="n">
        <f aca="false">IF(Calculator!$E$19="YES",IF(A421&lt;Calculator!$G$19,0,MIN(MIN(MOD(A421/Calculator!$F$19,1),1-MOD(A421/Calculator!$F$19,1)),ABS(MOD(A421/Calculator!$F$19,1)-0.5))),1)</f>
        <v>1</v>
      </c>
      <c r="J421" s="217" t="n">
        <f aca="false">IF(Calculator!$E$20="YES",IF(A421&lt;Calculator!$G$20,0,MIN(MIN(MOD(A421/Calculator!$F$20,1),1-MOD(A421/Calculator!$F$20,1)),ABS(MOD(A421/Calculator!$F$20,1)-0.5))),1)</f>
        <v>1</v>
      </c>
      <c r="K421" s="217" t="n">
        <f aca="false">IF(Calculator!$E$21="YES",IF(A421&lt;Calculator!$G$21,0,MIN(MIN(MOD(A421/Calculator!$F$21,1),1-MOD(A421/Calculator!$F$21,1)),ABS(MOD(A421/Calculator!$F$21,1)-0.5))),1)</f>
        <v>0.106035087719299</v>
      </c>
      <c r="L421" s="217" t="n">
        <f aca="false">IF(Calculator!$E$22="YES",IF(A421&lt;Calculator!$G$22,0,MIN(MIN(MOD(A421/Calculator!$F$22,1),1-MOD(A421/Calculator!$F$22,1)),ABS(MOD(A421/Calculator!$F$22,1)-0.5))),1)</f>
        <v>1</v>
      </c>
      <c r="M421" s="217" t="n">
        <f aca="false">MIN(B421:L421)</f>
        <v>0.106035087719299</v>
      </c>
      <c r="N421" s="217" t="n">
        <f aca="false">SUMPRODUCT(($M$7:$M$557&gt;M421)*1)+SUMPRODUCT(($M$7:$M$557=M421)*(ROW($M$7:$M$557)&lt;ROW(M421)))+1</f>
        <v>92</v>
      </c>
      <c r="O421" s="217" t="str">
        <f aca="false">IF(M421&gt;=0.2,"★★★ EXCELLENT",IF(M421&gt;=0.12,"★★  GOOD",IF(M421&gt;=0.07,"★  FAIR",IF(M421&gt;=0.025,"⚠  MARGINAL","✗  AVOID"))))</f>
        <v>★  FAIR</v>
      </c>
    </row>
    <row r="422" customFormat="false" ht="15" hidden="false" customHeight="true" outlineLevel="0" collapsed="false">
      <c r="A422" s="218" t="n">
        <v>46.5</v>
      </c>
      <c r="B422" s="219" t="n">
        <f aca="false">IF(Calculator!$E$12="YES",IF(A422&lt;Calculator!$G$12,0,MIN(MIN(MOD(A422/Calculator!$F$12,1),1-MOD(A422/Calculator!$F$12,1)),ABS(MOD(A422/Calculator!$F$12,1)-0.5))),1)</f>
        <v>1</v>
      </c>
      <c r="C422" s="219" t="n">
        <f aca="false">IF(Calculator!$E$13="YES",IF(A422&lt;Calculator!$G$13,0,MIN(MIN(MOD(A422/Calculator!$F$13,1),1-MOD(A422/Calculator!$F$13,1)),ABS(MOD(A422/Calculator!$F$13,1)-0.5))),1)</f>
        <v>1</v>
      </c>
      <c r="D422" s="219" t="n">
        <f aca="false">IF(Calculator!$E$14="YES",IF(A422&lt;Calculator!$G$14,0,MIN(MIN(MOD(A422/Calculator!$F$14,1),1-MOD(A422/Calculator!$F$14,1)),ABS(MOD(A422/Calculator!$F$14,1)-0.5))),1)</f>
        <v>1</v>
      </c>
      <c r="E422" s="219" t="n">
        <f aca="false">IF(Calculator!$E$15="YES",IF(A422&lt;Calculator!$G$15,0,MIN(MIN(MOD(A422/Calculator!$F$15,1),1-MOD(A422/Calculator!$F$15,1)),ABS(MOD(A422/Calculator!$F$15,1)-0.5))),1)</f>
        <v>0.166842105263158</v>
      </c>
      <c r="F422" s="219" t="n">
        <f aca="false">IF(Calculator!$E$16="YES",IF(A422&lt;Calculator!$G$16,0,MIN(MIN(MOD(A422/Calculator!$F$16,1),1-MOD(A422/Calculator!$F$16,1)),ABS(MOD(A422/Calculator!$F$16,1)-0.5))),1)</f>
        <v>1</v>
      </c>
      <c r="G422" s="219" t="n">
        <f aca="false">IF(Calculator!$E$17="YES",IF(A422&lt;Calculator!$G$17,0,MIN(MIN(MOD(A422/Calculator!$F$17,1),1-MOD(A422/Calculator!$F$17,1)),ABS(MOD(A422/Calculator!$F$17,1)-0.5))),1)</f>
        <v>0.125526315789474</v>
      </c>
      <c r="H422" s="219" t="n">
        <f aca="false">IF(Calculator!$E$18="YES",IF(A422&lt;Calculator!$G$18,0,MIN(MIN(MOD(A422/Calculator!$F$18,1),1-MOD(A422/Calculator!$F$18,1)),ABS(MOD(A422/Calculator!$F$18,1)-0.5))),1)</f>
        <v>1</v>
      </c>
      <c r="I422" s="219" t="n">
        <f aca="false">IF(Calculator!$E$19="YES",IF(A422&lt;Calculator!$G$19,0,MIN(MIN(MOD(A422/Calculator!$F$19,1),1-MOD(A422/Calculator!$F$19,1)),ABS(MOD(A422/Calculator!$F$19,1)-0.5))),1)</f>
        <v>1</v>
      </c>
      <c r="J422" s="219" t="n">
        <f aca="false">IF(Calculator!$E$20="YES",IF(A422&lt;Calculator!$G$20,0,MIN(MIN(MOD(A422/Calculator!$F$20,1),1-MOD(A422/Calculator!$F$20,1)),ABS(MOD(A422/Calculator!$F$20,1)-0.5))),1)</f>
        <v>1</v>
      </c>
      <c r="K422" s="219" t="n">
        <f aca="false">IF(Calculator!$E$21="YES",IF(A422&lt;Calculator!$G$21,0,MIN(MIN(MOD(A422/Calculator!$F$21,1),1-MOD(A422/Calculator!$F$21,1)),ABS(MOD(A422/Calculator!$F$21,1)-0.5))),1)</f>
        <v>0.0857894736842102</v>
      </c>
      <c r="L422" s="219" t="n">
        <f aca="false">IF(Calculator!$E$22="YES",IF(A422&lt;Calculator!$G$22,0,MIN(MIN(MOD(A422/Calculator!$F$22,1),1-MOD(A422/Calculator!$F$22,1)),ABS(MOD(A422/Calculator!$F$22,1)-0.5))),1)</f>
        <v>1</v>
      </c>
      <c r="M422" s="219" t="n">
        <f aca="false">MIN(B422:L422)</f>
        <v>0.0857894736842102</v>
      </c>
      <c r="N422" s="219" t="n">
        <f aca="false">SUMPRODUCT(($M$7:$M$557&gt;M422)*1)+SUMPRODUCT(($M$7:$M$557=M422)*(ROW($M$7:$M$557)&lt;ROW(M422)))+1</f>
        <v>148</v>
      </c>
      <c r="O422" s="219" t="str">
        <f aca="false">IF(M422&gt;=0.2,"★★★ EXCELLENT",IF(M422&gt;=0.12,"★★  GOOD",IF(M422&gt;=0.07,"★  FAIR",IF(M422&gt;=0.025,"⚠  MARGINAL","✗  AVOID"))))</f>
        <v>★  FAIR</v>
      </c>
    </row>
    <row r="423" customFormat="false" ht="15" hidden="false" customHeight="true" outlineLevel="0" collapsed="false">
      <c r="A423" s="216" t="n">
        <v>46.6</v>
      </c>
      <c r="B423" s="217" t="n">
        <f aca="false">IF(Calculator!$E$12="YES",IF(A423&lt;Calculator!$G$12,0,MIN(MIN(MOD(A423/Calculator!$F$12,1),1-MOD(A423/Calculator!$F$12,1)),ABS(MOD(A423/Calculator!$F$12,1)-0.5))),1)</f>
        <v>1</v>
      </c>
      <c r="C423" s="217" t="n">
        <f aca="false">IF(Calculator!$E$13="YES",IF(A423&lt;Calculator!$G$13,0,MIN(MIN(MOD(A423/Calculator!$F$13,1),1-MOD(A423/Calculator!$F$13,1)),ABS(MOD(A423/Calculator!$F$13,1)-0.5))),1)</f>
        <v>1</v>
      </c>
      <c r="D423" s="217" t="n">
        <f aca="false">IF(Calculator!$E$14="YES",IF(A423&lt;Calculator!$G$14,0,MIN(MIN(MOD(A423/Calculator!$F$14,1),1-MOD(A423/Calculator!$F$14,1)),ABS(MOD(A423/Calculator!$F$14,1)-0.5))),1)</f>
        <v>1</v>
      </c>
      <c r="E423" s="217" t="n">
        <f aca="false">IF(Calculator!$E$15="YES",IF(A423&lt;Calculator!$G$15,0,MIN(MIN(MOD(A423/Calculator!$F$15,1),1-MOD(A423/Calculator!$F$15,1)),ABS(MOD(A423/Calculator!$F$15,1)-0.5))),1)</f>
        <v>0.161824561403509</v>
      </c>
      <c r="F423" s="217" t="n">
        <f aca="false">IF(Calculator!$E$16="YES",IF(A423&lt;Calculator!$G$16,0,MIN(MIN(MOD(A423/Calculator!$F$16,1),1-MOD(A423/Calculator!$F$16,1)),ABS(MOD(A423/Calculator!$F$16,1)-0.5))),1)</f>
        <v>1</v>
      </c>
      <c r="G423" s="217" t="n">
        <f aca="false">IF(Calculator!$E$17="YES",IF(A423&lt;Calculator!$G$17,0,MIN(MIN(MOD(A423/Calculator!$F$17,1),1-MOD(A423/Calculator!$F$17,1)),ABS(MOD(A423/Calculator!$F$17,1)-0.5))),1)</f>
        <v>0.135473684210527</v>
      </c>
      <c r="H423" s="217" t="n">
        <f aca="false">IF(Calculator!$E$18="YES",IF(A423&lt;Calculator!$G$18,0,MIN(MIN(MOD(A423/Calculator!$F$18,1),1-MOD(A423/Calculator!$F$18,1)),ABS(MOD(A423/Calculator!$F$18,1)-0.5))),1)</f>
        <v>1</v>
      </c>
      <c r="I423" s="217" t="n">
        <f aca="false">IF(Calculator!$E$19="YES",IF(A423&lt;Calculator!$G$19,0,MIN(MIN(MOD(A423/Calculator!$F$19,1),1-MOD(A423/Calculator!$F$19,1)),ABS(MOD(A423/Calculator!$F$19,1)-0.5))),1)</f>
        <v>1</v>
      </c>
      <c r="J423" s="217" t="n">
        <f aca="false">IF(Calculator!$E$20="YES",IF(A423&lt;Calculator!$G$20,0,MIN(MIN(MOD(A423/Calculator!$F$20,1),1-MOD(A423/Calculator!$F$20,1)),ABS(MOD(A423/Calculator!$F$20,1)-0.5))),1)</f>
        <v>1</v>
      </c>
      <c r="K423" s="217" t="n">
        <f aca="false">IF(Calculator!$E$21="YES",IF(A423&lt;Calculator!$G$21,0,MIN(MIN(MOD(A423/Calculator!$F$21,1),1-MOD(A423/Calculator!$F$21,1)),ABS(MOD(A423/Calculator!$F$21,1)-0.5))),1)</f>
        <v>0.0655438596491234</v>
      </c>
      <c r="L423" s="217" t="n">
        <f aca="false">IF(Calculator!$E$22="YES",IF(A423&lt;Calculator!$G$22,0,MIN(MIN(MOD(A423/Calculator!$F$22,1),1-MOD(A423/Calculator!$F$22,1)),ABS(MOD(A423/Calculator!$F$22,1)-0.5))),1)</f>
        <v>1</v>
      </c>
      <c r="M423" s="217" t="n">
        <f aca="false">MIN(B423:L423)</f>
        <v>0.0655438596491234</v>
      </c>
      <c r="N423" s="217" t="n">
        <f aca="false">SUMPRODUCT(($M$7:$M$557&gt;M423)*1)+SUMPRODUCT(($M$7:$M$557=M423)*(ROW($M$7:$M$557)&lt;ROW(M423)))+1</f>
        <v>224</v>
      </c>
      <c r="O423" s="217" t="str">
        <f aca="false">IF(M423&gt;=0.2,"★★★ EXCELLENT",IF(M423&gt;=0.12,"★★  GOOD",IF(M423&gt;=0.07,"★  FAIR",IF(M423&gt;=0.025,"⚠  MARGINAL","✗  AVOID"))))</f>
        <v>⚠  MARGINAL</v>
      </c>
    </row>
    <row r="424" customFormat="false" ht="15" hidden="false" customHeight="true" outlineLevel="0" collapsed="false">
      <c r="A424" s="218" t="n">
        <v>46.7</v>
      </c>
      <c r="B424" s="219" t="n">
        <f aca="false">IF(Calculator!$E$12="YES",IF(A424&lt;Calculator!$G$12,0,MIN(MIN(MOD(A424/Calculator!$F$12,1),1-MOD(A424/Calculator!$F$12,1)),ABS(MOD(A424/Calculator!$F$12,1)-0.5))),1)</f>
        <v>1</v>
      </c>
      <c r="C424" s="219" t="n">
        <f aca="false">IF(Calculator!$E$13="YES",IF(A424&lt;Calculator!$G$13,0,MIN(MIN(MOD(A424/Calculator!$F$13,1),1-MOD(A424/Calculator!$F$13,1)),ABS(MOD(A424/Calculator!$F$13,1)-0.5))),1)</f>
        <v>1</v>
      </c>
      <c r="D424" s="219" t="n">
        <f aca="false">IF(Calculator!$E$14="YES",IF(A424&lt;Calculator!$G$14,0,MIN(MIN(MOD(A424/Calculator!$F$14,1),1-MOD(A424/Calculator!$F$14,1)),ABS(MOD(A424/Calculator!$F$14,1)-0.5))),1)</f>
        <v>1</v>
      </c>
      <c r="E424" s="219" t="n">
        <f aca="false">IF(Calculator!$E$15="YES",IF(A424&lt;Calculator!$G$15,0,MIN(MIN(MOD(A424/Calculator!$F$15,1),1-MOD(A424/Calculator!$F$15,1)),ABS(MOD(A424/Calculator!$F$15,1)-0.5))),1)</f>
        <v>0.156807017543859</v>
      </c>
      <c r="F424" s="219" t="n">
        <f aca="false">IF(Calculator!$E$16="YES",IF(A424&lt;Calculator!$G$16,0,MIN(MIN(MOD(A424/Calculator!$F$16,1),1-MOD(A424/Calculator!$F$16,1)),ABS(MOD(A424/Calculator!$F$16,1)-0.5))),1)</f>
        <v>1</v>
      </c>
      <c r="G424" s="219" t="n">
        <f aca="false">IF(Calculator!$E$17="YES",IF(A424&lt;Calculator!$G$17,0,MIN(MIN(MOD(A424/Calculator!$F$17,1),1-MOD(A424/Calculator!$F$17,1)),ABS(MOD(A424/Calculator!$F$17,1)-0.5))),1)</f>
        <v>0.14542105263158</v>
      </c>
      <c r="H424" s="219" t="n">
        <f aca="false">IF(Calculator!$E$18="YES",IF(A424&lt;Calculator!$G$18,0,MIN(MIN(MOD(A424/Calculator!$F$18,1),1-MOD(A424/Calculator!$F$18,1)),ABS(MOD(A424/Calculator!$F$18,1)-0.5))),1)</f>
        <v>1</v>
      </c>
      <c r="I424" s="219" t="n">
        <f aca="false">IF(Calculator!$E$19="YES",IF(A424&lt;Calculator!$G$19,0,MIN(MIN(MOD(A424/Calculator!$F$19,1),1-MOD(A424/Calculator!$F$19,1)),ABS(MOD(A424/Calculator!$F$19,1)-0.5))),1)</f>
        <v>1</v>
      </c>
      <c r="J424" s="219" t="n">
        <f aca="false">IF(Calculator!$E$20="YES",IF(A424&lt;Calculator!$G$20,0,MIN(MIN(MOD(A424/Calculator!$F$20,1),1-MOD(A424/Calculator!$F$20,1)),ABS(MOD(A424/Calculator!$F$20,1)-0.5))),1)</f>
        <v>1</v>
      </c>
      <c r="K424" s="219" t="n">
        <f aca="false">IF(Calculator!$E$21="YES",IF(A424&lt;Calculator!$G$21,0,MIN(MIN(MOD(A424/Calculator!$F$21,1),1-MOD(A424/Calculator!$F$21,1)),ABS(MOD(A424/Calculator!$F$21,1)-0.5))),1)</f>
        <v>0.0452982456140347</v>
      </c>
      <c r="L424" s="219" t="n">
        <f aca="false">IF(Calculator!$E$22="YES",IF(A424&lt;Calculator!$G$22,0,MIN(MIN(MOD(A424/Calculator!$F$22,1),1-MOD(A424/Calculator!$F$22,1)),ABS(MOD(A424/Calculator!$F$22,1)-0.5))),1)</f>
        <v>1</v>
      </c>
      <c r="M424" s="219" t="n">
        <f aca="false">MIN(B424:L424)</f>
        <v>0.0452982456140347</v>
      </c>
      <c r="N424" s="219" t="n">
        <f aca="false">SUMPRODUCT(($M$7:$M$557&gt;M424)*1)+SUMPRODUCT(($M$7:$M$557=M424)*(ROW($M$7:$M$557)&lt;ROW(M424)))+1</f>
        <v>304</v>
      </c>
      <c r="O424" s="219" t="str">
        <f aca="false">IF(M424&gt;=0.2,"★★★ EXCELLENT",IF(M424&gt;=0.12,"★★  GOOD",IF(M424&gt;=0.07,"★  FAIR",IF(M424&gt;=0.025,"⚠  MARGINAL","✗  AVOID"))))</f>
        <v>⚠  MARGINAL</v>
      </c>
    </row>
    <row r="425" customFormat="false" ht="15" hidden="false" customHeight="true" outlineLevel="0" collapsed="false">
      <c r="A425" s="216" t="n">
        <v>46.8</v>
      </c>
      <c r="B425" s="217" t="n">
        <f aca="false">IF(Calculator!$E$12="YES",IF(A425&lt;Calculator!$G$12,0,MIN(MIN(MOD(A425/Calculator!$F$12,1),1-MOD(A425/Calculator!$F$12,1)),ABS(MOD(A425/Calculator!$F$12,1)-0.5))),1)</f>
        <v>1</v>
      </c>
      <c r="C425" s="217" t="n">
        <f aca="false">IF(Calculator!$E$13="YES",IF(A425&lt;Calculator!$G$13,0,MIN(MIN(MOD(A425/Calculator!$F$13,1),1-MOD(A425/Calculator!$F$13,1)),ABS(MOD(A425/Calculator!$F$13,1)-0.5))),1)</f>
        <v>1</v>
      </c>
      <c r="D425" s="217" t="n">
        <f aca="false">IF(Calculator!$E$14="YES",IF(A425&lt;Calculator!$G$14,0,MIN(MIN(MOD(A425/Calculator!$F$14,1),1-MOD(A425/Calculator!$F$14,1)),ABS(MOD(A425/Calculator!$F$14,1)-0.5))),1)</f>
        <v>1</v>
      </c>
      <c r="E425" s="217" t="n">
        <f aca="false">IF(Calculator!$E$15="YES",IF(A425&lt;Calculator!$G$15,0,MIN(MIN(MOD(A425/Calculator!$F$15,1),1-MOD(A425/Calculator!$F$15,1)),ABS(MOD(A425/Calculator!$F$15,1)-0.5))),1)</f>
        <v>0.15178947368421</v>
      </c>
      <c r="F425" s="217" t="n">
        <f aca="false">IF(Calculator!$E$16="YES",IF(A425&lt;Calculator!$G$16,0,MIN(MIN(MOD(A425/Calculator!$F$16,1),1-MOD(A425/Calculator!$F$16,1)),ABS(MOD(A425/Calculator!$F$16,1)-0.5))),1)</f>
        <v>1</v>
      </c>
      <c r="G425" s="217" t="n">
        <f aca="false">IF(Calculator!$E$17="YES",IF(A425&lt;Calculator!$G$17,0,MIN(MIN(MOD(A425/Calculator!$F$17,1),1-MOD(A425/Calculator!$F$17,1)),ABS(MOD(A425/Calculator!$F$17,1)-0.5))),1)</f>
        <v>0.155368421052632</v>
      </c>
      <c r="H425" s="217" t="n">
        <f aca="false">IF(Calculator!$E$18="YES",IF(A425&lt;Calculator!$G$18,0,MIN(MIN(MOD(A425/Calculator!$F$18,1),1-MOD(A425/Calculator!$F$18,1)),ABS(MOD(A425/Calculator!$F$18,1)-0.5))),1)</f>
        <v>1</v>
      </c>
      <c r="I425" s="217" t="n">
        <f aca="false">IF(Calculator!$E$19="YES",IF(A425&lt;Calculator!$G$19,0,MIN(MIN(MOD(A425/Calculator!$F$19,1),1-MOD(A425/Calculator!$F$19,1)),ABS(MOD(A425/Calculator!$F$19,1)-0.5))),1)</f>
        <v>1</v>
      </c>
      <c r="J425" s="217" t="n">
        <f aca="false">IF(Calculator!$E$20="YES",IF(A425&lt;Calculator!$G$20,0,MIN(MIN(MOD(A425/Calculator!$F$20,1),1-MOD(A425/Calculator!$F$20,1)),ABS(MOD(A425/Calculator!$F$20,1)-0.5))),1)</f>
        <v>1</v>
      </c>
      <c r="K425" s="217" t="n">
        <f aca="false">IF(Calculator!$E$21="YES",IF(A425&lt;Calculator!$G$21,0,MIN(MIN(MOD(A425/Calculator!$F$21,1),1-MOD(A425/Calculator!$F$21,1)),ABS(MOD(A425/Calculator!$F$21,1)-0.5))),1)</f>
        <v>0.0250526315789479</v>
      </c>
      <c r="L425" s="217" t="n">
        <f aca="false">IF(Calculator!$E$22="YES",IF(A425&lt;Calculator!$G$22,0,MIN(MIN(MOD(A425/Calculator!$F$22,1),1-MOD(A425/Calculator!$F$22,1)),ABS(MOD(A425/Calculator!$F$22,1)-0.5))),1)</f>
        <v>1</v>
      </c>
      <c r="M425" s="217" t="n">
        <f aca="false">MIN(B425:L425)</f>
        <v>0.0250526315789479</v>
      </c>
      <c r="N425" s="217" t="n">
        <f aca="false">SUMPRODUCT(($M$7:$M$557&gt;M425)*1)+SUMPRODUCT(($M$7:$M$557=M425)*(ROW($M$7:$M$557)&lt;ROW(M425)))+1</f>
        <v>382</v>
      </c>
      <c r="O425" s="217" t="str">
        <f aca="false">IF(M425&gt;=0.2,"★★★ EXCELLENT",IF(M425&gt;=0.12,"★★  GOOD",IF(M425&gt;=0.07,"★  FAIR",IF(M425&gt;=0.025,"⚠  MARGINAL","✗  AVOID"))))</f>
        <v>⚠  MARGINAL</v>
      </c>
    </row>
    <row r="426" customFormat="false" ht="15" hidden="false" customHeight="true" outlineLevel="0" collapsed="false">
      <c r="A426" s="218" t="n">
        <v>46.9</v>
      </c>
      <c r="B426" s="219" t="n">
        <f aca="false">IF(Calculator!$E$12="YES",IF(A426&lt;Calculator!$G$12,0,MIN(MIN(MOD(A426/Calculator!$F$12,1),1-MOD(A426/Calculator!$F$12,1)),ABS(MOD(A426/Calculator!$F$12,1)-0.5))),1)</f>
        <v>1</v>
      </c>
      <c r="C426" s="219" t="n">
        <f aca="false">IF(Calculator!$E$13="YES",IF(A426&lt;Calculator!$G$13,0,MIN(MIN(MOD(A426/Calculator!$F$13,1),1-MOD(A426/Calculator!$F$13,1)),ABS(MOD(A426/Calculator!$F$13,1)-0.5))),1)</f>
        <v>1</v>
      </c>
      <c r="D426" s="219" t="n">
        <f aca="false">IF(Calculator!$E$14="YES",IF(A426&lt;Calculator!$G$14,0,MIN(MIN(MOD(A426/Calculator!$F$14,1),1-MOD(A426/Calculator!$F$14,1)),ABS(MOD(A426/Calculator!$F$14,1)-0.5))),1)</f>
        <v>1</v>
      </c>
      <c r="E426" s="219" t="n">
        <f aca="false">IF(Calculator!$E$15="YES",IF(A426&lt;Calculator!$G$15,0,MIN(MIN(MOD(A426/Calculator!$F$15,1),1-MOD(A426/Calculator!$F$15,1)),ABS(MOD(A426/Calculator!$F$15,1)-0.5))),1)</f>
        <v>0.146771929824562</v>
      </c>
      <c r="F426" s="219" t="n">
        <f aca="false">IF(Calculator!$E$16="YES",IF(A426&lt;Calculator!$G$16,0,MIN(MIN(MOD(A426/Calculator!$F$16,1),1-MOD(A426/Calculator!$F$16,1)),ABS(MOD(A426/Calculator!$F$16,1)-0.5))),1)</f>
        <v>1</v>
      </c>
      <c r="G426" s="219" t="n">
        <f aca="false">IF(Calculator!$E$17="YES",IF(A426&lt;Calculator!$G$17,0,MIN(MIN(MOD(A426/Calculator!$F$17,1),1-MOD(A426/Calculator!$F$17,1)),ABS(MOD(A426/Calculator!$F$17,1)-0.5))),1)</f>
        <v>0.165315789473684</v>
      </c>
      <c r="H426" s="219" t="n">
        <f aca="false">IF(Calculator!$E$18="YES",IF(A426&lt;Calculator!$G$18,0,MIN(MIN(MOD(A426/Calculator!$F$18,1),1-MOD(A426/Calculator!$F$18,1)),ABS(MOD(A426/Calculator!$F$18,1)-0.5))),1)</f>
        <v>1</v>
      </c>
      <c r="I426" s="219" t="n">
        <f aca="false">IF(Calculator!$E$19="YES",IF(A426&lt;Calculator!$G$19,0,MIN(MIN(MOD(A426/Calculator!$F$19,1),1-MOD(A426/Calculator!$F$19,1)),ABS(MOD(A426/Calculator!$F$19,1)-0.5))),1)</f>
        <v>1</v>
      </c>
      <c r="J426" s="219" t="n">
        <f aca="false">IF(Calculator!$E$20="YES",IF(A426&lt;Calculator!$G$20,0,MIN(MIN(MOD(A426/Calculator!$F$20,1),1-MOD(A426/Calculator!$F$20,1)),ABS(MOD(A426/Calculator!$F$20,1)-0.5))),1)</f>
        <v>1</v>
      </c>
      <c r="K426" s="219" t="n">
        <f aca="false">IF(Calculator!$E$21="YES",IF(A426&lt;Calculator!$G$21,0,MIN(MIN(MOD(A426/Calculator!$F$21,1),1-MOD(A426/Calculator!$F$21,1)),ABS(MOD(A426/Calculator!$F$21,1)-0.5))),1)</f>
        <v>0.00480701754385926</v>
      </c>
      <c r="L426" s="219" t="n">
        <f aca="false">IF(Calculator!$E$22="YES",IF(A426&lt;Calculator!$G$22,0,MIN(MIN(MOD(A426/Calculator!$F$22,1),1-MOD(A426/Calculator!$F$22,1)),ABS(MOD(A426/Calculator!$F$22,1)-0.5))),1)</f>
        <v>1</v>
      </c>
      <c r="M426" s="219" t="n">
        <f aca="false">MIN(B426:L426)</f>
        <v>0.00480701754385926</v>
      </c>
      <c r="N426" s="219" t="n">
        <f aca="false">SUMPRODUCT(($M$7:$M$557&gt;M426)*1)+SUMPRODUCT(($M$7:$M$557=M426)*(ROW($M$7:$M$557)&lt;ROW(M426)))+1</f>
        <v>472</v>
      </c>
      <c r="O426" s="219" t="str">
        <f aca="false">IF(M426&gt;=0.2,"★★★ EXCELLENT",IF(M426&gt;=0.12,"★★  GOOD",IF(M426&gt;=0.07,"★  FAIR",IF(M426&gt;=0.025,"⚠  MARGINAL","✗  AVOID"))))</f>
        <v>✗  AVOID</v>
      </c>
    </row>
    <row r="427" customFormat="false" ht="15" hidden="false" customHeight="true" outlineLevel="0" collapsed="false">
      <c r="A427" s="216" t="n">
        <v>47</v>
      </c>
      <c r="B427" s="217" t="n">
        <f aca="false">IF(Calculator!$E$12="YES",IF(A427&lt;Calculator!$G$12,0,MIN(MIN(MOD(A427/Calculator!$F$12,1),1-MOD(A427/Calculator!$F$12,1)),ABS(MOD(A427/Calculator!$F$12,1)-0.5))),1)</f>
        <v>1</v>
      </c>
      <c r="C427" s="217" t="n">
        <f aca="false">IF(Calculator!$E$13="YES",IF(A427&lt;Calculator!$G$13,0,MIN(MIN(MOD(A427/Calculator!$F$13,1),1-MOD(A427/Calculator!$F$13,1)),ABS(MOD(A427/Calculator!$F$13,1)-0.5))),1)</f>
        <v>1</v>
      </c>
      <c r="D427" s="217" t="n">
        <f aca="false">IF(Calculator!$E$14="YES",IF(A427&lt;Calculator!$G$14,0,MIN(MIN(MOD(A427/Calculator!$F$14,1),1-MOD(A427/Calculator!$F$14,1)),ABS(MOD(A427/Calculator!$F$14,1)-0.5))),1)</f>
        <v>1</v>
      </c>
      <c r="E427" s="217" t="n">
        <f aca="false">IF(Calculator!$E$15="YES",IF(A427&lt;Calculator!$G$15,0,MIN(MIN(MOD(A427/Calculator!$F$15,1),1-MOD(A427/Calculator!$F$15,1)),ABS(MOD(A427/Calculator!$F$15,1)-0.5))),1)</f>
        <v>0.141754385964912</v>
      </c>
      <c r="F427" s="217" t="n">
        <f aca="false">IF(Calculator!$E$16="YES",IF(A427&lt;Calculator!$G$16,0,MIN(MIN(MOD(A427/Calculator!$F$16,1),1-MOD(A427/Calculator!$F$16,1)),ABS(MOD(A427/Calculator!$F$16,1)-0.5))),1)</f>
        <v>1</v>
      </c>
      <c r="G427" s="217" t="n">
        <f aca="false">IF(Calculator!$E$17="YES",IF(A427&lt;Calculator!$G$17,0,MIN(MIN(MOD(A427/Calculator!$F$17,1),1-MOD(A427/Calculator!$F$17,1)),ABS(MOD(A427/Calculator!$F$17,1)-0.5))),1)</f>
        <v>0.175263157894737</v>
      </c>
      <c r="H427" s="217" t="n">
        <f aca="false">IF(Calculator!$E$18="YES",IF(A427&lt;Calculator!$G$18,0,MIN(MIN(MOD(A427/Calculator!$F$18,1),1-MOD(A427/Calculator!$F$18,1)),ABS(MOD(A427/Calculator!$F$18,1)-0.5))),1)</f>
        <v>1</v>
      </c>
      <c r="I427" s="217" t="n">
        <f aca="false">IF(Calculator!$E$19="YES",IF(A427&lt;Calculator!$G$19,0,MIN(MIN(MOD(A427/Calculator!$F$19,1),1-MOD(A427/Calculator!$F$19,1)),ABS(MOD(A427/Calculator!$F$19,1)-0.5))),1)</f>
        <v>1</v>
      </c>
      <c r="J427" s="217" t="n">
        <f aca="false">IF(Calculator!$E$20="YES",IF(A427&lt;Calculator!$G$20,0,MIN(MIN(MOD(A427/Calculator!$F$20,1),1-MOD(A427/Calculator!$F$20,1)),ABS(MOD(A427/Calculator!$F$20,1)-0.5))),1)</f>
        <v>1</v>
      </c>
      <c r="K427" s="217" t="n">
        <f aca="false">IF(Calculator!$E$21="YES",IF(A427&lt;Calculator!$G$21,0,MIN(MIN(MOD(A427/Calculator!$F$21,1),1-MOD(A427/Calculator!$F$21,1)),ABS(MOD(A427/Calculator!$F$21,1)-0.5))),1)</f>
        <v>0.0154385964912276</v>
      </c>
      <c r="L427" s="217" t="n">
        <f aca="false">IF(Calculator!$E$22="YES",IF(A427&lt;Calculator!$G$22,0,MIN(MIN(MOD(A427/Calculator!$F$22,1),1-MOD(A427/Calculator!$F$22,1)),ABS(MOD(A427/Calculator!$F$22,1)-0.5))),1)</f>
        <v>1</v>
      </c>
      <c r="M427" s="217" t="n">
        <f aca="false">MIN(B427:L427)</f>
        <v>0.0154385964912276</v>
      </c>
      <c r="N427" s="217" t="n">
        <f aca="false">SUMPRODUCT(($M$7:$M$557&gt;M427)*1)+SUMPRODUCT(($M$7:$M$557=M427)*(ROW($M$7:$M$557)&lt;ROW(M427)))+1</f>
        <v>419</v>
      </c>
      <c r="O427" s="217" t="str">
        <f aca="false">IF(M427&gt;=0.2,"★★★ EXCELLENT",IF(M427&gt;=0.12,"★★  GOOD",IF(M427&gt;=0.07,"★  FAIR",IF(M427&gt;=0.025,"⚠  MARGINAL","✗  AVOID"))))</f>
        <v>✗  AVOID</v>
      </c>
    </row>
    <row r="428" customFormat="false" ht="15" hidden="false" customHeight="true" outlineLevel="0" collapsed="false">
      <c r="A428" s="218" t="n">
        <v>47.1</v>
      </c>
      <c r="B428" s="219" t="n">
        <f aca="false">IF(Calculator!$E$12="YES",IF(A428&lt;Calculator!$G$12,0,MIN(MIN(MOD(A428/Calculator!$F$12,1),1-MOD(A428/Calculator!$F$12,1)),ABS(MOD(A428/Calculator!$F$12,1)-0.5))),1)</f>
        <v>1</v>
      </c>
      <c r="C428" s="219" t="n">
        <f aca="false">IF(Calculator!$E$13="YES",IF(A428&lt;Calculator!$G$13,0,MIN(MIN(MOD(A428/Calculator!$F$13,1),1-MOD(A428/Calculator!$F$13,1)),ABS(MOD(A428/Calculator!$F$13,1)-0.5))),1)</f>
        <v>1</v>
      </c>
      <c r="D428" s="219" t="n">
        <f aca="false">IF(Calculator!$E$14="YES",IF(A428&lt;Calculator!$G$14,0,MIN(MIN(MOD(A428/Calculator!$F$14,1),1-MOD(A428/Calculator!$F$14,1)),ABS(MOD(A428/Calculator!$F$14,1)-0.5))),1)</f>
        <v>1</v>
      </c>
      <c r="E428" s="219" t="n">
        <f aca="false">IF(Calculator!$E$15="YES",IF(A428&lt;Calculator!$G$15,0,MIN(MIN(MOD(A428/Calculator!$F$15,1),1-MOD(A428/Calculator!$F$15,1)),ABS(MOD(A428/Calculator!$F$15,1)-0.5))),1)</f>
        <v>0.136736842105263</v>
      </c>
      <c r="F428" s="219" t="n">
        <f aca="false">IF(Calculator!$E$16="YES",IF(A428&lt;Calculator!$G$16,0,MIN(MIN(MOD(A428/Calculator!$F$16,1),1-MOD(A428/Calculator!$F$16,1)),ABS(MOD(A428/Calculator!$F$16,1)-0.5))),1)</f>
        <v>1</v>
      </c>
      <c r="G428" s="219" t="n">
        <f aca="false">IF(Calculator!$E$17="YES",IF(A428&lt;Calculator!$G$17,0,MIN(MIN(MOD(A428/Calculator!$F$17,1),1-MOD(A428/Calculator!$F$17,1)),ABS(MOD(A428/Calculator!$F$17,1)-0.5))),1)</f>
        <v>0.18521052631579</v>
      </c>
      <c r="H428" s="219" t="n">
        <f aca="false">IF(Calculator!$E$18="YES",IF(A428&lt;Calculator!$G$18,0,MIN(MIN(MOD(A428/Calculator!$F$18,1),1-MOD(A428/Calculator!$F$18,1)),ABS(MOD(A428/Calculator!$F$18,1)-0.5))),1)</f>
        <v>1</v>
      </c>
      <c r="I428" s="219" t="n">
        <f aca="false">IF(Calculator!$E$19="YES",IF(A428&lt;Calculator!$G$19,0,MIN(MIN(MOD(A428/Calculator!$F$19,1),1-MOD(A428/Calculator!$F$19,1)),ABS(MOD(A428/Calculator!$F$19,1)-0.5))),1)</f>
        <v>1</v>
      </c>
      <c r="J428" s="219" t="n">
        <f aca="false">IF(Calculator!$E$20="YES",IF(A428&lt;Calculator!$G$20,0,MIN(MIN(MOD(A428/Calculator!$F$20,1),1-MOD(A428/Calculator!$F$20,1)),ABS(MOD(A428/Calculator!$F$20,1)-0.5))),1)</f>
        <v>1</v>
      </c>
      <c r="K428" s="219" t="n">
        <f aca="false">IF(Calculator!$E$21="YES",IF(A428&lt;Calculator!$G$21,0,MIN(MIN(MOD(A428/Calculator!$F$21,1),1-MOD(A428/Calculator!$F$21,1)),ABS(MOD(A428/Calculator!$F$21,1)-0.5))),1)</f>
        <v>0.0356842105263162</v>
      </c>
      <c r="L428" s="219" t="n">
        <f aca="false">IF(Calculator!$E$22="YES",IF(A428&lt;Calculator!$G$22,0,MIN(MIN(MOD(A428/Calculator!$F$22,1),1-MOD(A428/Calculator!$F$22,1)),ABS(MOD(A428/Calculator!$F$22,1)-0.5))),1)</f>
        <v>1</v>
      </c>
      <c r="M428" s="219" t="n">
        <f aca="false">MIN(B428:L428)</f>
        <v>0.0356842105263162</v>
      </c>
      <c r="N428" s="219" t="n">
        <f aca="false">SUMPRODUCT(($M$7:$M$557&gt;M428)*1)+SUMPRODUCT(($M$7:$M$557=M428)*(ROW($M$7:$M$557)&lt;ROW(M428)))+1</f>
        <v>341</v>
      </c>
      <c r="O428" s="219" t="str">
        <f aca="false">IF(M428&gt;=0.2,"★★★ EXCELLENT",IF(M428&gt;=0.12,"★★  GOOD",IF(M428&gt;=0.07,"★  FAIR",IF(M428&gt;=0.025,"⚠  MARGINAL","✗  AVOID"))))</f>
        <v>⚠  MARGINAL</v>
      </c>
    </row>
    <row r="429" customFormat="false" ht="15" hidden="false" customHeight="true" outlineLevel="0" collapsed="false">
      <c r="A429" s="216" t="n">
        <v>47.2</v>
      </c>
      <c r="B429" s="217" t="n">
        <f aca="false">IF(Calculator!$E$12="YES",IF(A429&lt;Calculator!$G$12,0,MIN(MIN(MOD(A429/Calculator!$F$12,1),1-MOD(A429/Calculator!$F$12,1)),ABS(MOD(A429/Calculator!$F$12,1)-0.5))),1)</f>
        <v>1</v>
      </c>
      <c r="C429" s="217" t="n">
        <f aca="false">IF(Calculator!$E$13="YES",IF(A429&lt;Calculator!$G$13,0,MIN(MIN(MOD(A429/Calculator!$F$13,1),1-MOD(A429/Calculator!$F$13,1)),ABS(MOD(A429/Calculator!$F$13,1)-0.5))),1)</f>
        <v>1</v>
      </c>
      <c r="D429" s="217" t="n">
        <f aca="false">IF(Calculator!$E$14="YES",IF(A429&lt;Calculator!$G$14,0,MIN(MIN(MOD(A429/Calculator!$F$14,1),1-MOD(A429/Calculator!$F$14,1)),ABS(MOD(A429/Calculator!$F$14,1)-0.5))),1)</f>
        <v>1</v>
      </c>
      <c r="E429" s="217" t="n">
        <f aca="false">IF(Calculator!$E$15="YES",IF(A429&lt;Calculator!$G$15,0,MIN(MIN(MOD(A429/Calculator!$F$15,1),1-MOD(A429/Calculator!$F$15,1)),ABS(MOD(A429/Calculator!$F$15,1)-0.5))),1)</f>
        <v>0.131719298245614</v>
      </c>
      <c r="F429" s="217" t="n">
        <f aca="false">IF(Calculator!$E$16="YES",IF(A429&lt;Calculator!$G$16,0,MIN(MIN(MOD(A429/Calculator!$F$16,1),1-MOD(A429/Calculator!$F$16,1)),ABS(MOD(A429/Calculator!$F$16,1)-0.5))),1)</f>
        <v>1</v>
      </c>
      <c r="G429" s="217" t="n">
        <f aca="false">IF(Calculator!$E$17="YES",IF(A429&lt;Calculator!$G$17,0,MIN(MIN(MOD(A429/Calculator!$F$17,1),1-MOD(A429/Calculator!$F$17,1)),ABS(MOD(A429/Calculator!$F$17,1)-0.5))),1)</f>
        <v>0.195157894736843</v>
      </c>
      <c r="H429" s="217" t="n">
        <f aca="false">IF(Calculator!$E$18="YES",IF(A429&lt;Calculator!$G$18,0,MIN(MIN(MOD(A429/Calculator!$F$18,1),1-MOD(A429/Calculator!$F$18,1)),ABS(MOD(A429/Calculator!$F$18,1)-0.5))),1)</f>
        <v>1</v>
      </c>
      <c r="I429" s="217" t="n">
        <f aca="false">IF(Calculator!$E$19="YES",IF(A429&lt;Calculator!$G$19,0,MIN(MIN(MOD(A429/Calculator!$F$19,1),1-MOD(A429/Calculator!$F$19,1)),ABS(MOD(A429/Calculator!$F$19,1)-0.5))),1)</f>
        <v>1</v>
      </c>
      <c r="J429" s="217" t="n">
        <f aca="false">IF(Calculator!$E$20="YES",IF(A429&lt;Calculator!$G$20,0,MIN(MIN(MOD(A429/Calculator!$F$20,1),1-MOD(A429/Calculator!$F$20,1)),ABS(MOD(A429/Calculator!$F$20,1)-0.5))),1)</f>
        <v>1</v>
      </c>
      <c r="K429" s="217" t="n">
        <f aca="false">IF(Calculator!$E$21="YES",IF(A429&lt;Calculator!$G$21,0,MIN(MIN(MOD(A429/Calculator!$F$21,1),1-MOD(A429/Calculator!$F$21,1)),ABS(MOD(A429/Calculator!$F$21,1)-0.5))),1)</f>
        <v>0.0559298245614048</v>
      </c>
      <c r="L429" s="217" t="n">
        <f aca="false">IF(Calculator!$E$22="YES",IF(A429&lt;Calculator!$G$22,0,MIN(MIN(MOD(A429/Calculator!$F$22,1),1-MOD(A429/Calculator!$F$22,1)),ABS(MOD(A429/Calculator!$F$22,1)-0.5))),1)</f>
        <v>1</v>
      </c>
      <c r="M429" s="217" t="n">
        <f aca="false">MIN(B429:L429)</f>
        <v>0.0559298245614048</v>
      </c>
      <c r="N429" s="217" t="n">
        <f aca="false">SUMPRODUCT(($M$7:$M$557&gt;M429)*1)+SUMPRODUCT(($M$7:$M$557=M429)*(ROW($M$7:$M$557)&lt;ROW(M429)))+1</f>
        <v>260</v>
      </c>
      <c r="O429" s="217" t="str">
        <f aca="false">IF(M429&gt;=0.2,"★★★ EXCELLENT",IF(M429&gt;=0.12,"★★  GOOD",IF(M429&gt;=0.07,"★  FAIR",IF(M429&gt;=0.025,"⚠  MARGINAL","✗  AVOID"))))</f>
        <v>⚠  MARGINAL</v>
      </c>
    </row>
    <row r="430" customFormat="false" ht="15" hidden="false" customHeight="true" outlineLevel="0" collapsed="false">
      <c r="A430" s="218" t="n">
        <v>47.3</v>
      </c>
      <c r="B430" s="219" t="n">
        <f aca="false">IF(Calculator!$E$12="YES",IF(A430&lt;Calculator!$G$12,0,MIN(MIN(MOD(A430/Calculator!$F$12,1),1-MOD(A430/Calculator!$F$12,1)),ABS(MOD(A430/Calculator!$F$12,1)-0.5))),1)</f>
        <v>1</v>
      </c>
      <c r="C430" s="219" t="n">
        <f aca="false">IF(Calculator!$E$13="YES",IF(A430&lt;Calculator!$G$13,0,MIN(MIN(MOD(A430/Calculator!$F$13,1),1-MOD(A430/Calculator!$F$13,1)),ABS(MOD(A430/Calculator!$F$13,1)-0.5))),1)</f>
        <v>1</v>
      </c>
      <c r="D430" s="219" t="n">
        <f aca="false">IF(Calculator!$E$14="YES",IF(A430&lt;Calculator!$G$14,0,MIN(MIN(MOD(A430/Calculator!$F$14,1),1-MOD(A430/Calculator!$F$14,1)),ABS(MOD(A430/Calculator!$F$14,1)-0.5))),1)</f>
        <v>1</v>
      </c>
      <c r="E430" s="219" t="n">
        <f aca="false">IF(Calculator!$E$15="YES",IF(A430&lt;Calculator!$G$15,0,MIN(MIN(MOD(A430/Calculator!$F$15,1),1-MOD(A430/Calculator!$F$15,1)),ABS(MOD(A430/Calculator!$F$15,1)-0.5))),1)</f>
        <v>0.126701754385965</v>
      </c>
      <c r="F430" s="219" t="n">
        <f aca="false">IF(Calculator!$E$16="YES",IF(A430&lt;Calculator!$G$16,0,MIN(MIN(MOD(A430/Calculator!$F$16,1),1-MOD(A430/Calculator!$F$16,1)),ABS(MOD(A430/Calculator!$F$16,1)-0.5))),1)</f>
        <v>1</v>
      </c>
      <c r="G430" s="219" t="n">
        <f aca="false">IF(Calculator!$E$17="YES",IF(A430&lt;Calculator!$G$17,0,MIN(MIN(MOD(A430/Calculator!$F$17,1),1-MOD(A430/Calculator!$F$17,1)),ABS(MOD(A430/Calculator!$F$17,1)-0.5))),1)</f>
        <v>0.205105263157895</v>
      </c>
      <c r="H430" s="219" t="n">
        <f aca="false">IF(Calculator!$E$18="YES",IF(A430&lt;Calculator!$G$18,0,MIN(MIN(MOD(A430/Calculator!$F$18,1),1-MOD(A430/Calculator!$F$18,1)),ABS(MOD(A430/Calculator!$F$18,1)-0.5))),1)</f>
        <v>1</v>
      </c>
      <c r="I430" s="219" t="n">
        <f aca="false">IF(Calculator!$E$19="YES",IF(A430&lt;Calculator!$G$19,0,MIN(MIN(MOD(A430/Calculator!$F$19,1),1-MOD(A430/Calculator!$F$19,1)),ABS(MOD(A430/Calculator!$F$19,1)-0.5))),1)</f>
        <v>1</v>
      </c>
      <c r="J430" s="219" t="n">
        <f aca="false">IF(Calculator!$E$20="YES",IF(A430&lt;Calculator!$G$20,0,MIN(MIN(MOD(A430/Calculator!$F$20,1),1-MOD(A430/Calculator!$F$20,1)),ABS(MOD(A430/Calculator!$F$20,1)-0.5))),1)</f>
        <v>1</v>
      </c>
      <c r="K430" s="219" t="n">
        <f aca="false">IF(Calculator!$E$21="YES",IF(A430&lt;Calculator!$G$21,0,MIN(MIN(MOD(A430/Calculator!$F$21,1),1-MOD(A430/Calculator!$F$21,1)),ABS(MOD(A430/Calculator!$F$21,1)-0.5))),1)</f>
        <v>0.0761754385964899</v>
      </c>
      <c r="L430" s="219" t="n">
        <f aca="false">IF(Calculator!$E$22="YES",IF(A430&lt;Calculator!$G$22,0,MIN(MIN(MOD(A430/Calculator!$F$22,1),1-MOD(A430/Calculator!$F$22,1)),ABS(MOD(A430/Calculator!$F$22,1)-0.5))),1)</f>
        <v>1</v>
      </c>
      <c r="M430" s="219" t="n">
        <f aca="false">MIN(B430:L430)</f>
        <v>0.0761754385964899</v>
      </c>
      <c r="N430" s="219" t="n">
        <f aca="false">SUMPRODUCT(($M$7:$M$557&gt;M430)*1)+SUMPRODUCT(($M$7:$M$557=M430)*(ROW($M$7:$M$557)&lt;ROW(M430)))+1</f>
        <v>183</v>
      </c>
      <c r="O430" s="219" t="str">
        <f aca="false">IF(M430&gt;=0.2,"★★★ EXCELLENT",IF(M430&gt;=0.12,"★★  GOOD",IF(M430&gt;=0.07,"★  FAIR",IF(M430&gt;=0.025,"⚠  MARGINAL","✗  AVOID"))))</f>
        <v>★  FAIR</v>
      </c>
    </row>
    <row r="431" customFormat="false" ht="15" hidden="false" customHeight="true" outlineLevel="0" collapsed="false">
      <c r="A431" s="216" t="n">
        <v>47.4</v>
      </c>
      <c r="B431" s="217" t="n">
        <f aca="false">IF(Calculator!$E$12="YES",IF(A431&lt;Calculator!$G$12,0,MIN(MIN(MOD(A431/Calculator!$F$12,1),1-MOD(A431/Calculator!$F$12,1)),ABS(MOD(A431/Calculator!$F$12,1)-0.5))),1)</f>
        <v>1</v>
      </c>
      <c r="C431" s="217" t="n">
        <f aca="false">IF(Calculator!$E$13="YES",IF(A431&lt;Calculator!$G$13,0,MIN(MIN(MOD(A431/Calculator!$F$13,1),1-MOD(A431/Calculator!$F$13,1)),ABS(MOD(A431/Calculator!$F$13,1)-0.5))),1)</f>
        <v>1</v>
      </c>
      <c r="D431" s="217" t="n">
        <f aca="false">IF(Calculator!$E$14="YES",IF(A431&lt;Calculator!$G$14,0,MIN(MIN(MOD(A431/Calculator!$F$14,1),1-MOD(A431/Calculator!$F$14,1)),ABS(MOD(A431/Calculator!$F$14,1)-0.5))),1)</f>
        <v>1</v>
      </c>
      <c r="E431" s="217" t="n">
        <f aca="false">IF(Calculator!$E$15="YES",IF(A431&lt;Calculator!$G$15,0,MIN(MIN(MOD(A431/Calculator!$F$15,1),1-MOD(A431/Calculator!$F$15,1)),ABS(MOD(A431/Calculator!$F$15,1)-0.5))),1)</f>
        <v>0.121684210526316</v>
      </c>
      <c r="F431" s="217" t="n">
        <f aca="false">IF(Calculator!$E$16="YES",IF(A431&lt;Calculator!$G$16,0,MIN(MIN(MOD(A431/Calculator!$F$16,1),1-MOD(A431/Calculator!$F$16,1)),ABS(MOD(A431/Calculator!$F$16,1)-0.5))),1)</f>
        <v>1</v>
      </c>
      <c r="G431" s="217" t="n">
        <f aca="false">IF(Calculator!$E$17="YES",IF(A431&lt;Calculator!$G$17,0,MIN(MIN(MOD(A431/Calculator!$F$17,1),1-MOD(A431/Calculator!$F$17,1)),ABS(MOD(A431/Calculator!$F$17,1)-0.5))),1)</f>
        <v>0.215052631578947</v>
      </c>
      <c r="H431" s="217" t="n">
        <f aca="false">IF(Calculator!$E$18="YES",IF(A431&lt;Calculator!$G$18,0,MIN(MIN(MOD(A431/Calculator!$F$18,1),1-MOD(A431/Calculator!$F$18,1)),ABS(MOD(A431/Calculator!$F$18,1)-0.5))),1)</f>
        <v>1</v>
      </c>
      <c r="I431" s="217" t="n">
        <f aca="false">IF(Calculator!$E$19="YES",IF(A431&lt;Calculator!$G$19,0,MIN(MIN(MOD(A431/Calculator!$F$19,1),1-MOD(A431/Calculator!$F$19,1)),ABS(MOD(A431/Calculator!$F$19,1)-0.5))),1)</f>
        <v>1</v>
      </c>
      <c r="J431" s="217" t="n">
        <f aca="false">IF(Calculator!$E$20="YES",IF(A431&lt;Calculator!$G$20,0,MIN(MIN(MOD(A431/Calculator!$F$20,1),1-MOD(A431/Calculator!$F$20,1)),ABS(MOD(A431/Calculator!$F$20,1)-0.5))),1)</f>
        <v>1</v>
      </c>
      <c r="K431" s="217" t="n">
        <f aca="false">IF(Calculator!$E$21="YES",IF(A431&lt;Calculator!$G$21,0,MIN(MIN(MOD(A431/Calculator!$F$21,1),1-MOD(A431/Calculator!$F$21,1)),ABS(MOD(A431/Calculator!$F$21,1)-0.5))),1)</f>
        <v>0.0964210526315785</v>
      </c>
      <c r="L431" s="217" t="n">
        <f aca="false">IF(Calculator!$E$22="YES",IF(A431&lt;Calculator!$G$22,0,MIN(MIN(MOD(A431/Calculator!$F$22,1),1-MOD(A431/Calculator!$F$22,1)),ABS(MOD(A431/Calculator!$F$22,1)-0.5))),1)</f>
        <v>1</v>
      </c>
      <c r="M431" s="217" t="n">
        <f aca="false">MIN(B431:L431)</f>
        <v>0.0964210526315785</v>
      </c>
      <c r="N431" s="217" t="n">
        <f aca="false">SUMPRODUCT(($M$7:$M$557&gt;M431)*1)+SUMPRODUCT(($M$7:$M$557=M431)*(ROW($M$7:$M$557)&lt;ROW(M431)))+1</f>
        <v>114</v>
      </c>
      <c r="O431" s="217" t="str">
        <f aca="false">IF(M431&gt;=0.2,"★★★ EXCELLENT",IF(M431&gt;=0.12,"★★  GOOD",IF(M431&gt;=0.07,"★  FAIR",IF(M431&gt;=0.025,"⚠  MARGINAL","✗  AVOID"))))</f>
        <v>★  FAIR</v>
      </c>
    </row>
    <row r="432" customFormat="false" ht="15" hidden="false" customHeight="true" outlineLevel="0" collapsed="false">
      <c r="A432" s="218" t="n">
        <v>47.5</v>
      </c>
      <c r="B432" s="219" t="n">
        <f aca="false">IF(Calculator!$E$12="YES",IF(A432&lt;Calculator!$G$12,0,MIN(MIN(MOD(A432/Calculator!$F$12,1),1-MOD(A432/Calculator!$F$12,1)),ABS(MOD(A432/Calculator!$F$12,1)-0.5))),1)</f>
        <v>1</v>
      </c>
      <c r="C432" s="219" t="n">
        <f aca="false">IF(Calculator!$E$13="YES",IF(A432&lt;Calculator!$G$13,0,MIN(MIN(MOD(A432/Calculator!$F$13,1),1-MOD(A432/Calculator!$F$13,1)),ABS(MOD(A432/Calculator!$F$13,1)-0.5))),1)</f>
        <v>1</v>
      </c>
      <c r="D432" s="219" t="n">
        <f aca="false">IF(Calculator!$E$14="YES",IF(A432&lt;Calculator!$G$14,0,MIN(MIN(MOD(A432/Calculator!$F$14,1),1-MOD(A432/Calculator!$F$14,1)),ABS(MOD(A432/Calculator!$F$14,1)-0.5))),1)</f>
        <v>1</v>
      </c>
      <c r="E432" s="219" t="n">
        <f aca="false">IF(Calculator!$E$15="YES",IF(A432&lt;Calculator!$G$15,0,MIN(MIN(MOD(A432/Calculator!$F$15,1),1-MOD(A432/Calculator!$F$15,1)),ABS(MOD(A432/Calculator!$F$15,1)-0.5))),1)</f>
        <v>0.116666666666667</v>
      </c>
      <c r="F432" s="219" t="n">
        <f aca="false">IF(Calculator!$E$16="YES",IF(A432&lt;Calculator!$G$16,0,MIN(MIN(MOD(A432/Calculator!$F$16,1),1-MOD(A432/Calculator!$F$16,1)),ABS(MOD(A432/Calculator!$F$16,1)-0.5))),1)</f>
        <v>1</v>
      </c>
      <c r="G432" s="219" t="n">
        <f aca="false">IF(Calculator!$E$17="YES",IF(A432&lt;Calculator!$G$17,0,MIN(MIN(MOD(A432/Calculator!$F$17,1),1-MOD(A432/Calculator!$F$17,1)),ABS(MOD(A432/Calculator!$F$17,1)-0.5))),1)</f>
        <v>0.225000000000001</v>
      </c>
      <c r="H432" s="219" t="n">
        <f aca="false">IF(Calculator!$E$18="YES",IF(A432&lt;Calculator!$G$18,0,MIN(MIN(MOD(A432/Calculator!$F$18,1),1-MOD(A432/Calculator!$F$18,1)),ABS(MOD(A432/Calculator!$F$18,1)-0.5))),1)</f>
        <v>1</v>
      </c>
      <c r="I432" s="219" t="n">
        <f aca="false">IF(Calculator!$E$19="YES",IF(A432&lt;Calculator!$G$19,0,MIN(MIN(MOD(A432/Calculator!$F$19,1),1-MOD(A432/Calculator!$F$19,1)),ABS(MOD(A432/Calculator!$F$19,1)-0.5))),1)</f>
        <v>1</v>
      </c>
      <c r="J432" s="219" t="n">
        <f aca="false">IF(Calculator!$E$20="YES",IF(A432&lt;Calculator!$G$20,0,MIN(MIN(MOD(A432/Calculator!$F$20,1),1-MOD(A432/Calculator!$F$20,1)),ABS(MOD(A432/Calculator!$F$20,1)-0.5))),1)</f>
        <v>1</v>
      </c>
      <c r="K432" s="219" t="n">
        <f aca="false">IF(Calculator!$E$21="YES",IF(A432&lt;Calculator!$G$21,0,MIN(MIN(MOD(A432/Calculator!$F$21,1),1-MOD(A432/Calculator!$F$21,1)),ABS(MOD(A432/Calculator!$F$21,1)-0.5))),1)</f>
        <v>0.116666666666667</v>
      </c>
      <c r="L432" s="219" t="n">
        <f aca="false">IF(Calculator!$E$22="YES",IF(A432&lt;Calculator!$G$22,0,MIN(MIN(MOD(A432/Calculator!$F$22,1),1-MOD(A432/Calculator!$F$22,1)),ABS(MOD(A432/Calculator!$F$22,1)-0.5))),1)</f>
        <v>1</v>
      </c>
      <c r="M432" s="219" t="n">
        <f aca="false">MIN(B432:L432)</f>
        <v>0.116666666666667</v>
      </c>
      <c r="N432" s="219" t="n">
        <f aca="false">SUMPRODUCT(($M$7:$M$557&gt;M432)*1)+SUMPRODUCT(($M$7:$M$557=M432)*(ROW($M$7:$M$557)&lt;ROW(M432)))+1</f>
        <v>70</v>
      </c>
      <c r="O432" s="219" t="str">
        <f aca="false">IF(M432&gt;=0.2,"★★★ EXCELLENT",IF(M432&gt;=0.12,"★★  GOOD",IF(M432&gt;=0.07,"★  FAIR",IF(M432&gt;=0.025,"⚠  MARGINAL","✗  AVOID"))))</f>
        <v>★  FAIR</v>
      </c>
    </row>
    <row r="433" customFormat="false" ht="15" hidden="false" customHeight="true" outlineLevel="0" collapsed="false">
      <c r="A433" s="216" t="n">
        <v>47.6</v>
      </c>
      <c r="B433" s="217" t="n">
        <f aca="false">IF(Calculator!$E$12="YES",IF(A433&lt;Calculator!$G$12,0,MIN(MIN(MOD(A433/Calculator!$F$12,1),1-MOD(A433/Calculator!$F$12,1)),ABS(MOD(A433/Calculator!$F$12,1)-0.5))),1)</f>
        <v>1</v>
      </c>
      <c r="C433" s="217" t="n">
        <f aca="false">IF(Calculator!$E$13="YES",IF(A433&lt;Calculator!$G$13,0,MIN(MIN(MOD(A433/Calculator!$F$13,1),1-MOD(A433/Calculator!$F$13,1)),ABS(MOD(A433/Calculator!$F$13,1)-0.5))),1)</f>
        <v>1</v>
      </c>
      <c r="D433" s="217" t="n">
        <f aca="false">IF(Calculator!$E$14="YES",IF(A433&lt;Calculator!$G$14,0,MIN(MIN(MOD(A433/Calculator!$F$14,1),1-MOD(A433/Calculator!$F$14,1)),ABS(MOD(A433/Calculator!$F$14,1)-0.5))),1)</f>
        <v>1</v>
      </c>
      <c r="E433" s="217" t="n">
        <f aca="false">IF(Calculator!$E$15="YES",IF(A433&lt;Calculator!$G$15,0,MIN(MIN(MOD(A433/Calculator!$F$15,1),1-MOD(A433/Calculator!$F$15,1)),ABS(MOD(A433/Calculator!$F$15,1)-0.5))),1)</f>
        <v>0.111649122807017</v>
      </c>
      <c r="F433" s="217" t="n">
        <f aca="false">IF(Calculator!$E$16="YES",IF(A433&lt;Calculator!$G$16,0,MIN(MIN(MOD(A433/Calculator!$F$16,1),1-MOD(A433/Calculator!$F$16,1)),ABS(MOD(A433/Calculator!$F$16,1)-0.5))),1)</f>
        <v>1</v>
      </c>
      <c r="G433" s="217" t="n">
        <f aca="false">IF(Calculator!$E$17="YES",IF(A433&lt;Calculator!$G$17,0,MIN(MIN(MOD(A433/Calculator!$F$17,1),1-MOD(A433/Calculator!$F$17,1)),ABS(MOD(A433/Calculator!$F$17,1)-0.5))),1)</f>
        <v>0.234947368421053</v>
      </c>
      <c r="H433" s="217" t="n">
        <f aca="false">IF(Calculator!$E$18="YES",IF(A433&lt;Calculator!$G$18,0,MIN(MIN(MOD(A433/Calculator!$F$18,1),1-MOD(A433/Calculator!$F$18,1)),ABS(MOD(A433/Calculator!$F$18,1)-0.5))),1)</f>
        <v>1</v>
      </c>
      <c r="I433" s="217" t="n">
        <f aca="false">IF(Calculator!$E$19="YES",IF(A433&lt;Calculator!$G$19,0,MIN(MIN(MOD(A433/Calculator!$F$19,1),1-MOD(A433/Calculator!$F$19,1)),ABS(MOD(A433/Calculator!$F$19,1)-0.5))),1)</f>
        <v>1</v>
      </c>
      <c r="J433" s="217" t="n">
        <f aca="false">IF(Calculator!$E$20="YES",IF(A433&lt;Calculator!$G$20,0,MIN(MIN(MOD(A433/Calculator!$F$20,1),1-MOD(A433/Calculator!$F$20,1)),ABS(MOD(A433/Calculator!$F$20,1)-0.5))),1)</f>
        <v>1</v>
      </c>
      <c r="K433" s="217" t="n">
        <f aca="false">IF(Calculator!$E$21="YES",IF(A433&lt;Calculator!$G$21,0,MIN(MIN(MOD(A433/Calculator!$F$21,1),1-MOD(A433/Calculator!$F$21,1)),ABS(MOD(A433/Calculator!$F$21,1)-0.5))),1)</f>
        <v>0.136912280701754</v>
      </c>
      <c r="L433" s="217" t="n">
        <f aca="false">IF(Calculator!$E$22="YES",IF(A433&lt;Calculator!$G$22,0,MIN(MIN(MOD(A433/Calculator!$F$22,1),1-MOD(A433/Calculator!$F$22,1)),ABS(MOD(A433/Calculator!$F$22,1)-0.5))),1)</f>
        <v>1</v>
      </c>
      <c r="M433" s="217" t="n">
        <f aca="false">MIN(B433:L433)</f>
        <v>0.111649122807017</v>
      </c>
      <c r="N433" s="217" t="n">
        <f aca="false">SUMPRODUCT(($M$7:$M$557&gt;M433)*1)+SUMPRODUCT(($M$7:$M$557=M433)*(ROW($M$7:$M$557)&lt;ROW(M433)))+1</f>
        <v>80</v>
      </c>
      <c r="O433" s="217" t="str">
        <f aca="false">IF(M433&gt;=0.2,"★★★ EXCELLENT",IF(M433&gt;=0.12,"★★  GOOD",IF(M433&gt;=0.07,"★  FAIR",IF(M433&gt;=0.025,"⚠  MARGINAL","✗  AVOID"))))</f>
        <v>★  FAIR</v>
      </c>
    </row>
    <row r="434" customFormat="false" ht="15" hidden="false" customHeight="true" outlineLevel="0" collapsed="false">
      <c r="A434" s="218" t="n">
        <v>47.7</v>
      </c>
      <c r="B434" s="219" t="n">
        <f aca="false">IF(Calculator!$E$12="YES",IF(A434&lt;Calculator!$G$12,0,MIN(MIN(MOD(A434/Calculator!$F$12,1),1-MOD(A434/Calculator!$F$12,1)),ABS(MOD(A434/Calculator!$F$12,1)-0.5))),1)</f>
        <v>1</v>
      </c>
      <c r="C434" s="219" t="n">
        <f aca="false">IF(Calculator!$E$13="YES",IF(A434&lt;Calculator!$G$13,0,MIN(MIN(MOD(A434/Calculator!$F$13,1),1-MOD(A434/Calculator!$F$13,1)),ABS(MOD(A434/Calculator!$F$13,1)-0.5))),1)</f>
        <v>1</v>
      </c>
      <c r="D434" s="219" t="n">
        <f aca="false">IF(Calculator!$E$14="YES",IF(A434&lt;Calculator!$G$14,0,MIN(MIN(MOD(A434/Calculator!$F$14,1),1-MOD(A434/Calculator!$F$14,1)),ABS(MOD(A434/Calculator!$F$14,1)-0.5))),1)</f>
        <v>1</v>
      </c>
      <c r="E434" s="219" t="n">
        <f aca="false">IF(Calculator!$E$15="YES",IF(A434&lt;Calculator!$G$15,0,MIN(MIN(MOD(A434/Calculator!$F$15,1),1-MOD(A434/Calculator!$F$15,1)),ABS(MOD(A434/Calculator!$F$15,1)-0.5))),1)</f>
        <v>0.106631578947368</v>
      </c>
      <c r="F434" s="219" t="n">
        <f aca="false">IF(Calculator!$E$16="YES",IF(A434&lt;Calculator!$G$16,0,MIN(MIN(MOD(A434/Calculator!$F$16,1),1-MOD(A434/Calculator!$F$16,1)),ABS(MOD(A434/Calculator!$F$16,1)-0.5))),1)</f>
        <v>1</v>
      </c>
      <c r="G434" s="219" t="n">
        <f aca="false">IF(Calculator!$E$17="YES",IF(A434&lt;Calculator!$G$17,0,MIN(MIN(MOD(A434/Calculator!$F$17,1),1-MOD(A434/Calculator!$F$17,1)),ABS(MOD(A434/Calculator!$F$17,1)-0.5))),1)</f>
        <v>0.244894736842106</v>
      </c>
      <c r="H434" s="219" t="n">
        <f aca="false">IF(Calculator!$E$18="YES",IF(A434&lt;Calculator!$G$18,0,MIN(MIN(MOD(A434/Calculator!$F$18,1),1-MOD(A434/Calculator!$F$18,1)),ABS(MOD(A434/Calculator!$F$18,1)-0.5))),1)</f>
        <v>1</v>
      </c>
      <c r="I434" s="219" t="n">
        <f aca="false">IF(Calculator!$E$19="YES",IF(A434&lt;Calculator!$G$19,0,MIN(MIN(MOD(A434/Calculator!$F$19,1),1-MOD(A434/Calculator!$F$19,1)),ABS(MOD(A434/Calculator!$F$19,1)-0.5))),1)</f>
        <v>1</v>
      </c>
      <c r="J434" s="219" t="n">
        <f aca="false">IF(Calculator!$E$20="YES",IF(A434&lt;Calculator!$G$20,0,MIN(MIN(MOD(A434/Calculator!$F$20,1),1-MOD(A434/Calculator!$F$20,1)),ABS(MOD(A434/Calculator!$F$20,1)-0.5))),1)</f>
        <v>1</v>
      </c>
      <c r="K434" s="219" t="n">
        <f aca="false">IF(Calculator!$E$21="YES",IF(A434&lt;Calculator!$G$21,0,MIN(MIN(MOD(A434/Calculator!$F$21,1),1-MOD(A434/Calculator!$F$21,1)),ABS(MOD(A434/Calculator!$F$21,1)-0.5))),1)</f>
        <v>0.157157894736843</v>
      </c>
      <c r="L434" s="219" t="n">
        <f aca="false">IF(Calculator!$E$22="YES",IF(A434&lt;Calculator!$G$22,0,MIN(MIN(MOD(A434/Calculator!$F$22,1),1-MOD(A434/Calculator!$F$22,1)),ABS(MOD(A434/Calculator!$F$22,1)-0.5))),1)</f>
        <v>1</v>
      </c>
      <c r="M434" s="219" t="n">
        <f aca="false">MIN(B434:L434)</f>
        <v>0.106631578947368</v>
      </c>
      <c r="N434" s="219" t="n">
        <f aca="false">SUMPRODUCT(($M$7:$M$557&gt;M434)*1)+SUMPRODUCT(($M$7:$M$557=M434)*(ROW($M$7:$M$557)&lt;ROW(M434)))+1</f>
        <v>90</v>
      </c>
      <c r="O434" s="219" t="str">
        <f aca="false">IF(M434&gt;=0.2,"★★★ EXCELLENT",IF(M434&gt;=0.12,"★★  GOOD",IF(M434&gt;=0.07,"★  FAIR",IF(M434&gt;=0.025,"⚠  MARGINAL","✗  AVOID"))))</f>
        <v>★  FAIR</v>
      </c>
    </row>
    <row r="435" customFormat="false" ht="15" hidden="false" customHeight="true" outlineLevel="0" collapsed="false">
      <c r="A435" s="216" t="n">
        <v>47.8</v>
      </c>
      <c r="B435" s="217" t="n">
        <f aca="false">IF(Calculator!$E$12="YES",IF(A435&lt;Calculator!$G$12,0,MIN(MIN(MOD(A435/Calculator!$F$12,1),1-MOD(A435/Calculator!$F$12,1)),ABS(MOD(A435/Calculator!$F$12,1)-0.5))),1)</f>
        <v>1</v>
      </c>
      <c r="C435" s="217" t="n">
        <f aca="false">IF(Calculator!$E$13="YES",IF(A435&lt;Calculator!$G$13,0,MIN(MIN(MOD(A435/Calculator!$F$13,1),1-MOD(A435/Calculator!$F$13,1)),ABS(MOD(A435/Calculator!$F$13,1)-0.5))),1)</f>
        <v>1</v>
      </c>
      <c r="D435" s="217" t="n">
        <f aca="false">IF(Calculator!$E$14="YES",IF(A435&lt;Calculator!$G$14,0,MIN(MIN(MOD(A435/Calculator!$F$14,1),1-MOD(A435/Calculator!$F$14,1)),ABS(MOD(A435/Calculator!$F$14,1)-0.5))),1)</f>
        <v>1</v>
      </c>
      <c r="E435" s="217" t="n">
        <f aca="false">IF(Calculator!$E$15="YES",IF(A435&lt;Calculator!$G$15,0,MIN(MIN(MOD(A435/Calculator!$F$15,1),1-MOD(A435/Calculator!$F$15,1)),ABS(MOD(A435/Calculator!$F$15,1)-0.5))),1)</f>
        <v>0.101614035087719</v>
      </c>
      <c r="F435" s="217" t="n">
        <f aca="false">IF(Calculator!$E$16="YES",IF(A435&lt;Calculator!$G$16,0,MIN(MIN(MOD(A435/Calculator!$F$16,1),1-MOD(A435/Calculator!$F$16,1)),ABS(MOD(A435/Calculator!$F$16,1)-0.5))),1)</f>
        <v>1</v>
      </c>
      <c r="G435" s="217" t="n">
        <f aca="false">IF(Calculator!$E$17="YES",IF(A435&lt;Calculator!$G$17,0,MIN(MIN(MOD(A435/Calculator!$F$17,1),1-MOD(A435/Calculator!$F$17,1)),ABS(MOD(A435/Calculator!$F$17,1)-0.5))),1)</f>
        <v>0.245157894736842</v>
      </c>
      <c r="H435" s="217" t="n">
        <f aca="false">IF(Calculator!$E$18="YES",IF(A435&lt;Calculator!$G$18,0,MIN(MIN(MOD(A435/Calculator!$F$18,1),1-MOD(A435/Calculator!$F$18,1)),ABS(MOD(A435/Calculator!$F$18,1)-0.5))),1)</f>
        <v>1</v>
      </c>
      <c r="I435" s="217" t="n">
        <f aca="false">IF(Calculator!$E$19="YES",IF(A435&lt;Calculator!$G$19,0,MIN(MIN(MOD(A435/Calculator!$F$19,1),1-MOD(A435/Calculator!$F$19,1)),ABS(MOD(A435/Calculator!$F$19,1)-0.5))),1)</f>
        <v>1</v>
      </c>
      <c r="J435" s="217" t="n">
        <f aca="false">IF(Calculator!$E$20="YES",IF(A435&lt;Calculator!$G$20,0,MIN(MIN(MOD(A435/Calculator!$F$20,1),1-MOD(A435/Calculator!$F$20,1)),ABS(MOD(A435/Calculator!$F$20,1)-0.5))),1)</f>
        <v>1</v>
      </c>
      <c r="K435" s="217" t="n">
        <f aca="false">IF(Calculator!$E$21="YES",IF(A435&lt;Calculator!$G$21,0,MIN(MIN(MOD(A435/Calculator!$F$21,1),1-MOD(A435/Calculator!$F$21,1)),ABS(MOD(A435/Calculator!$F$21,1)-0.5))),1)</f>
        <v>0.177403508771929</v>
      </c>
      <c r="L435" s="217" t="n">
        <f aca="false">IF(Calculator!$E$22="YES",IF(A435&lt;Calculator!$G$22,0,MIN(MIN(MOD(A435/Calculator!$F$22,1),1-MOD(A435/Calculator!$F$22,1)),ABS(MOD(A435/Calculator!$F$22,1)-0.5))),1)</f>
        <v>1</v>
      </c>
      <c r="M435" s="217" t="n">
        <f aca="false">MIN(B435:L435)</f>
        <v>0.101614035087719</v>
      </c>
      <c r="N435" s="217" t="n">
        <f aca="false">SUMPRODUCT(($M$7:$M$557&gt;M435)*1)+SUMPRODUCT(($M$7:$M$557=M435)*(ROW($M$7:$M$557)&lt;ROW(M435)))+1</f>
        <v>101</v>
      </c>
      <c r="O435" s="217" t="str">
        <f aca="false">IF(M435&gt;=0.2,"★★★ EXCELLENT",IF(M435&gt;=0.12,"★★  GOOD",IF(M435&gt;=0.07,"★  FAIR",IF(M435&gt;=0.025,"⚠  MARGINAL","✗  AVOID"))))</f>
        <v>★  FAIR</v>
      </c>
    </row>
    <row r="436" customFormat="false" ht="15" hidden="false" customHeight="true" outlineLevel="0" collapsed="false">
      <c r="A436" s="218" t="n">
        <v>47.9</v>
      </c>
      <c r="B436" s="219" t="n">
        <f aca="false">IF(Calculator!$E$12="YES",IF(A436&lt;Calculator!$G$12,0,MIN(MIN(MOD(A436/Calculator!$F$12,1),1-MOD(A436/Calculator!$F$12,1)),ABS(MOD(A436/Calculator!$F$12,1)-0.5))),1)</f>
        <v>1</v>
      </c>
      <c r="C436" s="219" t="n">
        <f aca="false">IF(Calculator!$E$13="YES",IF(A436&lt;Calculator!$G$13,0,MIN(MIN(MOD(A436/Calculator!$F$13,1),1-MOD(A436/Calculator!$F$13,1)),ABS(MOD(A436/Calculator!$F$13,1)-0.5))),1)</f>
        <v>1</v>
      </c>
      <c r="D436" s="219" t="n">
        <f aca="false">IF(Calculator!$E$14="YES",IF(A436&lt;Calculator!$G$14,0,MIN(MIN(MOD(A436/Calculator!$F$14,1),1-MOD(A436/Calculator!$F$14,1)),ABS(MOD(A436/Calculator!$F$14,1)-0.5))),1)</f>
        <v>1</v>
      </c>
      <c r="E436" s="219" t="n">
        <f aca="false">IF(Calculator!$E$15="YES",IF(A436&lt;Calculator!$G$15,0,MIN(MIN(MOD(A436/Calculator!$F$15,1),1-MOD(A436/Calculator!$F$15,1)),ABS(MOD(A436/Calculator!$F$15,1)-0.5))),1)</f>
        <v>0.0965964912280701</v>
      </c>
      <c r="F436" s="219" t="n">
        <f aca="false">IF(Calculator!$E$16="YES",IF(A436&lt;Calculator!$G$16,0,MIN(MIN(MOD(A436/Calculator!$F$16,1),1-MOD(A436/Calculator!$F$16,1)),ABS(MOD(A436/Calculator!$F$16,1)-0.5))),1)</f>
        <v>1</v>
      </c>
      <c r="G436" s="219" t="n">
        <f aca="false">IF(Calculator!$E$17="YES",IF(A436&lt;Calculator!$G$17,0,MIN(MIN(MOD(A436/Calculator!$F$17,1),1-MOD(A436/Calculator!$F$17,1)),ABS(MOD(A436/Calculator!$F$17,1)-0.5))),1)</f>
        <v>0.23521052631579</v>
      </c>
      <c r="H436" s="219" t="n">
        <f aca="false">IF(Calculator!$E$18="YES",IF(A436&lt;Calculator!$G$18,0,MIN(MIN(MOD(A436/Calculator!$F$18,1),1-MOD(A436/Calculator!$F$18,1)),ABS(MOD(A436/Calculator!$F$18,1)-0.5))),1)</f>
        <v>1</v>
      </c>
      <c r="I436" s="219" t="n">
        <f aca="false">IF(Calculator!$E$19="YES",IF(A436&lt;Calculator!$G$19,0,MIN(MIN(MOD(A436/Calculator!$F$19,1),1-MOD(A436/Calculator!$F$19,1)),ABS(MOD(A436/Calculator!$F$19,1)-0.5))),1)</f>
        <v>1</v>
      </c>
      <c r="J436" s="219" t="n">
        <f aca="false">IF(Calculator!$E$20="YES",IF(A436&lt;Calculator!$G$20,0,MIN(MIN(MOD(A436/Calculator!$F$20,1),1-MOD(A436/Calculator!$F$20,1)),ABS(MOD(A436/Calculator!$F$20,1)-0.5))),1)</f>
        <v>1</v>
      </c>
      <c r="K436" s="219" t="n">
        <f aca="false">IF(Calculator!$E$21="YES",IF(A436&lt;Calculator!$G$21,0,MIN(MIN(MOD(A436/Calculator!$F$21,1),1-MOD(A436/Calculator!$F$21,1)),ABS(MOD(A436/Calculator!$F$21,1)-0.5))),1)</f>
        <v>0.197649122807016</v>
      </c>
      <c r="L436" s="219" t="n">
        <f aca="false">IF(Calculator!$E$22="YES",IF(A436&lt;Calculator!$G$22,0,MIN(MIN(MOD(A436/Calculator!$F$22,1),1-MOD(A436/Calculator!$F$22,1)),ABS(MOD(A436/Calculator!$F$22,1)-0.5))),1)</f>
        <v>1</v>
      </c>
      <c r="M436" s="219" t="n">
        <f aca="false">MIN(B436:L436)</f>
        <v>0.0965964912280701</v>
      </c>
      <c r="N436" s="219" t="n">
        <f aca="false">SUMPRODUCT(($M$7:$M$557&gt;M436)*1)+SUMPRODUCT(($M$7:$M$557=M436)*(ROW($M$7:$M$557)&lt;ROW(M436)))+1</f>
        <v>113</v>
      </c>
      <c r="O436" s="219" t="str">
        <f aca="false">IF(M436&gt;=0.2,"★★★ EXCELLENT",IF(M436&gt;=0.12,"★★  GOOD",IF(M436&gt;=0.07,"★  FAIR",IF(M436&gt;=0.025,"⚠  MARGINAL","✗  AVOID"))))</f>
        <v>★  FAIR</v>
      </c>
    </row>
    <row r="437" customFormat="false" ht="15" hidden="false" customHeight="true" outlineLevel="0" collapsed="false">
      <c r="A437" s="216" t="n">
        <v>48</v>
      </c>
      <c r="B437" s="217" t="n">
        <f aca="false">IF(Calculator!$E$12="YES",IF(A437&lt;Calculator!$G$12,0,MIN(MIN(MOD(A437/Calculator!$F$12,1),1-MOD(A437/Calculator!$F$12,1)),ABS(MOD(A437/Calculator!$F$12,1)-0.5))),1)</f>
        <v>1</v>
      </c>
      <c r="C437" s="217" t="n">
        <f aca="false">IF(Calculator!$E$13="YES",IF(A437&lt;Calculator!$G$13,0,MIN(MIN(MOD(A437/Calculator!$F$13,1),1-MOD(A437/Calculator!$F$13,1)),ABS(MOD(A437/Calculator!$F$13,1)-0.5))),1)</f>
        <v>1</v>
      </c>
      <c r="D437" s="217" t="n">
        <f aca="false">IF(Calculator!$E$14="YES",IF(A437&lt;Calculator!$G$14,0,MIN(MIN(MOD(A437/Calculator!$F$14,1),1-MOD(A437/Calculator!$F$14,1)),ABS(MOD(A437/Calculator!$F$14,1)-0.5))),1)</f>
        <v>1</v>
      </c>
      <c r="E437" s="217" t="n">
        <f aca="false">IF(Calculator!$E$15="YES",IF(A437&lt;Calculator!$G$15,0,MIN(MIN(MOD(A437/Calculator!$F$15,1),1-MOD(A437/Calculator!$F$15,1)),ABS(MOD(A437/Calculator!$F$15,1)-0.5))),1)</f>
        <v>0.0915789473684212</v>
      </c>
      <c r="F437" s="217" t="n">
        <f aca="false">IF(Calculator!$E$16="YES",IF(A437&lt;Calculator!$G$16,0,MIN(MIN(MOD(A437/Calculator!$F$16,1),1-MOD(A437/Calculator!$F$16,1)),ABS(MOD(A437/Calculator!$F$16,1)-0.5))),1)</f>
        <v>1</v>
      </c>
      <c r="G437" s="217" t="n">
        <f aca="false">IF(Calculator!$E$17="YES",IF(A437&lt;Calculator!$G$17,0,MIN(MIN(MOD(A437/Calculator!$F$17,1),1-MOD(A437/Calculator!$F$17,1)),ABS(MOD(A437/Calculator!$F$17,1)-0.5))),1)</f>
        <v>0.225263157894736</v>
      </c>
      <c r="H437" s="217" t="n">
        <f aca="false">IF(Calculator!$E$18="YES",IF(A437&lt;Calculator!$G$18,0,MIN(MIN(MOD(A437/Calculator!$F$18,1),1-MOD(A437/Calculator!$F$18,1)),ABS(MOD(A437/Calculator!$F$18,1)-0.5))),1)</f>
        <v>1</v>
      </c>
      <c r="I437" s="217" t="n">
        <f aca="false">IF(Calculator!$E$19="YES",IF(A437&lt;Calculator!$G$19,0,MIN(MIN(MOD(A437/Calculator!$F$19,1),1-MOD(A437/Calculator!$F$19,1)),ABS(MOD(A437/Calculator!$F$19,1)-0.5))),1)</f>
        <v>1</v>
      </c>
      <c r="J437" s="217" t="n">
        <f aca="false">IF(Calculator!$E$20="YES",IF(A437&lt;Calculator!$G$20,0,MIN(MIN(MOD(A437/Calculator!$F$20,1),1-MOD(A437/Calculator!$F$20,1)),ABS(MOD(A437/Calculator!$F$20,1)-0.5))),1)</f>
        <v>1</v>
      </c>
      <c r="K437" s="217" t="n">
        <f aca="false">IF(Calculator!$E$21="YES",IF(A437&lt;Calculator!$G$21,0,MIN(MIN(MOD(A437/Calculator!$F$21,1),1-MOD(A437/Calculator!$F$21,1)),ABS(MOD(A437/Calculator!$F$21,1)-0.5))),1)</f>
        <v>0.217894736842105</v>
      </c>
      <c r="L437" s="217" t="n">
        <f aca="false">IF(Calculator!$E$22="YES",IF(A437&lt;Calculator!$G$22,0,MIN(MIN(MOD(A437/Calculator!$F$22,1),1-MOD(A437/Calculator!$F$22,1)),ABS(MOD(A437/Calculator!$F$22,1)-0.5))),1)</f>
        <v>1</v>
      </c>
      <c r="M437" s="217" t="n">
        <f aca="false">MIN(B437:L437)</f>
        <v>0.0915789473684212</v>
      </c>
      <c r="N437" s="217" t="n">
        <f aca="false">SUMPRODUCT(($M$7:$M$557&gt;M437)*1)+SUMPRODUCT(($M$7:$M$557=M437)*(ROW($M$7:$M$557)&lt;ROW(M437)))+1</f>
        <v>129</v>
      </c>
      <c r="O437" s="217" t="str">
        <f aca="false">IF(M437&gt;=0.2,"★★★ EXCELLENT",IF(M437&gt;=0.12,"★★  GOOD",IF(M437&gt;=0.07,"★  FAIR",IF(M437&gt;=0.025,"⚠  MARGINAL","✗  AVOID"))))</f>
        <v>★  FAIR</v>
      </c>
    </row>
    <row r="438" customFormat="false" ht="15" hidden="false" customHeight="true" outlineLevel="0" collapsed="false">
      <c r="A438" s="218" t="n">
        <v>48.1</v>
      </c>
      <c r="B438" s="219" t="n">
        <f aca="false">IF(Calculator!$E$12="YES",IF(A438&lt;Calculator!$G$12,0,MIN(MIN(MOD(A438/Calculator!$F$12,1),1-MOD(A438/Calculator!$F$12,1)),ABS(MOD(A438/Calculator!$F$12,1)-0.5))),1)</f>
        <v>1</v>
      </c>
      <c r="C438" s="219" t="n">
        <f aca="false">IF(Calculator!$E$13="YES",IF(A438&lt;Calculator!$G$13,0,MIN(MIN(MOD(A438/Calculator!$F$13,1),1-MOD(A438/Calculator!$F$13,1)),ABS(MOD(A438/Calculator!$F$13,1)-0.5))),1)</f>
        <v>1</v>
      </c>
      <c r="D438" s="219" t="n">
        <f aca="false">IF(Calculator!$E$14="YES",IF(A438&lt;Calculator!$G$14,0,MIN(MIN(MOD(A438/Calculator!$F$14,1),1-MOD(A438/Calculator!$F$14,1)),ABS(MOD(A438/Calculator!$F$14,1)-0.5))),1)</f>
        <v>1</v>
      </c>
      <c r="E438" s="219" t="n">
        <f aca="false">IF(Calculator!$E$15="YES",IF(A438&lt;Calculator!$G$15,0,MIN(MIN(MOD(A438/Calculator!$F$15,1),1-MOD(A438/Calculator!$F$15,1)),ABS(MOD(A438/Calculator!$F$15,1)-0.5))),1)</f>
        <v>0.0865614035087718</v>
      </c>
      <c r="F438" s="219" t="n">
        <f aca="false">IF(Calculator!$E$16="YES",IF(A438&lt;Calculator!$G$16,0,MIN(MIN(MOD(A438/Calculator!$F$16,1),1-MOD(A438/Calculator!$F$16,1)),ABS(MOD(A438/Calculator!$F$16,1)-0.5))),1)</f>
        <v>1</v>
      </c>
      <c r="G438" s="219" t="n">
        <f aca="false">IF(Calculator!$E$17="YES",IF(A438&lt;Calculator!$G$17,0,MIN(MIN(MOD(A438/Calculator!$F$17,1),1-MOD(A438/Calculator!$F$17,1)),ABS(MOD(A438/Calculator!$F$17,1)-0.5))),1)</f>
        <v>0.215315789473684</v>
      </c>
      <c r="H438" s="219" t="n">
        <f aca="false">IF(Calculator!$E$18="YES",IF(A438&lt;Calculator!$G$18,0,MIN(MIN(MOD(A438/Calculator!$F$18,1),1-MOD(A438/Calculator!$F$18,1)),ABS(MOD(A438/Calculator!$F$18,1)-0.5))),1)</f>
        <v>1</v>
      </c>
      <c r="I438" s="219" t="n">
        <f aca="false">IF(Calculator!$E$19="YES",IF(A438&lt;Calculator!$G$19,0,MIN(MIN(MOD(A438/Calculator!$F$19,1),1-MOD(A438/Calculator!$F$19,1)),ABS(MOD(A438/Calculator!$F$19,1)-0.5))),1)</f>
        <v>1</v>
      </c>
      <c r="J438" s="219" t="n">
        <f aca="false">IF(Calculator!$E$20="YES",IF(A438&lt;Calculator!$G$20,0,MIN(MIN(MOD(A438/Calculator!$F$20,1),1-MOD(A438/Calculator!$F$20,1)),ABS(MOD(A438/Calculator!$F$20,1)-0.5))),1)</f>
        <v>1</v>
      </c>
      <c r="K438" s="219" t="n">
        <f aca="false">IF(Calculator!$E$21="YES",IF(A438&lt;Calculator!$G$21,0,MIN(MIN(MOD(A438/Calculator!$F$21,1),1-MOD(A438/Calculator!$F$21,1)),ABS(MOD(A438/Calculator!$F$21,1)-0.5))),1)</f>
        <v>0.238140350877194</v>
      </c>
      <c r="L438" s="219" t="n">
        <f aca="false">IF(Calculator!$E$22="YES",IF(A438&lt;Calculator!$G$22,0,MIN(MIN(MOD(A438/Calculator!$F$22,1),1-MOD(A438/Calculator!$F$22,1)),ABS(MOD(A438/Calculator!$F$22,1)-0.5))),1)</f>
        <v>1</v>
      </c>
      <c r="M438" s="219" t="n">
        <f aca="false">MIN(B438:L438)</f>
        <v>0.0865614035087718</v>
      </c>
      <c r="N438" s="219" t="n">
        <f aca="false">SUMPRODUCT(($M$7:$M$557&gt;M438)*1)+SUMPRODUCT(($M$7:$M$557=M438)*(ROW($M$7:$M$557)&lt;ROW(M438)))+1</f>
        <v>145</v>
      </c>
      <c r="O438" s="219" t="str">
        <f aca="false">IF(M438&gt;=0.2,"★★★ EXCELLENT",IF(M438&gt;=0.12,"★★  GOOD",IF(M438&gt;=0.07,"★  FAIR",IF(M438&gt;=0.025,"⚠  MARGINAL","✗  AVOID"))))</f>
        <v>★  FAIR</v>
      </c>
    </row>
    <row r="439" customFormat="false" ht="15" hidden="false" customHeight="true" outlineLevel="0" collapsed="false">
      <c r="A439" s="216" t="n">
        <v>48.2</v>
      </c>
      <c r="B439" s="217" t="n">
        <f aca="false">IF(Calculator!$E$12="YES",IF(A439&lt;Calculator!$G$12,0,MIN(MIN(MOD(A439/Calculator!$F$12,1),1-MOD(A439/Calculator!$F$12,1)),ABS(MOD(A439/Calculator!$F$12,1)-0.5))),1)</f>
        <v>1</v>
      </c>
      <c r="C439" s="217" t="n">
        <f aca="false">IF(Calculator!$E$13="YES",IF(A439&lt;Calculator!$G$13,0,MIN(MIN(MOD(A439/Calculator!$F$13,1),1-MOD(A439/Calculator!$F$13,1)),ABS(MOD(A439/Calculator!$F$13,1)-0.5))),1)</f>
        <v>1</v>
      </c>
      <c r="D439" s="217" t="n">
        <f aca="false">IF(Calculator!$E$14="YES",IF(A439&lt;Calculator!$G$14,0,MIN(MIN(MOD(A439/Calculator!$F$14,1),1-MOD(A439/Calculator!$F$14,1)),ABS(MOD(A439/Calculator!$F$14,1)-0.5))),1)</f>
        <v>1</v>
      </c>
      <c r="E439" s="217" t="n">
        <f aca="false">IF(Calculator!$E$15="YES",IF(A439&lt;Calculator!$G$15,0,MIN(MIN(MOD(A439/Calculator!$F$15,1),1-MOD(A439/Calculator!$F$15,1)),ABS(MOD(A439/Calculator!$F$15,1)-0.5))),1)</f>
        <v>0.0815438596491225</v>
      </c>
      <c r="F439" s="217" t="n">
        <f aca="false">IF(Calculator!$E$16="YES",IF(A439&lt;Calculator!$G$16,0,MIN(MIN(MOD(A439/Calculator!$F$16,1),1-MOD(A439/Calculator!$F$16,1)),ABS(MOD(A439/Calculator!$F$16,1)-0.5))),1)</f>
        <v>1</v>
      </c>
      <c r="G439" s="217" t="n">
        <f aca="false">IF(Calculator!$E$17="YES",IF(A439&lt;Calculator!$G$17,0,MIN(MIN(MOD(A439/Calculator!$F$17,1),1-MOD(A439/Calculator!$F$17,1)),ABS(MOD(A439/Calculator!$F$17,1)-0.5))),1)</f>
        <v>0.205368421052631</v>
      </c>
      <c r="H439" s="217" t="n">
        <f aca="false">IF(Calculator!$E$18="YES",IF(A439&lt;Calculator!$G$18,0,MIN(MIN(MOD(A439/Calculator!$F$18,1),1-MOD(A439/Calculator!$F$18,1)),ABS(MOD(A439/Calculator!$F$18,1)-0.5))),1)</f>
        <v>1</v>
      </c>
      <c r="I439" s="217" t="n">
        <f aca="false">IF(Calculator!$E$19="YES",IF(A439&lt;Calculator!$G$19,0,MIN(MIN(MOD(A439/Calculator!$F$19,1),1-MOD(A439/Calculator!$F$19,1)),ABS(MOD(A439/Calculator!$F$19,1)-0.5))),1)</f>
        <v>1</v>
      </c>
      <c r="J439" s="217" t="n">
        <f aca="false">IF(Calculator!$E$20="YES",IF(A439&lt;Calculator!$G$20,0,MIN(MIN(MOD(A439/Calculator!$F$20,1),1-MOD(A439/Calculator!$F$20,1)),ABS(MOD(A439/Calculator!$F$20,1)-0.5))),1)</f>
        <v>1</v>
      </c>
      <c r="K439" s="217" t="n">
        <f aca="false">IF(Calculator!$E$21="YES",IF(A439&lt;Calculator!$G$21,0,MIN(MIN(MOD(A439/Calculator!$F$21,1),1-MOD(A439/Calculator!$F$21,1)),ABS(MOD(A439/Calculator!$F$21,1)-0.5))),1)</f>
        <v>0.24161403508772</v>
      </c>
      <c r="L439" s="217" t="n">
        <f aca="false">IF(Calculator!$E$22="YES",IF(A439&lt;Calculator!$G$22,0,MIN(MIN(MOD(A439/Calculator!$F$22,1),1-MOD(A439/Calculator!$F$22,1)),ABS(MOD(A439/Calculator!$F$22,1)-0.5))),1)</f>
        <v>1</v>
      </c>
      <c r="M439" s="217" t="n">
        <f aca="false">MIN(B439:L439)</f>
        <v>0.0815438596491225</v>
      </c>
      <c r="N439" s="217" t="n">
        <f aca="false">SUMPRODUCT(($M$7:$M$557&gt;M439)*1)+SUMPRODUCT(($M$7:$M$557=M439)*(ROW($M$7:$M$557)&lt;ROW(M439)))+1</f>
        <v>162</v>
      </c>
      <c r="O439" s="217" t="str">
        <f aca="false">IF(M439&gt;=0.2,"★★★ EXCELLENT",IF(M439&gt;=0.12,"★★  GOOD",IF(M439&gt;=0.07,"★  FAIR",IF(M439&gt;=0.025,"⚠  MARGINAL","✗  AVOID"))))</f>
        <v>★  FAIR</v>
      </c>
    </row>
    <row r="440" customFormat="false" ht="15" hidden="false" customHeight="true" outlineLevel="0" collapsed="false">
      <c r="A440" s="218" t="n">
        <v>48.3</v>
      </c>
      <c r="B440" s="219" t="n">
        <f aca="false">IF(Calculator!$E$12="YES",IF(A440&lt;Calculator!$G$12,0,MIN(MIN(MOD(A440/Calculator!$F$12,1),1-MOD(A440/Calculator!$F$12,1)),ABS(MOD(A440/Calculator!$F$12,1)-0.5))),1)</f>
        <v>1</v>
      </c>
      <c r="C440" s="219" t="n">
        <f aca="false">IF(Calculator!$E$13="YES",IF(A440&lt;Calculator!$G$13,0,MIN(MIN(MOD(A440/Calculator!$F$13,1),1-MOD(A440/Calculator!$F$13,1)),ABS(MOD(A440/Calculator!$F$13,1)-0.5))),1)</f>
        <v>1</v>
      </c>
      <c r="D440" s="219" t="n">
        <f aca="false">IF(Calculator!$E$14="YES",IF(A440&lt;Calculator!$G$14,0,MIN(MIN(MOD(A440/Calculator!$F$14,1),1-MOD(A440/Calculator!$F$14,1)),ABS(MOD(A440/Calculator!$F$14,1)-0.5))),1)</f>
        <v>1</v>
      </c>
      <c r="E440" s="219" t="n">
        <f aca="false">IF(Calculator!$E$15="YES",IF(A440&lt;Calculator!$G$15,0,MIN(MIN(MOD(A440/Calculator!$F$15,1),1-MOD(A440/Calculator!$F$15,1)),ABS(MOD(A440/Calculator!$F$15,1)-0.5))),1)</f>
        <v>0.076526315789474</v>
      </c>
      <c r="F440" s="219" t="n">
        <f aca="false">IF(Calculator!$E$16="YES",IF(A440&lt;Calculator!$G$16,0,MIN(MIN(MOD(A440/Calculator!$F$16,1),1-MOD(A440/Calculator!$F$16,1)),ABS(MOD(A440/Calculator!$F$16,1)-0.5))),1)</f>
        <v>1</v>
      </c>
      <c r="G440" s="219" t="n">
        <f aca="false">IF(Calculator!$E$17="YES",IF(A440&lt;Calculator!$G$17,0,MIN(MIN(MOD(A440/Calculator!$F$17,1),1-MOD(A440/Calculator!$F$17,1)),ABS(MOD(A440/Calculator!$F$17,1)-0.5))),1)</f>
        <v>0.195421052631579</v>
      </c>
      <c r="H440" s="219" t="n">
        <f aca="false">IF(Calculator!$E$18="YES",IF(A440&lt;Calculator!$G$18,0,MIN(MIN(MOD(A440/Calculator!$F$18,1),1-MOD(A440/Calculator!$F$18,1)),ABS(MOD(A440/Calculator!$F$18,1)-0.5))),1)</f>
        <v>1</v>
      </c>
      <c r="I440" s="219" t="n">
        <f aca="false">IF(Calculator!$E$19="YES",IF(A440&lt;Calculator!$G$19,0,MIN(MIN(MOD(A440/Calculator!$F$19,1),1-MOD(A440/Calculator!$F$19,1)),ABS(MOD(A440/Calculator!$F$19,1)-0.5))),1)</f>
        <v>1</v>
      </c>
      <c r="J440" s="219" t="n">
        <f aca="false">IF(Calculator!$E$20="YES",IF(A440&lt;Calculator!$G$20,0,MIN(MIN(MOD(A440/Calculator!$F$20,1),1-MOD(A440/Calculator!$F$20,1)),ABS(MOD(A440/Calculator!$F$20,1)-0.5))),1)</f>
        <v>1</v>
      </c>
      <c r="K440" s="219" t="n">
        <f aca="false">IF(Calculator!$E$21="YES",IF(A440&lt;Calculator!$G$21,0,MIN(MIN(MOD(A440/Calculator!$F$21,1),1-MOD(A440/Calculator!$F$21,1)),ABS(MOD(A440/Calculator!$F$21,1)-0.5))),1)</f>
        <v>0.221368421052633</v>
      </c>
      <c r="L440" s="219" t="n">
        <f aca="false">IF(Calculator!$E$22="YES",IF(A440&lt;Calculator!$G$22,0,MIN(MIN(MOD(A440/Calculator!$F$22,1),1-MOD(A440/Calculator!$F$22,1)),ABS(MOD(A440/Calculator!$F$22,1)-0.5))),1)</f>
        <v>1</v>
      </c>
      <c r="M440" s="219" t="n">
        <f aca="false">MIN(B440:L440)</f>
        <v>0.076526315789474</v>
      </c>
      <c r="N440" s="219" t="n">
        <f aca="false">SUMPRODUCT(($M$7:$M$557&gt;M440)*1)+SUMPRODUCT(($M$7:$M$557=M440)*(ROW($M$7:$M$557)&lt;ROW(M440)))+1</f>
        <v>181</v>
      </c>
      <c r="O440" s="219" t="str">
        <f aca="false">IF(M440&gt;=0.2,"★★★ EXCELLENT",IF(M440&gt;=0.12,"★★  GOOD",IF(M440&gt;=0.07,"★  FAIR",IF(M440&gt;=0.025,"⚠  MARGINAL","✗  AVOID"))))</f>
        <v>★  FAIR</v>
      </c>
    </row>
    <row r="441" customFormat="false" ht="15" hidden="false" customHeight="true" outlineLevel="0" collapsed="false">
      <c r="A441" s="216" t="n">
        <v>48.4</v>
      </c>
      <c r="B441" s="217" t="n">
        <f aca="false">IF(Calculator!$E$12="YES",IF(A441&lt;Calculator!$G$12,0,MIN(MIN(MOD(A441/Calculator!$F$12,1),1-MOD(A441/Calculator!$F$12,1)),ABS(MOD(A441/Calculator!$F$12,1)-0.5))),1)</f>
        <v>1</v>
      </c>
      <c r="C441" s="217" t="n">
        <f aca="false">IF(Calculator!$E$13="YES",IF(A441&lt;Calculator!$G$13,0,MIN(MIN(MOD(A441/Calculator!$F$13,1),1-MOD(A441/Calculator!$F$13,1)),ABS(MOD(A441/Calculator!$F$13,1)-0.5))),1)</f>
        <v>1</v>
      </c>
      <c r="D441" s="217" t="n">
        <f aca="false">IF(Calculator!$E$14="YES",IF(A441&lt;Calculator!$G$14,0,MIN(MIN(MOD(A441/Calculator!$F$14,1),1-MOD(A441/Calculator!$F$14,1)),ABS(MOD(A441/Calculator!$F$14,1)-0.5))),1)</f>
        <v>1</v>
      </c>
      <c r="E441" s="217" t="n">
        <f aca="false">IF(Calculator!$E$15="YES",IF(A441&lt;Calculator!$G$15,0,MIN(MIN(MOD(A441/Calculator!$F$15,1),1-MOD(A441/Calculator!$F$15,1)),ABS(MOD(A441/Calculator!$F$15,1)-0.5))),1)</f>
        <v>0.0715087719298246</v>
      </c>
      <c r="F441" s="217" t="n">
        <f aca="false">IF(Calculator!$E$16="YES",IF(A441&lt;Calculator!$G$16,0,MIN(MIN(MOD(A441/Calculator!$F$16,1),1-MOD(A441/Calculator!$F$16,1)),ABS(MOD(A441/Calculator!$F$16,1)-0.5))),1)</f>
        <v>1</v>
      </c>
      <c r="G441" s="217" t="n">
        <f aca="false">IF(Calculator!$E$17="YES",IF(A441&lt;Calculator!$G$17,0,MIN(MIN(MOD(A441/Calculator!$F$17,1),1-MOD(A441/Calculator!$F$17,1)),ABS(MOD(A441/Calculator!$F$17,1)-0.5))),1)</f>
        <v>0.185473684210526</v>
      </c>
      <c r="H441" s="217" t="n">
        <f aca="false">IF(Calculator!$E$18="YES",IF(A441&lt;Calculator!$G$18,0,MIN(MIN(MOD(A441/Calculator!$F$18,1),1-MOD(A441/Calculator!$F$18,1)),ABS(MOD(A441/Calculator!$F$18,1)-0.5))),1)</f>
        <v>1</v>
      </c>
      <c r="I441" s="217" t="n">
        <f aca="false">IF(Calculator!$E$19="YES",IF(A441&lt;Calculator!$G$19,0,MIN(MIN(MOD(A441/Calculator!$F$19,1),1-MOD(A441/Calculator!$F$19,1)),ABS(MOD(A441/Calculator!$F$19,1)-0.5))),1)</f>
        <v>1</v>
      </c>
      <c r="J441" s="217" t="n">
        <f aca="false">IF(Calculator!$E$20="YES",IF(A441&lt;Calculator!$G$20,0,MIN(MIN(MOD(A441/Calculator!$F$20,1),1-MOD(A441/Calculator!$F$20,1)),ABS(MOD(A441/Calculator!$F$20,1)-0.5))),1)</f>
        <v>1</v>
      </c>
      <c r="K441" s="217" t="n">
        <f aca="false">IF(Calculator!$E$21="YES",IF(A441&lt;Calculator!$G$21,0,MIN(MIN(MOD(A441/Calculator!$F$21,1),1-MOD(A441/Calculator!$F$21,1)),ABS(MOD(A441/Calculator!$F$21,1)-0.5))),1)</f>
        <v>0.201122807017544</v>
      </c>
      <c r="L441" s="217" t="n">
        <f aca="false">IF(Calculator!$E$22="YES",IF(A441&lt;Calculator!$G$22,0,MIN(MIN(MOD(A441/Calculator!$F$22,1),1-MOD(A441/Calculator!$F$22,1)),ABS(MOD(A441/Calculator!$F$22,1)-0.5))),1)</f>
        <v>1</v>
      </c>
      <c r="M441" s="217" t="n">
        <f aca="false">MIN(B441:L441)</f>
        <v>0.0715087719298246</v>
      </c>
      <c r="N441" s="217" t="n">
        <f aca="false">SUMPRODUCT(($M$7:$M$557&gt;M441)*1)+SUMPRODUCT(($M$7:$M$557=M441)*(ROW($M$7:$M$557)&lt;ROW(M441)))+1</f>
        <v>201</v>
      </c>
      <c r="O441" s="217" t="str">
        <f aca="false">IF(M441&gt;=0.2,"★★★ EXCELLENT",IF(M441&gt;=0.12,"★★  GOOD",IF(M441&gt;=0.07,"★  FAIR",IF(M441&gt;=0.025,"⚠  MARGINAL","✗  AVOID"))))</f>
        <v>★  FAIR</v>
      </c>
    </row>
    <row r="442" customFormat="false" ht="15" hidden="false" customHeight="true" outlineLevel="0" collapsed="false">
      <c r="A442" s="218" t="n">
        <v>48.5</v>
      </c>
      <c r="B442" s="219" t="n">
        <f aca="false">IF(Calculator!$E$12="YES",IF(A442&lt;Calculator!$G$12,0,MIN(MIN(MOD(A442/Calculator!$F$12,1),1-MOD(A442/Calculator!$F$12,1)),ABS(MOD(A442/Calculator!$F$12,1)-0.5))),1)</f>
        <v>1</v>
      </c>
      <c r="C442" s="219" t="n">
        <f aca="false">IF(Calculator!$E$13="YES",IF(A442&lt;Calculator!$G$13,0,MIN(MIN(MOD(A442/Calculator!$F$13,1),1-MOD(A442/Calculator!$F$13,1)),ABS(MOD(A442/Calculator!$F$13,1)-0.5))),1)</f>
        <v>1</v>
      </c>
      <c r="D442" s="219" t="n">
        <f aca="false">IF(Calculator!$E$14="YES",IF(A442&lt;Calculator!$G$14,0,MIN(MIN(MOD(A442/Calculator!$F$14,1),1-MOD(A442/Calculator!$F$14,1)),ABS(MOD(A442/Calculator!$F$14,1)-0.5))),1)</f>
        <v>1</v>
      </c>
      <c r="E442" s="219" t="n">
        <f aca="false">IF(Calculator!$E$15="YES",IF(A442&lt;Calculator!$G$15,0,MIN(MIN(MOD(A442/Calculator!$F$15,1),1-MOD(A442/Calculator!$F$15,1)),ABS(MOD(A442/Calculator!$F$15,1)-0.5))),1)</f>
        <v>0.0664912280701753</v>
      </c>
      <c r="F442" s="219" t="n">
        <f aca="false">IF(Calculator!$E$16="YES",IF(A442&lt;Calculator!$G$16,0,MIN(MIN(MOD(A442/Calculator!$F$16,1),1-MOD(A442/Calculator!$F$16,1)),ABS(MOD(A442/Calculator!$F$16,1)-0.5))),1)</f>
        <v>1</v>
      </c>
      <c r="G442" s="219" t="n">
        <f aca="false">IF(Calculator!$E$17="YES",IF(A442&lt;Calculator!$G$17,0,MIN(MIN(MOD(A442/Calculator!$F$17,1),1-MOD(A442/Calculator!$F$17,1)),ABS(MOD(A442/Calculator!$F$17,1)-0.5))),1)</f>
        <v>0.175526315789473</v>
      </c>
      <c r="H442" s="219" t="n">
        <f aca="false">IF(Calculator!$E$18="YES",IF(A442&lt;Calculator!$G$18,0,MIN(MIN(MOD(A442/Calculator!$F$18,1),1-MOD(A442/Calculator!$F$18,1)),ABS(MOD(A442/Calculator!$F$18,1)-0.5))),1)</f>
        <v>1</v>
      </c>
      <c r="I442" s="219" t="n">
        <f aca="false">IF(Calculator!$E$19="YES",IF(A442&lt;Calculator!$G$19,0,MIN(MIN(MOD(A442/Calculator!$F$19,1),1-MOD(A442/Calculator!$F$19,1)),ABS(MOD(A442/Calculator!$F$19,1)-0.5))),1)</f>
        <v>1</v>
      </c>
      <c r="J442" s="219" t="n">
        <f aca="false">IF(Calculator!$E$20="YES",IF(A442&lt;Calculator!$G$20,0,MIN(MIN(MOD(A442/Calculator!$F$20,1),1-MOD(A442/Calculator!$F$20,1)),ABS(MOD(A442/Calculator!$F$20,1)-0.5))),1)</f>
        <v>1</v>
      </c>
      <c r="K442" s="219" t="n">
        <f aca="false">IF(Calculator!$E$21="YES",IF(A442&lt;Calculator!$G$21,0,MIN(MIN(MOD(A442/Calculator!$F$21,1),1-MOD(A442/Calculator!$F$21,1)),ABS(MOD(A442/Calculator!$F$21,1)-0.5))),1)</f>
        <v>0.180877192982456</v>
      </c>
      <c r="L442" s="219" t="n">
        <f aca="false">IF(Calculator!$E$22="YES",IF(A442&lt;Calculator!$G$22,0,MIN(MIN(MOD(A442/Calculator!$F$22,1),1-MOD(A442/Calculator!$F$22,1)),ABS(MOD(A442/Calculator!$F$22,1)-0.5))),1)</f>
        <v>1</v>
      </c>
      <c r="M442" s="219" t="n">
        <f aca="false">MIN(B442:L442)</f>
        <v>0.0664912280701753</v>
      </c>
      <c r="N442" s="219" t="n">
        <f aca="false">SUMPRODUCT(($M$7:$M$557&gt;M442)*1)+SUMPRODUCT(($M$7:$M$557=M442)*(ROW($M$7:$M$557)&lt;ROW(M442)))+1</f>
        <v>220</v>
      </c>
      <c r="O442" s="219" t="str">
        <f aca="false">IF(M442&gt;=0.2,"★★★ EXCELLENT",IF(M442&gt;=0.12,"★★  GOOD",IF(M442&gt;=0.07,"★  FAIR",IF(M442&gt;=0.025,"⚠  MARGINAL","✗  AVOID"))))</f>
        <v>⚠  MARGINAL</v>
      </c>
    </row>
    <row r="443" customFormat="false" ht="15" hidden="false" customHeight="true" outlineLevel="0" collapsed="false">
      <c r="A443" s="216" t="n">
        <v>48.6</v>
      </c>
      <c r="B443" s="217" t="n">
        <f aca="false">IF(Calculator!$E$12="YES",IF(A443&lt;Calculator!$G$12,0,MIN(MIN(MOD(A443/Calculator!$F$12,1),1-MOD(A443/Calculator!$F$12,1)),ABS(MOD(A443/Calculator!$F$12,1)-0.5))),1)</f>
        <v>1</v>
      </c>
      <c r="C443" s="217" t="n">
        <f aca="false">IF(Calculator!$E$13="YES",IF(A443&lt;Calculator!$G$13,0,MIN(MIN(MOD(A443/Calculator!$F$13,1),1-MOD(A443/Calculator!$F$13,1)),ABS(MOD(A443/Calculator!$F$13,1)-0.5))),1)</f>
        <v>1</v>
      </c>
      <c r="D443" s="217" t="n">
        <f aca="false">IF(Calculator!$E$14="YES",IF(A443&lt;Calculator!$G$14,0,MIN(MIN(MOD(A443/Calculator!$F$14,1),1-MOD(A443/Calculator!$F$14,1)),ABS(MOD(A443/Calculator!$F$14,1)-0.5))),1)</f>
        <v>1</v>
      </c>
      <c r="E443" s="217" t="n">
        <f aca="false">IF(Calculator!$E$15="YES",IF(A443&lt;Calculator!$G$15,0,MIN(MIN(MOD(A443/Calculator!$F$15,1),1-MOD(A443/Calculator!$F$15,1)),ABS(MOD(A443/Calculator!$F$15,1)-0.5))),1)</f>
        <v>0.0614736842105264</v>
      </c>
      <c r="F443" s="217" t="n">
        <f aca="false">IF(Calculator!$E$16="YES",IF(A443&lt;Calculator!$G$16,0,MIN(MIN(MOD(A443/Calculator!$F$16,1),1-MOD(A443/Calculator!$F$16,1)),ABS(MOD(A443/Calculator!$F$16,1)-0.5))),1)</f>
        <v>1</v>
      </c>
      <c r="G443" s="217" t="n">
        <f aca="false">IF(Calculator!$E$17="YES",IF(A443&lt;Calculator!$G$17,0,MIN(MIN(MOD(A443/Calculator!$F$17,1),1-MOD(A443/Calculator!$F$17,1)),ABS(MOD(A443/Calculator!$F$17,1)-0.5))),1)</f>
        <v>0.16557894736842</v>
      </c>
      <c r="H443" s="217" t="n">
        <f aca="false">IF(Calculator!$E$18="YES",IF(A443&lt;Calculator!$G$18,0,MIN(MIN(MOD(A443/Calculator!$F$18,1),1-MOD(A443/Calculator!$F$18,1)),ABS(MOD(A443/Calculator!$F$18,1)-0.5))),1)</f>
        <v>1</v>
      </c>
      <c r="I443" s="217" t="n">
        <f aca="false">IF(Calculator!$E$19="YES",IF(A443&lt;Calculator!$G$19,0,MIN(MIN(MOD(A443/Calculator!$F$19,1),1-MOD(A443/Calculator!$F$19,1)),ABS(MOD(A443/Calculator!$F$19,1)-0.5))),1)</f>
        <v>1</v>
      </c>
      <c r="J443" s="217" t="n">
        <f aca="false">IF(Calculator!$E$20="YES",IF(A443&lt;Calculator!$G$20,0,MIN(MIN(MOD(A443/Calculator!$F$20,1),1-MOD(A443/Calculator!$F$20,1)),ABS(MOD(A443/Calculator!$F$20,1)-0.5))),1)</f>
        <v>1</v>
      </c>
      <c r="K443" s="217" t="n">
        <f aca="false">IF(Calculator!$E$21="YES",IF(A443&lt;Calculator!$G$21,0,MIN(MIN(MOD(A443/Calculator!$F$21,1),1-MOD(A443/Calculator!$F$21,1)),ABS(MOD(A443/Calculator!$F$21,1)-0.5))),1)</f>
        <v>0.160631578947369</v>
      </c>
      <c r="L443" s="217" t="n">
        <f aca="false">IF(Calculator!$E$22="YES",IF(A443&lt;Calculator!$G$22,0,MIN(MIN(MOD(A443/Calculator!$F$22,1),1-MOD(A443/Calculator!$F$22,1)),ABS(MOD(A443/Calculator!$F$22,1)-0.5))),1)</f>
        <v>1</v>
      </c>
      <c r="M443" s="217" t="n">
        <f aca="false">MIN(B443:L443)</f>
        <v>0.0614736842105264</v>
      </c>
      <c r="N443" s="217" t="n">
        <f aca="false">SUMPRODUCT(($M$7:$M$557&gt;M443)*1)+SUMPRODUCT(($M$7:$M$557=M443)*(ROW($M$7:$M$557)&lt;ROW(M443)))+1</f>
        <v>238</v>
      </c>
      <c r="O443" s="217" t="str">
        <f aca="false">IF(M443&gt;=0.2,"★★★ EXCELLENT",IF(M443&gt;=0.12,"★★  GOOD",IF(M443&gt;=0.07,"★  FAIR",IF(M443&gt;=0.025,"⚠  MARGINAL","✗  AVOID"))))</f>
        <v>⚠  MARGINAL</v>
      </c>
    </row>
    <row r="444" customFormat="false" ht="15" hidden="false" customHeight="true" outlineLevel="0" collapsed="false">
      <c r="A444" s="218" t="n">
        <v>48.7</v>
      </c>
      <c r="B444" s="219" t="n">
        <f aca="false">IF(Calculator!$E$12="YES",IF(A444&lt;Calculator!$G$12,0,MIN(MIN(MOD(A444/Calculator!$F$12,1),1-MOD(A444/Calculator!$F$12,1)),ABS(MOD(A444/Calculator!$F$12,1)-0.5))),1)</f>
        <v>1</v>
      </c>
      <c r="C444" s="219" t="n">
        <f aca="false">IF(Calculator!$E$13="YES",IF(A444&lt;Calculator!$G$13,0,MIN(MIN(MOD(A444/Calculator!$F$13,1),1-MOD(A444/Calculator!$F$13,1)),ABS(MOD(A444/Calculator!$F$13,1)-0.5))),1)</f>
        <v>1</v>
      </c>
      <c r="D444" s="219" t="n">
        <f aca="false">IF(Calculator!$E$14="YES",IF(A444&lt;Calculator!$G$14,0,MIN(MIN(MOD(A444/Calculator!$F$14,1),1-MOD(A444/Calculator!$F$14,1)),ABS(MOD(A444/Calculator!$F$14,1)-0.5))),1)</f>
        <v>1</v>
      </c>
      <c r="E444" s="219" t="n">
        <f aca="false">IF(Calculator!$E$15="YES",IF(A444&lt;Calculator!$G$15,0,MIN(MIN(MOD(A444/Calculator!$F$15,1),1-MOD(A444/Calculator!$F$15,1)),ABS(MOD(A444/Calculator!$F$15,1)-0.5))),1)</f>
        <v>0.056456140350877</v>
      </c>
      <c r="F444" s="219" t="n">
        <f aca="false">IF(Calculator!$E$16="YES",IF(A444&lt;Calculator!$G$16,0,MIN(MIN(MOD(A444/Calculator!$F$16,1),1-MOD(A444/Calculator!$F$16,1)),ABS(MOD(A444/Calculator!$F$16,1)-0.5))),1)</f>
        <v>1</v>
      </c>
      <c r="G444" s="219" t="n">
        <f aca="false">IF(Calculator!$E$17="YES",IF(A444&lt;Calculator!$G$17,0,MIN(MIN(MOD(A444/Calculator!$F$17,1),1-MOD(A444/Calculator!$F$17,1)),ABS(MOD(A444/Calculator!$F$17,1)-0.5))),1)</f>
        <v>0.155631578947368</v>
      </c>
      <c r="H444" s="219" t="n">
        <f aca="false">IF(Calculator!$E$18="YES",IF(A444&lt;Calculator!$G$18,0,MIN(MIN(MOD(A444/Calculator!$F$18,1),1-MOD(A444/Calculator!$F$18,1)),ABS(MOD(A444/Calculator!$F$18,1)-0.5))),1)</f>
        <v>1</v>
      </c>
      <c r="I444" s="219" t="n">
        <f aca="false">IF(Calculator!$E$19="YES",IF(A444&lt;Calculator!$G$19,0,MIN(MIN(MOD(A444/Calculator!$F$19,1),1-MOD(A444/Calculator!$F$19,1)),ABS(MOD(A444/Calculator!$F$19,1)-0.5))),1)</f>
        <v>1</v>
      </c>
      <c r="J444" s="219" t="n">
        <f aca="false">IF(Calculator!$E$20="YES",IF(A444&lt;Calculator!$G$20,0,MIN(MIN(MOD(A444/Calculator!$F$20,1),1-MOD(A444/Calculator!$F$20,1)),ABS(MOD(A444/Calculator!$F$20,1)-0.5))),1)</f>
        <v>1</v>
      </c>
      <c r="K444" s="219" t="n">
        <f aca="false">IF(Calculator!$E$21="YES",IF(A444&lt;Calculator!$G$21,0,MIN(MIN(MOD(A444/Calculator!$F$21,1),1-MOD(A444/Calculator!$F$21,1)),ABS(MOD(A444/Calculator!$F$21,1)-0.5))),1)</f>
        <v>0.14038596491228</v>
      </c>
      <c r="L444" s="219" t="n">
        <f aca="false">IF(Calculator!$E$22="YES",IF(A444&lt;Calculator!$G$22,0,MIN(MIN(MOD(A444/Calculator!$F$22,1),1-MOD(A444/Calculator!$F$22,1)),ABS(MOD(A444/Calculator!$F$22,1)-0.5))),1)</f>
        <v>1</v>
      </c>
      <c r="M444" s="219" t="n">
        <f aca="false">MIN(B444:L444)</f>
        <v>0.056456140350877</v>
      </c>
      <c r="N444" s="219" t="n">
        <f aca="false">SUMPRODUCT(($M$7:$M$557&gt;M444)*1)+SUMPRODUCT(($M$7:$M$557=M444)*(ROW($M$7:$M$557)&lt;ROW(M444)))+1</f>
        <v>259</v>
      </c>
      <c r="O444" s="219" t="str">
        <f aca="false">IF(M444&gt;=0.2,"★★★ EXCELLENT",IF(M444&gt;=0.12,"★★  GOOD",IF(M444&gt;=0.07,"★  FAIR",IF(M444&gt;=0.025,"⚠  MARGINAL","✗  AVOID"))))</f>
        <v>⚠  MARGINAL</v>
      </c>
    </row>
    <row r="445" customFormat="false" ht="15" hidden="false" customHeight="true" outlineLevel="0" collapsed="false">
      <c r="A445" s="216" t="n">
        <v>48.8</v>
      </c>
      <c r="B445" s="217" t="n">
        <f aca="false">IF(Calculator!$E$12="YES",IF(A445&lt;Calculator!$G$12,0,MIN(MIN(MOD(A445/Calculator!$F$12,1),1-MOD(A445/Calculator!$F$12,1)),ABS(MOD(A445/Calculator!$F$12,1)-0.5))),1)</f>
        <v>1</v>
      </c>
      <c r="C445" s="217" t="n">
        <f aca="false">IF(Calculator!$E$13="YES",IF(A445&lt;Calculator!$G$13,0,MIN(MIN(MOD(A445/Calculator!$F$13,1),1-MOD(A445/Calculator!$F$13,1)),ABS(MOD(A445/Calculator!$F$13,1)-0.5))),1)</f>
        <v>1</v>
      </c>
      <c r="D445" s="217" t="n">
        <f aca="false">IF(Calculator!$E$14="YES",IF(A445&lt;Calculator!$G$14,0,MIN(MIN(MOD(A445/Calculator!$F$14,1),1-MOD(A445/Calculator!$F$14,1)),ABS(MOD(A445/Calculator!$F$14,1)-0.5))),1)</f>
        <v>1</v>
      </c>
      <c r="E445" s="217" t="n">
        <f aca="false">IF(Calculator!$E$15="YES",IF(A445&lt;Calculator!$G$15,0,MIN(MIN(MOD(A445/Calculator!$F$15,1),1-MOD(A445/Calculator!$F$15,1)),ABS(MOD(A445/Calculator!$F$15,1)-0.5))),1)</f>
        <v>0.0514385964912281</v>
      </c>
      <c r="F445" s="217" t="n">
        <f aca="false">IF(Calculator!$E$16="YES",IF(A445&lt;Calculator!$G$16,0,MIN(MIN(MOD(A445/Calculator!$F$16,1),1-MOD(A445/Calculator!$F$16,1)),ABS(MOD(A445/Calculator!$F$16,1)-0.5))),1)</f>
        <v>1</v>
      </c>
      <c r="G445" s="217" t="n">
        <f aca="false">IF(Calculator!$E$17="YES",IF(A445&lt;Calculator!$G$17,0,MIN(MIN(MOD(A445/Calculator!$F$17,1),1-MOD(A445/Calculator!$F$17,1)),ABS(MOD(A445/Calculator!$F$17,1)-0.5))),1)</f>
        <v>0.145684210526316</v>
      </c>
      <c r="H445" s="217" t="n">
        <f aca="false">IF(Calculator!$E$18="YES",IF(A445&lt;Calculator!$G$18,0,MIN(MIN(MOD(A445/Calculator!$F$18,1),1-MOD(A445/Calculator!$F$18,1)),ABS(MOD(A445/Calculator!$F$18,1)-0.5))),1)</f>
        <v>1</v>
      </c>
      <c r="I445" s="217" t="n">
        <f aca="false">IF(Calculator!$E$19="YES",IF(A445&lt;Calculator!$G$19,0,MIN(MIN(MOD(A445/Calculator!$F$19,1),1-MOD(A445/Calculator!$F$19,1)),ABS(MOD(A445/Calculator!$F$19,1)-0.5))),1)</f>
        <v>1</v>
      </c>
      <c r="J445" s="217" t="n">
        <f aca="false">IF(Calculator!$E$20="YES",IF(A445&lt;Calculator!$G$20,0,MIN(MIN(MOD(A445/Calculator!$F$20,1),1-MOD(A445/Calculator!$F$20,1)),ABS(MOD(A445/Calculator!$F$20,1)-0.5))),1)</f>
        <v>1</v>
      </c>
      <c r="K445" s="217" t="n">
        <f aca="false">IF(Calculator!$E$21="YES",IF(A445&lt;Calculator!$G$21,0,MIN(MIN(MOD(A445/Calculator!$F$21,1),1-MOD(A445/Calculator!$F$21,1)),ABS(MOD(A445/Calculator!$F$21,1)-0.5))),1)</f>
        <v>0.120140350877193</v>
      </c>
      <c r="L445" s="217" t="n">
        <f aca="false">IF(Calculator!$E$22="YES",IF(A445&lt;Calculator!$G$22,0,MIN(MIN(MOD(A445/Calculator!$F$22,1),1-MOD(A445/Calculator!$F$22,1)),ABS(MOD(A445/Calculator!$F$22,1)-0.5))),1)</f>
        <v>1</v>
      </c>
      <c r="M445" s="217" t="n">
        <f aca="false">MIN(B445:L445)</f>
        <v>0.0514385964912281</v>
      </c>
      <c r="N445" s="217" t="n">
        <f aca="false">SUMPRODUCT(($M$7:$M$557&gt;M445)*1)+SUMPRODUCT(($M$7:$M$557=M445)*(ROW($M$7:$M$557)&lt;ROW(M445)))+1</f>
        <v>278</v>
      </c>
      <c r="O445" s="217" t="str">
        <f aca="false">IF(M445&gt;=0.2,"★★★ EXCELLENT",IF(M445&gt;=0.12,"★★  GOOD",IF(M445&gt;=0.07,"★  FAIR",IF(M445&gt;=0.025,"⚠  MARGINAL","✗  AVOID"))))</f>
        <v>⚠  MARGINAL</v>
      </c>
    </row>
    <row r="446" customFormat="false" ht="15" hidden="false" customHeight="true" outlineLevel="0" collapsed="false">
      <c r="A446" s="218" t="n">
        <v>48.9</v>
      </c>
      <c r="B446" s="219" t="n">
        <f aca="false">IF(Calculator!$E$12="YES",IF(A446&lt;Calculator!$G$12,0,MIN(MIN(MOD(A446/Calculator!$F$12,1),1-MOD(A446/Calculator!$F$12,1)),ABS(MOD(A446/Calculator!$F$12,1)-0.5))),1)</f>
        <v>1</v>
      </c>
      <c r="C446" s="219" t="n">
        <f aca="false">IF(Calculator!$E$13="YES",IF(A446&lt;Calculator!$G$13,0,MIN(MIN(MOD(A446/Calculator!$F$13,1),1-MOD(A446/Calculator!$F$13,1)),ABS(MOD(A446/Calculator!$F$13,1)-0.5))),1)</f>
        <v>1</v>
      </c>
      <c r="D446" s="219" t="n">
        <f aca="false">IF(Calculator!$E$14="YES",IF(A446&lt;Calculator!$G$14,0,MIN(MIN(MOD(A446/Calculator!$F$14,1),1-MOD(A446/Calculator!$F$14,1)),ABS(MOD(A446/Calculator!$F$14,1)-0.5))),1)</f>
        <v>1</v>
      </c>
      <c r="E446" s="219" t="n">
        <f aca="false">IF(Calculator!$E$15="YES",IF(A446&lt;Calculator!$G$15,0,MIN(MIN(MOD(A446/Calculator!$F$15,1),1-MOD(A446/Calculator!$F$15,1)),ABS(MOD(A446/Calculator!$F$15,1)-0.5))),1)</f>
        <v>0.0464210526315791</v>
      </c>
      <c r="F446" s="219" t="n">
        <f aca="false">IF(Calculator!$E$16="YES",IF(A446&lt;Calculator!$G$16,0,MIN(MIN(MOD(A446/Calculator!$F$16,1),1-MOD(A446/Calculator!$F$16,1)),ABS(MOD(A446/Calculator!$F$16,1)-0.5))),1)</f>
        <v>1</v>
      </c>
      <c r="G446" s="219" t="n">
        <f aca="false">IF(Calculator!$E$17="YES",IF(A446&lt;Calculator!$G$17,0,MIN(MIN(MOD(A446/Calculator!$F$17,1),1-MOD(A446/Calculator!$F$17,1)),ABS(MOD(A446/Calculator!$F$17,1)-0.5))),1)</f>
        <v>0.135736842105263</v>
      </c>
      <c r="H446" s="219" t="n">
        <f aca="false">IF(Calculator!$E$18="YES",IF(A446&lt;Calculator!$G$18,0,MIN(MIN(MOD(A446/Calculator!$F$18,1),1-MOD(A446/Calculator!$F$18,1)),ABS(MOD(A446/Calculator!$F$18,1)-0.5))),1)</f>
        <v>1</v>
      </c>
      <c r="I446" s="219" t="n">
        <f aca="false">IF(Calculator!$E$19="YES",IF(A446&lt;Calculator!$G$19,0,MIN(MIN(MOD(A446/Calculator!$F$19,1),1-MOD(A446/Calculator!$F$19,1)),ABS(MOD(A446/Calculator!$F$19,1)-0.5))),1)</f>
        <v>1</v>
      </c>
      <c r="J446" s="219" t="n">
        <f aca="false">IF(Calculator!$E$20="YES",IF(A446&lt;Calculator!$G$20,0,MIN(MIN(MOD(A446/Calculator!$F$20,1),1-MOD(A446/Calculator!$F$20,1)),ABS(MOD(A446/Calculator!$F$20,1)-0.5))),1)</f>
        <v>1</v>
      </c>
      <c r="K446" s="219" t="n">
        <f aca="false">IF(Calculator!$E$21="YES",IF(A446&lt;Calculator!$G$21,0,MIN(MIN(MOD(A446/Calculator!$F$21,1),1-MOD(A446/Calculator!$F$21,1)),ABS(MOD(A446/Calculator!$F$21,1)-0.5))),1)</f>
        <v>0.0998947368421064</v>
      </c>
      <c r="L446" s="219" t="n">
        <f aca="false">IF(Calculator!$E$22="YES",IF(A446&lt;Calculator!$G$22,0,MIN(MIN(MOD(A446/Calculator!$F$22,1),1-MOD(A446/Calculator!$F$22,1)),ABS(MOD(A446/Calculator!$F$22,1)-0.5))),1)</f>
        <v>1</v>
      </c>
      <c r="M446" s="219" t="n">
        <f aca="false">MIN(B446:L446)</f>
        <v>0.0464210526315791</v>
      </c>
      <c r="N446" s="219" t="n">
        <f aca="false">SUMPRODUCT(($M$7:$M$557&gt;M446)*1)+SUMPRODUCT(($M$7:$M$557=M446)*(ROW($M$7:$M$557)&lt;ROW(M446)))+1</f>
        <v>300</v>
      </c>
      <c r="O446" s="219" t="str">
        <f aca="false">IF(M446&gt;=0.2,"★★★ EXCELLENT",IF(M446&gt;=0.12,"★★  GOOD",IF(M446&gt;=0.07,"★  FAIR",IF(M446&gt;=0.025,"⚠  MARGINAL","✗  AVOID"))))</f>
        <v>⚠  MARGINAL</v>
      </c>
    </row>
    <row r="447" customFormat="false" ht="15" hidden="false" customHeight="true" outlineLevel="0" collapsed="false">
      <c r="A447" s="216" t="n">
        <v>49</v>
      </c>
      <c r="B447" s="217" t="n">
        <f aca="false">IF(Calculator!$E$12="YES",IF(A447&lt;Calculator!$G$12,0,MIN(MIN(MOD(A447/Calculator!$F$12,1),1-MOD(A447/Calculator!$F$12,1)),ABS(MOD(A447/Calculator!$F$12,1)-0.5))),1)</f>
        <v>1</v>
      </c>
      <c r="C447" s="217" t="n">
        <f aca="false">IF(Calculator!$E$13="YES",IF(A447&lt;Calculator!$G$13,0,MIN(MIN(MOD(A447/Calculator!$F$13,1),1-MOD(A447/Calculator!$F$13,1)),ABS(MOD(A447/Calculator!$F$13,1)-0.5))),1)</f>
        <v>1</v>
      </c>
      <c r="D447" s="217" t="n">
        <f aca="false">IF(Calculator!$E$14="YES",IF(A447&lt;Calculator!$G$14,0,MIN(MIN(MOD(A447/Calculator!$F$14,1),1-MOD(A447/Calculator!$F$14,1)),ABS(MOD(A447/Calculator!$F$14,1)-0.5))),1)</f>
        <v>1</v>
      </c>
      <c r="E447" s="217" t="n">
        <f aca="false">IF(Calculator!$E$15="YES",IF(A447&lt;Calculator!$G$15,0,MIN(MIN(MOD(A447/Calculator!$F$15,1),1-MOD(A447/Calculator!$F$15,1)),ABS(MOD(A447/Calculator!$F$15,1)-0.5))),1)</f>
        <v>0.0414035087719298</v>
      </c>
      <c r="F447" s="217" t="n">
        <f aca="false">IF(Calculator!$E$16="YES",IF(A447&lt;Calculator!$G$16,0,MIN(MIN(MOD(A447/Calculator!$F$16,1),1-MOD(A447/Calculator!$F$16,1)),ABS(MOD(A447/Calculator!$F$16,1)-0.5))),1)</f>
        <v>1</v>
      </c>
      <c r="G447" s="217" t="n">
        <f aca="false">IF(Calculator!$E$17="YES",IF(A447&lt;Calculator!$G$17,0,MIN(MIN(MOD(A447/Calculator!$F$17,1),1-MOD(A447/Calculator!$F$17,1)),ABS(MOD(A447/Calculator!$F$17,1)-0.5))),1)</f>
        <v>0.12578947368421</v>
      </c>
      <c r="H447" s="217" t="n">
        <f aca="false">IF(Calculator!$E$18="YES",IF(A447&lt;Calculator!$G$18,0,MIN(MIN(MOD(A447/Calculator!$F$18,1),1-MOD(A447/Calculator!$F$18,1)),ABS(MOD(A447/Calculator!$F$18,1)-0.5))),1)</f>
        <v>1</v>
      </c>
      <c r="I447" s="217" t="n">
        <f aca="false">IF(Calculator!$E$19="YES",IF(A447&lt;Calculator!$G$19,0,MIN(MIN(MOD(A447/Calculator!$F$19,1),1-MOD(A447/Calculator!$F$19,1)),ABS(MOD(A447/Calculator!$F$19,1)-0.5))),1)</f>
        <v>1</v>
      </c>
      <c r="J447" s="217" t="n">
        <f aca="false">IF(Calculator!$E$20="YES",IF(A447&lt;Calculator!$G$20,0,MIN(MIN(MOD(A447/Calculator!$F$20,1),1-MOD(A447/Calculator!$F$20,1)),ABS(MOD(A447/Calculator!$F$20,1)-0.5))),1)</f>
        <v>1</v>
      </c>
      <c r="K447" s="217" t="n">
        <f aca="false">IF(Calculator!$E$21="YES",IF(A447&lt;Calculator!$G$21,0,MIN(MIN(MOD(A447/Calculator!$F$21,1),1-MOD(A447/Calculator!$F$21,1)),ABS(MOD(A447/Calculator!$F$21,1)-0.5))),1)</f>
        <v>0.0796491228070178</v>
      </c>
      <c r="L447" s="217" t="n">
        <f aca="false">IF(Calculator!$E$22="YES",IF(A447&lt;Calculator!$G$22,0,MIN(MIN(MOD(A447/Calculator!$F$22,1),1-MOD(A447/Calculator!$F$22,1)),ABS(MOD(A447/Calculator!$F$22,1)-0.5))),1)</f>
        <v>1</v>
      </c>
      <c r="M447" s="217" t="n">
        <f aca="false">MIN(B447:L447)</f>
        <v>0.0414035087719298</v>
      </c>
      <c r="N447" s="217" t="n">
        <f aca="false">SUMPRODUCT(($M$7:$M$557&gt;M447)*1)+SUMPRODUCT(($M$7:$M$557=M447)*(ROW($M$7:$M$557)&lt;ROW(M447)))+1</f>
        <v>319</v>
      </c>
      <c r="O447" s="217" t="str">
        <f aca="false">IF(M447&gt;=0.2,"★★★ EXCELLENT",IF(M447&gt;=0.12,"★★  GOOD",IF(M447&gt;=0.07,"★  FAIR",IF(M447&gt;=0.025,"⚠  MARGINAL","✗  AVOID"))))</f>
        <v>⚠  MARGINAL</v>
      </c>
    </row>
    <row r="448" customFormat="false" ht="15" hidden="false" customHeight="true" outlineLevel="0" collapsed="false">
      <c r="A448" s="218" t="n">
        <v>49.1</v>
      </c>
      <c r="B448" s="219" t="n">
        <f aca="false">IF(Calculator!$E$12="YES",IF(A448&lt;Calculator!$G$12,0,MIN(MIN(MOD(A448/Calculator!$F$12,1),1-MOD(A448/Calculator!$F$12,1)),ABS(MOD(A448/Calculator!$F$12,1)-0.5))),1)</f>
        <v>1</v>
      </c>
      <c r="C448" s="219" t="n">
        <f aca="false">IF(Calculator!$E$13="YES",IF(A448&lt;Calculator!$G$13,0,MIN(MIN(MOD(A448/Calculator!$F$13,1),1-MOD(A448/Calculator!$F$13,1)),ABS(MOD(A448/Calculator!$F$13,1)-0.5))),1)</f>
        <v>1</v>
      </c>
      <c r="D448" s="219" t="n">
        <f aca="false">IF(Calculator!$E$14="YES",IF(A448&lt;Calculator!$G$14,0,MIN(MIN(MOD(A448/Calculator!$F$14,1),1-MOD(A448/Calculator!$F$14,1)),ABS(MOD(A448/Calculator!$F$14,1)-0.5))),1)</f>
        <v>1</v>
      </c>
      <c r="E448" s="219" t="n">
        <f aca="false">IF(Calculator!$E$15="YES",IF(A448&lt;Calculator!$G$15,0,MIN(MIN(MOD(A448/Calculator!$F$15,1),1-MOD(A448/Calculator!$F$15,1)),ABS(MOD(A448/Calculator!$F$15,1)-0.5))),1)</f>
        <v>0.0363859649122804</v>
      </c>
      <c r="F448" s="219" t="n">
        <f aca="false">IF(Calculator!$E$16="YES",IF(A448&lt;Calculator!$G$16,0,MIN(MIN(MOD(A448/Calculator!$F$16,1),1-MOD(A448/Calculator!$F$16,1)),ABS(MOD(A448/Calculator!$F$16,1)-0.5))),1)</f>
        <v>1</v>
      </c>
      <c r="G448" s="219" t="n">
        <f aca="false">IF(Calculator!$E$17="YES",IF(A448&lt;Calculator!$G$17,0,MIN(MIN(MOD(A448/Calculator!$F$17,1),1-MOD(A448/Calculator!$F$17,1)),ABS(MOD(A448/Calculator!$F$17,1)-0.5))),1)</f>
        <v>0.115842105263157</v>
      </c>
      <c r="H448" s="219" t="n">
        <f aca="false">IF(Calculator!$E$18="YES",IF(A448&lt;Calculator!$G$18,0,MIN(MIN(MOD(A448/Calculator!$F$18,1),1-MOD(A448/Calculator!$F$18,1)),ABS(MOD(A448/Calculator!$F$18,1)-0.5))),1)</f>
        <v>1</v>
      </c>
      <c r="I448" s="219" t="n">
        <f aca="false">IF(Calculator!$E$19="YES",IF(A448&lt;Calculator!$G$19,0,MIN(MIN(MOD(A448/Calculator!$F$19,1),1-MOD(A448/Calculator!$F$19,1)),ABS(MOD(A448/Calculator!$F$19,1)-0.5))),1)</f>
        <v>1</v>
      </c>
      <c r="J448" s="219" t="n">
        <f aca="false">IF(Calculator!$E$20="YES",IF(A448&lt;Calculator!$G$20,0,MIN(MIN(MOD(A448/Calculator!$F$20,1),1-MOD(A448/Calculator!$F$20,1)),ABS(MOD(A448/Calculator!$F$20,1)-0.5))),1)</f>
        <v>1</v>
      </c>
      <c r="K448" s="219" t="n">
        <f aca="false">IF(Calculator!$E$21="YES",IF(A448&lt;Calculator!$G$21,0,MIN(MIN(MOD(A448/Calculator!$F$21,1),1-MOD(A448/Calculator!$F$21,1)),ABS(MOD(A448/Calculator!$F$21,1)-0.5))),1)</f>
        <v>0.0594035087719291</v>
      </c>
      <c r="L448" s="219" t="n">
        <f aca="false">IF(Calculator!$E$22="YES",IF(A448&lt;Calculator!$G$22,0,MIN(MIN(MOD(A448/Calculator!$F$22,1),1-MOD(A448/Calculator!$F$22,1)),ABS(MOD(A448/Calculator!$F$22,1)-0.5))),1)</f>
        <v>1</v>
      </c>
      <c r="M448" s="219" t="n">
        <f aca="false">MIN(B448:L448)</f>
        <v>0.0363859649122804</v>
      </c>
      <c r="N448" s="219" t="n">
        <f aca="false">SUMPRODUCT(($M$7:$M$557&gt;M448)*1)+SUMPRODUCT(($M$7:$M$557=M448)*(ROW($M$7:$M$557)&lt;ROW(M448)))+1</f>
        <v>339</v>
      </c>
      <c r="O448" s="219" t="str">
        <f aca="false">IF(M448&gt;=0.2,"★★★ EXCELLENT",IF(M448&gt;=0.12,"★★  GOOD",IF(M448&gt;=0.07,"★  FAIR",IF(M448&gt;=0.025,"⚠  MARGINAL","✗  AVOID"))))</f>
        <v>⚠  MARGINAL</v>
      </c>
    </row>
    <row r="449" customFormat="false" ht="15" hidden="false" customHeight="true" outlineLevel="0" collapsed="false">
      <c r="A449" s="216" t="n">
        <v>49.2</v>
      </c>
      <c r="B449" s="217" t="n">
        <f aca="false">IF(Calculator!$E$12="YES",IF(A449&lt;Calculator!$G$12,0,MIN(MIN(MOD(A449/Calculator!$F$12,1),1-MOD(A449/Calculator!$F$12,1)),ABS(MOD(A449/Calculator!$F$12,1)-0.5))),1)</f>
        <v>1</v>
      </c>
      <c r="C449" s="217" t="n">
        <f aca="false">IF(Calculator!$E$13="YES",IF(A449&lt;Calculator!$G$13,0,MIN(MIN(MOD(A449/Calculator!$F$13,1),1-MOD(A449/Calculator!$F$13,1)),ABS(MOD(A449/Calculator!$F$13,1)-0.5))),1)</f>
        <v>1</v>
      </c>
      <c r="D449" s="217" t="n">
        <f aca="false">IF(Calculator!$E$14="YES",IF(A449&lt;Calculator!$G$14,0,MIN(MIN(MOD(A449/Calculator!$F$14,1),1-MOD(A449/Calculator!$F$14,1)),ABS(MOD(A449/Calculator!$F$14,1)-0.5))),1)</f>
        <v>1</v>
      </c>
      <c r="E449" s="217" t="n">
        <f aca="false">IF(Calculator!$E$15="YES",IF(A449&lt;Calculator!$G$15,0,MIN(MIN(MOD(A449/Calculator!$F$15,1),1-MOD(A449/Calculator!$F$15,1)),ABS(MOD(A449/Calculator!$F$15,1)-0.5))),1)</f>
        <v>0.0313684210526315</v>
      </c>
      <c r="F449" s="217" t="n">
        <f aca="false">IF(Calculator!$E$16="YES",IF(A449&lt;Calculator!$G$16,0,MIN(MIN(MOD(A449/Calculator!$F$16,1),1-MOD(A449/Calculator!$F$16,1)),ABS(MOD(A449/Calculator!$F$16,1)-0.5))),1)</f>
        <v>1</v>
      </c>
      <c r="G449" s="217" t="n">
        <f aca="false">IF(Calculator!$E$17="YES",IF(A449&lt;Calculator!$G$17,0,MIN(MIN(MOD(A449/Calculator!$F$17,1),1-MOD(A449/Calculator!$F$17,1)),ABS(MOD(A449/Calculator!$F$17,1)-0.5))),1)</f>
        <v>0.105894736842105</v>
      </c>
      <c r="H449" s="217" t="n">
        <f aca="false">IF(Calculator!$E$18="YES",IF(A449&lt;Calculator!$G$18,0,MIN(MIN(MOD(A449/Calculator!$F$18,1),1-MOD(A449/Calculator!$F$18,1)),ABS(MOD(A449/Calculator!$F$18,1)-0.5))),1)</f>
        <v>1</v>
      </c>
      <c r="I449" s="217" t="n">
        <f aca="false">IF(Calculator!$E$19="YES",IF(A449&lt;Calculator!$G$19,0,MIN(MIN(MOD(A449/Calculator!$F$19,1),1-MOD(A449/Calculator!$F$19,1)),ABS(MOD(A449/Calculator!$F$19,1)-0.5))),1)</f>
        <v>1</v>
      </c>
      <c r="J449" s="217" t="n">
        <f aca="false">IF(Calculator!$E$20="YES",IF(A449&lt;Calculator!$G$20,0,MIN(MIN(MOD(A449/Calculator!$F$20,1),1-MOD(A449/Calculator!$F$20,1)),ABS(MOD(A449/Calculator!$F$20,1)-0.5))),1)</f>
        <v>1</v>
      </c>
      <c r="K449" s="217" t="n">
        <f aca="false">IF(Calculator!$E$21="YES",IF(A449&lt;Calculator!$G$21,0,MIN(MIN(MOD(A449/Calculator!$F$21,1),1-MOD(A449/Calculator!$F$21,1)),ABS(MOD(A449/Calculator!$F$21,1)-0.5))),1)</f>
        <v>0.0391578947368423</v>
      </c>
      <c r="L449" s="217" t="n">
        <f aca="false">IF(Calculator!$E$22="YES",IF(A449&lt;Calculator!$G$22,0,MIN(MIN(MOD(A449/Calculator!$F$22,1),1-MOD(A449/Calculator!$F$22,1)),ABS(MOD(A449/Calculator!$F$22,1)-0.5))),1)</f>
        <v>1</v>
      </c>
      <c r="M449" s="217" t="n">
        <f aca="false">MIN(B449:L449)</f>
        <v>0.0313684210526315</v>
      </c>
      <c r="N449" s="217" t="n">
        <f aca="false">SUMPRODUCT(($M$7:$M$557&gt;M449)*1)+SUMPRODUCT(($M$7:$M$557=M449)*(ROW($M$7:$M$557)&lt;ROW(M449)))+1</f>
        <v>358</v>
      </c>
      <c r="O449" s="217" t="str">
        <f aca="false">IF(M449&gt;=0.2,"★★★ EXCELLENT",IF(M449&gt;=0.12,"★★  GOOD",IF(M449&gt;=0.07,"★  FAIR",IF(M449&gt;=0.025,"⚠  MARGINAL","✗  AVOID"))))</f>
        <v>⚠  MARGINAL</v>
      </c>
    </row>
    <row r="450" customFormat="false" ht="15" hidden="false" customHeight="true" outlineLevel="0" collapsed="false">
      <c r="A450" s="218" t="n">
        <v>49.3</v>
      </c>
      <c r="B450" s="219" t="n">
        <f aca="false">IF(Calculator!$E$12="YES",IF(A450&lt;Calculator!$G$12,0,MIN(MIN(MOD(A450/Calculator!$F$12,1),1-MOD(A450/Calculator!$F$12,1)),ABS(MOD(A450/Calculator!$F$12,1)-0.5))),1)</f>
        <v>1</v>
      </c>
      <c r="C450" s="219" t="n">
        <f aca="false">IF(Calculator!$E$13="YES",IF(A450&lt;Calculator!$G$13,0,MIN(MIN(MOD(A450/Calculator!$F$13,1),1-MOD(A450/Calculator!$F$13,1)),ABS(MOD(A450/Calculator!$F$13,1)-0.5))),1)</f>
        <v>1</v>
      </c>
      <c r="D450" s="219" t="n">
        <f aca="false">IF(Calculator!$E$14="YES",IF(A450&lt;Calculator!$G$14,0,MIN(MIN(MOD(A450/Calculator!$F$14,1),1-MOD(A450/Calculator!$F$14,1)),ABS(MOD(A450/Calculator!$F$14,1)-0.5))),1)</f>
        <v>1</v>
      </c>
      <c r="E450" s="219" t="n">
        <f aca="false">IF(Calculator!$E$15="YES",IF(A450&lt;Calculator!$G$15,0,MIN(MIN(MOD(A450/Calculator!$F$15,1),1-MOD(A450/Calculator!$F$15,1)),ABS(MOD(A450/Calculator!$F$15,1)-0.5))),1)</f>
        <v>0.0263508771929826</v>
      </c>
      <c r="F450" s="219" t="n">
        <f aca="false">IF(Calculator!$E$16="YES",IF(A450&lt;Calculator!$G$16,0,MIN(MIN(MOD(A450/Calculator!$F$16,1),1-MOD(A450/Calculator!$F$16,1)),ABS(MOD(A450/Calculator!$F$16,1)-0.5))),1)</f>
        <v>1</v>
      </c>
      <c r="G450" s="219" t="n">
        <f aca="false">IF(Calculator!$E$17="YES",IF(A450&lt;Calculator!$G$17,0,MIN(MIN(MOD(A450/Calculator!$F$17,1),1-MOD(A450/Calculator!$F$17,1)),ABS(MOD(A450/Calculator!$F$17,1)-0.5))),1)</f>
        <v>0.0959473684210526</v>
      </c>
      <c r="H450" s="219" t="n">
        <f aca="false">IF(Calculator!$E$18="YES",IF(A450&lt;Calculator!$G$18,0,MIN(MIN(MOD(A450/Calculator!$F$18,1),1-MOD(A450/Calculator!$F$18,1)),ABS(MOD(A450/Calculator!$F$18,1)-0.5))),1)</f>
        <v>1</v>
      </c>
      <c r="I450" s="219" t="n">
        <f aca="false">IF(Calculator!$E$19="YES",IF(A450&lt;Calculator!$G$19,0,MIN(MIN(MOD(A450/Calculator!$F$19,1),1-MOD(A450/Calculator!$F$19,1)),ABS(MOD(A450/Calculator!$F$19,1)-0.5))),1)</f>
        <v>1</v>
      </c>
      <c r="J450" s="219" t="n">
        <f aca="false">IF(Calculator!$E$20="YES",IF(A450&lt;Calculator!$G$20,0,MIN(MIN(MOD(A450/Calculator!$F$20,1),1-MOD(A450/Calculator!$F$20,1)),ABS(MOD(A450/Calculator!$F$20,1)-0.5))),1)</f>
        <v>1</v>
      </c>
      <c r="K450" s="219" t="n">
        <f aca="false">IF(Calculator!$E$21="YES",IF(A450&lt;Calculator!$G$21,0,MIN(MIN(MOD(A450/Calculator!$F$21,1),1-MOD(A450/Calculator!$F$21,1)),ABS(MOD(A450/Calculator!$F$21,1)-0.5))),1)</f>
        <v>0.0189122807017554</v>
      </c>
      <c r="L450" s="219" t="n">
        <f aca="false">IF(Calculator!$E$22="YES",IF(A450&lt;Calculator!$G$22,0,MIN(MIN(MOD(A450/Calculator!$F$22,1),1-MOD(A450/Calculator!$F$22,1)),ABS(MOD(A450/Calculator!$F$22,1)-0.5))),1)</f>
        <v>1</v>
      </c>
      <c r="M450" s="219" t="n">
        <f aca="false">MIN(B450:L450)</f>
        <v>0.0189122807017554</v>
      </c>
      <c r="N450" s="219" t="n">
        <f aca="false">SUMPRODUCT(($M$7:$M$557&gt;M450)*1)+SUMPRODUCT(($M$7:$M$557=M450)*(ROW($M$7:$M$557)&lt;ROW(M450)))+1</f>
        <v>407</v>
      </c>
      <c r="O450" s="219" t="str">
        <f aca="false">IF(M450&gt;=0.2,"★★★ EXCELLENT",IF(M450&gt;=0.12,"★★  GOOD",IF(M450&gt;=0.07,"★  FAIR",IF(M450&gt;=0.025,"⚠  MARGINAL","✗  AVOID"))))</f>
        <v>✗  AVOID</v>
      </c>
    </row>
    <row r="451" customFormat="false" ht="15" hidden="false" customHeight="true" outlineLevel="0" collapsed="false">
      <c r="A451" s="216" t="n">
        <v>49.4</v>
      </c>
      <c r="B451" s="217" t="n">
        <f aca="false">IF(Calculator!$E$12="YES",IF(A451&lt;Calculator!$G$12,0,MIN(MIN(MOD(A451/Calculator!$F$12,1),1-MOD(A451/Calculator!$F$12,1)),ABS(MOD(A451/Calculator!$F$12,1)-0.5))),1)</f>
        <v>1</v>
      </c>
      <c r="C451" s="217" t="n">
        <f aca="false">IF(Calculator!$E$13="YES",IF(A451&lt;Calculator!$G$13,0,MIN(MIN(MOD(A451/Calculator!$F$13,1),1-MOD(A451/Calculator!$F$13,1)),ABS(MOD(A451/Calculator!$F$13,1)-0.5))),1)</f>
        <v>1</v>
      </c>
      <c r="D451" s="217" t="n">
        <f aca="false">IF(Calculator!$E$14="YES",IF(A451&lt;Calculator!$G$14,0,MIN(MIN(MOD(A451/Calculator!$F$14,1),1-MOD(A451/Calculator!$F$14,1)),ABS(MOD(A451/Calculator!$F$14,1)-0.5))),1)</f>
        <v>1</v>
      </c>
      <c r="E451" s="217" t="n">
        <f aca="false">IF(Calculator!$E$15="YES",IF(A451&lt;Calculator!$G$15,0,MIN(MIN(MOD(A451/Calculator!$F$15,1),1-MOD(A451/Calculator!$F$15,1)),ABS(MOD(A451/Calculator!$F$15,1)-0.5))),1)</f>
        <v>0.0213333333333332</v>
      </c>
      <c r="F451" s="217" t="n">
        <f aca="false">IF(Calculator!$E$16="YES",IF(A451&lt;Calculator!$G$16,0,MIN(MIN(MOD(A451/Calculator!$F$16,1),1-MOD(A451/Calculator!$F$16,1)),ABS(MOD(A451/Calculator!$F$16,1)-0.5))),1)</f>
        <v>1</v>
      </c>
      <c r="G451" s="217" t="n">
        <f aca="false">IF(Calculator!$E$17="YES",IF(A451&lt;Calculator!$G$17,0,MIN(MIN(MOD(A451/Calculator!$F$17,1),1-MOD(A451/Calculator!$F$17,1)),ABS(MOD(A451/Calculator!$F$17,1)-0.5))),1)</f>
        <v>0.0859999999999994</v>
      </c>
      <c r="H451" s="217" t="n">
        <f aca="false">IF(Calculator!$E$18="YES",IF(A451&lt;Calculator!$G$18,0,MIN(MIN(MOD(A451/Calculator!$F$18,1),1-MOD(A451/Calculator!$F$18,1)),ABS(MOD(A451/Calculator!$F$18,1)-0.5))),1)</f>
        <v>1</v>
      </c>
      <c r="I451" s="217" t="n">
        <f aca="false">IF(Calculator!$E$19="YES",IF(A451&lt;Calculator!$G$19,0,MIN(MIN(MOD(A451/Calculator!$F$19,1),1-MOD(A451/Calculator!$F$19,1)),ABS(MOD(A451/Calculator!$F$19,1)-0.5))),1)</f>
        <v>1</v>
      </c>
      <c r="J451" s="217" t="n">
        <f aca="false">IF(Calculator!$E$20="YES",IF(A451&lt;Calculator!$G$20,0,MIN(MIN(MOD(A451/Calculator!$F$20,1),1-MOD(A451/Calculator!$F$20,1)),ABS(MOD(A451/Calculator!$F$20,1)-0.5))),1)</f>
        <v>1</v>
      </c>
      <c r="K451" s="217" t="n">
        <f aca="false">IF(Calculator!$E$21="YES",IF(A451&lt;Calculator!$G$21,0,MIN(MIN(MOD(A451/Calculator!$F$21,1),1-MOD(A451/Calculator!$F$21,1)),ABS(MOD(A451/Calculator!$F$21,1)-0.5))),1)</f>
        <v>0.00133333333333319</v>
      </c>
      <c r="L451" s="217" t="n">
        <f aca="false">IF(Calculator!$E$22="YES",IF(A451&lt;Calculator!$G$22,0,MIN(MIN(MOD(A451/Calculator!$F$22,1),1-MOD(A451/Calculator!$F$22,1)),ABS(MOD(A451/Calculator!$F$22,1)-0.5))),1)</f>
        <v>1</v>
      </c>
      <c r="M451" s="217" t="n">
        <f aca="false">MIN(B451:L451)</f>
        <v>0.00133333333333319</v>
      </c>
      <c r="N451" s="217" t="n">
        <f aca="false">SUMPRODUCT(($M$7:$M$557&gt;M451)*1)+SUMPRODUCT(($M$7:$M$557=M451)*(ROW($M$7:$M$557)&lt;ROW(M451)))+1</f>
        <v>492</v>
      </c>
      <c r="O451" s="217" t="str">
        <f aca="false">IF(M451&gt;=0.2,"★★★ EXCELLENT",IF(M451&gt;=0.12,"★★  GOOD",IF(M451&gt;=0.07,"★  FAIR",IF(M451&gt;=0.025,"⚠  MARGINAL","✗  AVOID"))))</f>
        <v>✗  AVOID</v>
      </c>
    </row>
    <row r="452" customFormat="false" ht="15" hidden="false" customHeight="true" outlineLevel="0" collapsed="false">
      <c r="A452" s="218" t="n">
        <v>49.5</v>
      </c>
      <c r="B452" s="219" t="n">
        <f aca="false">IF(Calculator!$E$12="YES",IF(A452&lt;Calculator!$G$12,0,MIN(MIN(MOD(A452/Calculator!$F$12,1),1-MOD(A452/Calculator!$F$12,1)),ABS(MOD(A452/Calculator!$F$12,1)-0.5))),1)</f>
        <v>1</v>
      </c>
      <c r="C452" s="219" t="n">
        <f aca="false">IF(Calculator!$E$13="YES",IF(A452&lt;Calculator!$G$13,0,MIN(MIN(MOD(A452/Calculator!$F$13,1),1-MOD(A452/Calculator!$F$13,1)),ABS(MOD(A452/Calculator!$F$13,1)-0.5))),1)</f>
        <v>1</v>
      </c>
      <c r="D452" s="219" t="n">
        <f aca="false">IF(Calculator!$E$14="YES",IF(A452&lt;Calculator!$G$14,0,MIN(MIN(MOD(A452/Calculator!$F$14,1),1-MOD(A452/Calculator!$F$14,1)),ABS(MOD(A452/Calculator!$F$14,1)-0.5))),1)</f>
        <v>1</v>
      </c>
      <c r="E452" s="219" t="n">
        <f aca="false">IF(Calculator!$E$15="YES",IF(A452&lt;Calculator!$G$15,0,MIN(MIN(MOD(A452/Calculator!$F$15,1),1-MOD(A452/Calculator!$F$15,1)),ABS(MOD(A452/Calculator!$F$15,1)-0.5))),1)</f>
        <v>0.0163157894736843</v>
      </c>
      <c r="F452" s="219" t="n">
        <f aca="false">IF(Calculator!$E$16="YES",IF(A452&lt;Calculator!$G$16,0,MIN(MIN(MOD(A452/Calculator!$F$16,1),1-MOD(A452/Calculator!$F$16,1)),ABS(MOD(A452/Calculator!$F$16,1)-0.5))),1)</f>
        <v>1</v>
      </c>
      <c r="G452" s="219" t="n">
        <f aca="false">IF(Calculator!$E$17="YES",IF(A452&lt;Calculator!$G$17,0,MIN(MIN(MOD(A452/Calculator!$F$17,1),1-MOD(A452/Calculator!$F$17,1)),ABS(MOD(A452/Calculator!$F$17,1)-0.5))),1)</f>
        <v>0.0760526315789472</v>
      </c>
      <c r="H452" s="219" t="n">
        <f aca="false">IF(Calculator!$E$18="YES",IF(A452&lt;Calculator!$G$18,0,MIN(MIN(MOD(A452/Calculator!$F$18,1),1-MOD(A452/Calculator!$F$18,1)),ABS(MOD(A452/Calculator!$F$18,1)-0.5))),1)</f>
        <v>1</v>
      </c>
      <c r="I452" s="219" t="n">
        <f aca="false">IF(Calculator!$E$19="YES",IF(A452&lt;Calculator!$G$19,0,MIN(MIN(MOD(A452/Calculator!$F$19,1),1-MOD(A452/Calculator!$F$19,1)),ABS(MOD(A452/Calculator!$F$19,1)-0.5))),1)</f>
        <v>1</v>
      </c>
      <c r="J452" s="219" t="n">
        <f aca="false">IF(Calculator!$E$20="YES",IF(A452&lt;Calculator!$G$20,0,MIN(MIN(MOD(A452/Calculator!$F$20,1),1-MOD(A452/Calculator!$F$20,1)),ABS(MOD(A452/Calculator!$F$20,1)-0.5))),1)</f>
        <v>1</v>
      </c>
      <c r="K452" s="219" t="n">
        <f aca="false">IF(Calculator!$E$21="YES",IF(A452&lt;Calculator!$G$21,0,MIN(MIN(MOD(A452/Calculator!$F$21,1),1-MOD(A452/Calculator!$F$21,1)),ABS(MOD(A452/Calculator!$F$21,1)-0.5))),1)</f>
        <v>0.02157894736842</v>
      </c>
      <c r="L452" s="219" t="n">
        <f aca="false">IF(Calculator!$E$22="YES",IF(A452&lt;Calculator!$G$22,0,MIN(MIN(MOD(A452/Calculator!$F$22,1),1-MOD(A452/Calculator!$F$22,1)),ABS(MOD(A452/Calculator!$F$22,1)-0.5))),1)</f>
        <v>1</v>
      </c>
      <c r="M452" s="219" t="n">
        <f aca="false">MIN(B452:L452)</f>
        <v>0.0163157894736843</v>
      </c>
      <c r="N452" s="219" t="n">
        <f aca="false">SUMPRODUCT(($M$7:$M$557&gt;M452)*1)+SUMPRODUCT(($M$7:$M$557=M452)*(ROW($M$7:$M$557)&lt;ROW(M452)))+1</f>
        <v>417</v>
      </c>
      <c r="O452" s="219" t="str">
        <f aca="false">IF(M452&gt;=0.2,"★★★ EXCELLENT",IF(M452&gt;=0.12,"★★  GOOD",IF(M452&gt;=0.07,"★  FAIR",IF(M452&gt;=0.025,"⚠  MARGINAL","✗  AVOID"))))</f>
        <v>✗  AVOID</v>
      </c>
    </row>
    <row r="453" customFormat="false" ht="15" hidden="false" customHeight="true" outlineLevel="0" collapsed="false">
      <c r="A453" s="216" t="n">
        <v>49.6</v>
      </c>
      <c r="B453" s="217" t="n">
        <f aca="false">IF(Calculator!$E$12="YES",IF(A453&lt;Calculator!$G$12,0,MIN(MIN(MOD(A453/Calculator!$F$12,1),1-MOD(A453/Calculator!$F$12,1)),ABS(MOD(A453/Calculator!$F$12,1)-0.5))),1)</f>
        <v>1</v>
      </c>
      <c r="C453" s="217" t="n">
        <f aca="false">IF(Calculator!$E$13="YES",IF(A453&lt;Calculator!$G$13,0,MIN(MIN(MOD(A453/Calculator!$F$13,1),1-MOD(A453/Calculator!$F$13,1)),ABS(MOD(A453/Calculator!$F$13,1)-0.5))),1)</f>
        <v>1</v>
      </c>
      <c r="D453" s="217" t="n">
        <f aca="false">IF(Calculator!$E$14="YES",IF(A453&lt;Calculator!$G$14,0,MIN(MIN(MOD(A453/Calculator!$F$14,1),1-MOD(A453/Calculator!$F$14,1)),ABS(MOD(A453/Calculator!$F$14,1)-0.5))),1)</f>
        <v>1</v>
      </c>
      <c r="E453" s="217" t="n">
        <f aca="false">IF(Calculator!$E$15="YES",IF(A453&lt;Calculator!$G$15,0,MIN(MIN(MOD(A453/Calculator!$F$15,1),1-MOD(A453/Calculator!$F$15,1)),ABS(MOD(A453/Calculator!$F$15,1)-0.5))),1)</f>
        <v>0.0112982456140349</v>
      </c>
      <c r="F453" s="217" t="n">
        <f aca="false">IF(Calculator!$E$16="YES",IF(A453&lt;Calculator!$G$16,0,MIN(MIN(MOD(A453/Calculator!$F$16,1),1-MOD(A453/Calculator!$F$16,1)),ABS(MOD(A453/Calculator!$F$16,1)-0.5))),1)</f>
        <v>1</v>
      </c>
      <c r="G453" s="217" t="n">
        <f aca="false">IF(Calculator!$E$17="YES",IF(A453&lt;Calculator!$G$17,0,MIN(MIN(MOD(A453/Calculator!$F$17,1),1-MOD(A453/Calculator!$F$17,1)),ABS(MOD(A453/Calculator!$F$17,1)-0.5))),1)</f>
        <v>0.066105263157894</v>
      </c>
      <c r="H453" s="217" t="n">
        <f aca="false">IF(Calculator!$E$18="YES",IF(A453&lt;Calculator!$G$18,0,MIN(MIN(MOD(A453/Calculator!$F$18,1),1-MOD(A453/Calculator!$F$18,1)),ABS(MOD(A453/Calculator!$F$18,1)-0.5))),1)</f>
        <v>1</v>
      </c>
      <c r="I453" s="217" t="n">
        <f aca="false">IF(Calculator!$E$19="YES",IF(A453&lt;Calculator!$G$19,0,MIN(MIN(MOD(A453/Calculator!$F$19,1),1-MOD(A453/Calculator!$F$19,1)),ABS(MOD(A453/Calculator!$F$19,1)-0.5))),1)</f>
        <v>1</v>
      </c>
      <c r="J453" s="217" t="n">
        <f aca="false">IF(Calculator!$E$20="YES",IF(A453&lt;Calculator!$G$20,0,MIN(MIN(MOD(A453/Calculator!$F$20,1),1-MOD(A453/Calculator!$F$20,1)),ABS(MOD(A453/Calculator!$F$20,1)-0.5))),1)</f>
        <v>1</v>
      </c>
      <c r="K453" s="217" t="n">
        <f aca="false">IF(Calculator!$E$21="YES",IF(A453&lt;Calculator!$G$21,0,MIN(MIN(MOD(A453/Calculator!$F$21,1),1-MOD(A453/Calculator!$F$21,1)),ABS(MOD(A453/Calculator!$F$21,1)-0.5))),1)</f>
        <v>0.0418245614035087</v>
      </c>
      <c r="L453" s="217" t="n">
        <f aca="false">IF(Calculator!$E$22="YES",IF(A453&lt;Calculator!$G$22,0,MIN(MIN(MOD(A453/Calculator!$F$22,1),1-MOD(A453/Calculator!$F$22,1)),ABS(MOD(A453/Calculator!$F$22,1)-0.5))),1)</f>
        <v>1</v>
      </c>
      <c r="M453" s="217" t="n">
        <f aca="false">MIN(B453:L453)</f>
        <v>0.0112982456140349</v>
      </c>
      <c r="N453" s="217" t="n">
        <f aca="false">SUMPRODUCT(($M$7:$M$557&gt;M453)*1)+SUMPRODUCT(($M$7:$M$557=M453)*(ROW($M$7:$M$557)&lt;ROW(M453)))+1</f>
        <v>437</v>
      </c>
      <c r="O453" s="217" t="str">
        <f aca="false">IF(M453&gt;=0.2,"★★★ EXCELLENT",IF(M453&gt;=0.12,"★★  GOOD",IF(M453&gt;=0.07,"★  FAIR",IF(M453&gt;=0.025,"⚠  MARGINAL","✗  AVOID"))))</f>
        <v>✗  AVOID</v>
      </c>
    </row>
    <row r="454" customFormat="false" ht="15" hidden="false" customHeight="true" outlineLevel="0" collapsed="false">
      <c r="A454" s="218" t="n">
        <v>49.7</v>
      </c>
      <c r="B454" s="219" t="n">
        <f aca="false">IF(Calculator!$E$12="YES",IF(A454&lt;Calculator!$G$12,0,MIN(MIN(MOD(A454/Calculator!$F$12,1),1-MOD(A454/Calculator!$F$12,1)),ABS(MOD(A454/Calculator!$F$12,1)-0.5))),1)</f>
        <v>1</v>
      </c>
      <c r="C454" s="219" t="n">
        <f aca="false">IF(Calculator!$E$13="YES",IF(A454&lt;Calculator!$G$13,0,MIN(MIN(MOD(A454/Calculator!$F$13,1),1-MOD(A454/Calculator!$F$13,1)),ABS(MOD(A454/Calculator!$F$13,1)-0.5))),1)</f>
        <v>1</v>
      </c>
      <c r="D454" s="219" t="n">
        <f aca="false">IF(Calculator!$E$14="YES",IF(A454&lt;Calculator!$G$14,0,MIN(MIN(MOD(A454/Calculator!$F$14,1),1-MOD(A454/Calculator!$F$14,1)),ABS(MOD(A454/Calculator!$F$14,1)-0.5))),1)</f>
        <v>1</v>
      </c>
      <c r="E454" s="219" t="n">
        <f aca="false">IF(Calculator!$E$15="YES",IF(A454&lt;Calculator!$G$15,0,MIN(MIN(MOD(A454/Calculator!$F$15,1),1-MOD(A454/Calculator!$F$15,1)),ABS(MOD(A454/Calculator!$F$15,1)-0.5))),1)</f>
        <v>0.006280701754386</v>
      </c>
      <c r="F454" s="219" t="n">
        <f aca="false">IF(Calculator!$E$16="YES",IF(A454&lt;Calculator!$G$16,0,MIN(MIN(MOD(A454/Calculator!$F$16,1),1-MOD(A454/Calculator!$F$16,1)),ABS(MOD(A454/Calculator!$F$16,1)-0.5))),1)</f>
        <v>1</v>
      </c>
      <c r="G454" s="219" t="n">
        <f aca="false">IF(Calculator!$E$17="YES",IF(A454&lt;Calculator!$G$17,0,MIN(MIN(MOD(A454/Calculator!$F$17,1),1-MOD(A454/Calculator!$F$17,1)),ABS(MOD(A454/Calculator!$F$17,1)-0.5))),1)</f>
        <v>0.0561578947368417</v>
      </c>
      <c r="H454" s="219" t="n">
        <f aca="false">IF(Calculator!$E$18="YES",IF(A454&lt;Calculator!$G$18,0,MIN(MIN(MOD(A454/Calculator!$F$18,1),1-MOD(A454/Calculator!$F$18,1)),ABS(MOD(A454/Calculator!$F$18,1)-0.5))),1)</f>
        <v>1</v>
      </c>
      <c r="I454" s="219" t="n">
        <f aca="false">IF(Calculator!$E$19="YES",IF(A454&lt;Calculator!$G$19,0,MIN(MIN(MOD(A454/Calculator!$F$19,1),1-MOD(A454/Calculator!$F$19,1)),ABS(MOD(A454/Calculator!$F$19,1)-0.5))),1)</f>
        <v>1</v>
      </c>
      <c r="J454" s="219" t="n">
        <f aca="false">IF(Calculator!$E$20="YES",IF(A454&lt;Calculator!$G$20,0,MIN(MIN(MOD(A454/Calculator!$F$20,1),1-MOD(A454/Calculator!$F$20,1)),ABS(MOD(A454/Calculator!$F$20,1)-0.5))),1)</f>
        <v>1</v>
      </c>
      <c r="K454" s="219" t="n">
        <f aca="false">IF(Calculator!$E$21="YES",IF(A454&lt;Calculator!$G$21,0,MIN(MIN(MOD(A454/Calculator!$F$21,1),1-MOD(A454/Calculator!$F$21,1)),ABS(MOD(A454/Calculator!$F$21,1)-0.5))),1)</f>
        <v>0.0620701754385973</v>
      </c>
      <c r="L454" s="219" t="n">
        <f aca="false">IF(Calculator!$E$22="YES",IF(A454&lt;Calculator!$G$22,0,MIN(MIN(MOD(A454/Calculator!$F$22,1),1-MOD(A454/Calculator!$F$22,1)),ABS(MOD(A454/Calculator!$F$22,1)-0.5))),1)</f>
        <v>1</v>
      </c>
      <c r="M454" s="219" t="n">
        <f aca="false">MIN(B454:L454)</f>
        <v>0.006280701754386</v>
      </c>
      <c r="N454" s="219" t="n">
        <f aca="false">SUMPRODUCT(($M$7:$M$557&gt;M454)*1)+SUMPRODUCT(($M$7:$M$557=M454)*(ROW($M$7:$M$557)&lt;ROW(M454)))+1</f>
        <v>464</v>
      </c>
      <c r="O454" s="219" t="str">
        <f aca="false">IF(M454&gt;=0.2,"★★★ EXCELLENT",IF(M454&gt;=0.12,"★★  GOOD",IF(M454&gt;=0.07,"★  FAIR",IF(M454&gt;=0.025,"⚠  MARGINAL","✗  AVOID"))))</f>
        <v>✗  AVOID</v>
      </c>
    </row>
    <row r="455" customFormat="false" ht="15" hidden="false" customHeight="true" outlineLevel="0" collapsed="false">
      <c r="A455" s="216" t="n">
        <v>49.8</v>
      </c>
      <c r="B455" s="217" t="n">
        <f aca="false">IF(Calculator!$E$12="YES",IF(A455&lt;Calculator!$G$12,0,MIN(MIN(MOD(A455/Calculator!$F$12,1),1-MOD(A455/Calculator!$F$12,1)),ABS(MOD(A455/Calculator!$F$12,1)-0.5))),1)</f>
        <v>1</v>
      </c>
      <c r="C455" s="217" t="n">
        <f aca="false">IF(Calculator!$E$13="YES",IF(A455&lt;Calculator!$G$13,0,MIN(MIN(MOD(A455/Calculator!$F$13,1),1-MOD(A455/Calculator!$F$13,1)),ABS(MOD(A455/Calculator!$F$13,1)-0.5))),1)</f>
        <v>1</v>
      </c>
      <c r="D455" s="217" t="n">
        <f aca="false">IF(Calculator!$E$14="YES",IF(A455&lt;Calculator!$G$14,0,MIN(MIN(MOD(A455/Calculator!$F$14,1),1-MOD(A455/Calculator!$F$14,1)),ABS(MOD(A455/Calculator!$F$14,1)-0.5))),1)</f>
        <v>1</v>
      </c>
      <c r="E455" s="217" t="n">
        <f aca="false">IF(Calculator!$E$15="YES",IF(A455&lt;Calculator!$G$15,0,MIN(MIN(MOD(A455/Calculator!$F$15,1),1-MOD(A455/Calculator!$F$15,1)),ABS(MOD(A455/Calculator!$F$15,1)-0.5))),1)</f>
        <v>0.00126315789473708</v>
      </c>
      <c r="F455" s="217" t="n">
        <f aca="false">IF(Calculator!$E$16="YES",IF(A455&lt;Calculator!$G$16,0,MIN(MIN(MOD(A455/Calculator!$F$16,1),1-MOD(A455/Calculator!$F$16,1)),ABS(MOD(A455/Calculator!$F$16,1)-0.5))),1)</f>
        <v>1</v>
      </c>
      <c r="G455" s="217" t="n">
        <f aca="false">IF(Calculator!$E$17="YES",IF(A455&lt;Calculator!$G$17,0,MIN(MIN(MOD(A455/Calculator!$F$17,1),1-MOD(A455/Calculator!$F$17,1)),ABS(MOD(A455/Calculator!$F$17,1)-0.5))),1)</f>
        <v>0.0462105263157895</v>
      </c>
      <c r="H455" s="217" t="n">
        <f aca="false">IF(Calculator!$E$18="YES",IF(A455&lt;Calculator!$G$18,0,MIN(MIN(MOD(A455/Calculator!$F$18,1),1-MOD(A455/Calculator!$F$18,1)),ABS(MOD(A455/Calculator!$F$18,1)-0.5))),1)</f>
        <v>1</v>
      </c>
      <c r="I455" s="217" t="n">
        <f aca="false">IF(Calculator!$E$19="YES",IF(A455&lt;Calculator!$G$19,0,MIN(MIN(MOD(A455/Calculator!$F$19,1),1-MOD(A455/Calculator!$F$19,1)),ABS(MOD(A455/Calculator!$F$19,1)-0.5))),1)</f>
        <v>1</v>
      </c>
      <c r="J455" s="217" t="n">
        <f aca="false">IF(Calculator!$E$20="YES",IF(A455&lt;Calculator!$G$20,0,MIN(MIN(MOD(A455/Calculator!$F$20,1),1-MOD(A455/Calculator!$F$20,1)),ABS(MOD(A455/Calculator!$F$20,1)-0.5))),1)</f>
        <v>1</v>
      </c>
      <c r="K455" s="217" t="n">
        <f aca="false">IF(Calculator!$E$21="YES",IF(A455&lt;Calculator!$G$21,0,MIN(MIN(MOD(A455/Calculator!$F$21,1),1-MOD(A455/Calculator!$F$21,1)),ABS(MOD(A455/Calculator!$F$21,1)-0.5))),1)</f>
        <v>0.0823157894736841</v>
      </c>
      <c r="L455" s="217" t="n">
        <f aca="false">IF(Calculator!$E$22="YES",IF(A455&lt;Calculator!$G$22,0,MIN(MIN(MOD(A455/Calculator!$F$22,1),1-MOD(A455/Calculator!$F$22,1)),ABS(MOD(A455/Calculator!$F$22,1)-0.5))),1)</f>
        <v>1</v>
      </c>
      <c r="M455" s="217" t="n">
        <f aca="false">MIN(B455:L455)</f>
        <v>0.00126315789473708</v>
      </c>
      <c r="N455" s="217" t="n">
        <f aca="false">SUMPRODUCT(($M$7:$M$557&gt;M455)*1)+SUMPRODUCT(($M$7:$M$557=M455)*(ROW($M$7:$M$557)&lt;ROW(M455)))+1</f>
        <v>493</v>
      </c>
      <c r="O455" s="217" t="str">
        <f aca="false">IF(M455&gt;=0.2,"★★★ EXCELLENT",IF(M455&gt;=0.12,"★★  GOOD",IF(M455&gt;=0.07,"★  FAIR",IF(M455&gt;=0.025,"⚠  MARGINAL","✗  AVOID"))))</f>
        <v>✗  AVOID</v>
      </c>
    </row>
    <row r="456" customFormat="false" ht="15" hidden="false" customHeight="true" outlineLevel="0" collapsed="false">
      <c r="A456" s="218" t="n">
        <v>49.9</v>
      </c>
      <c r="B456" s="219" t="n">
        <f aca="false">IF(Calculator!$E$12="YES",IF(A456&lt;Calculator!$G$12,0,MIN(MIN(MOD(A456/Calculator!$F$12,1),1-MOD(A456/Calculator!$F$12,1)),ABS(MOD(A456/Calculator!$F$12,1)-0.5))),1)</f>
        <v>1</v>
      </c>
      <c r="C456" s="219" t="n">
        <f aca="false">IF(Calculator!$E$13="YES",IF(A456&lt;Calculator!$G$13,0,MIN(MIN(MOD(A456/Calculator!$F$13,1),1-MOD(A456/Calculator!$F$13,1)),ABS(MOD(A456/Calculator!$F$13,1)-0.5))),1)</f>
        <v>1</v>
      </c>
      <c r="D456" s="219" t="n">
        <f aca="false">IF(Calculator!$E$14="YES",IF(A456&lt;Calculator!$G$14,0,MIN(MIN(MOD(A456/Calculator!$F$14,1),1-MOD(A456/Calculator!$F$14,1)),ABS(MOD(A456/Calculator!$F$14,1)-0.5))),1)</f>
        <v>1</v>
      </c>
      <c r="E456" s="219" t="n">
        <f aca="false">IF(Calculator!$E$15="YES",IF(A456&lt;Calculator!$G$15,0,MIN(MIN(MOD(A456/Calculator!$F$15,1),1-MOD(A456/Calculator!$F$15,1)),ABS(MOD(A456/Calculator!$F$15,1)-0.5))),1)</f>
        <v>0.00375438596491229</v>
      </c>
      <c r="F456" s="219" t="n">
        <f aca="false">IF(Calculator!$E$16="YES",IF(A456&lt;Calculator!$G$16,0,MIN(MIN(MOD(A456/Calculator!$F$16,1),1-MOD(A456/Calculator!$F$16,1)),ABS(MOD(A456/Calculator!$F$16,1)-0.5))),1)</f>
        <v>1</v>
      </c>
      <c r="G456" s="219" t="n">
        <f aca="false">IF(Calculator!$E$17="YES",IF(A456&lt;Calculator!$G$17,0,MIN(MIN(MOD(A456/Calculator!$F$17,1),1-MOD(A456/Calculator!$F$17,1)),ABS(MOD(A456/Calculator!$F$17,1)-0.5))),1)</f>
        <v>0.0362631578947363</v>
      </c>
      <c r="H456" s="219" t="n">
        <f aca="false">IF(Calculator!$E$18="YES",IF(A456&lt;Calculator!$G$18,0,MIN(MIN(MOD(A456/Calculator!$F$18,1),1-MOD(A456/Calculator!$F$18,1)),ABS(MOD(A456/Calculator!$F$18,1)-0.5))),1)</f>
        <v>1</v>
      </c>
      <c r="I456" s="219" t="n">
        <f aca="false">IF(Calculator!$E$19="YES",IF(A456&lt;Calculator!$G$19,0,MIN(MIN(MOD(A456/Calculator!$F$19,1),1-MOD(A456/Calculator!$F$19,1)),ABS(MOD(A456/Calculator!$F$19,1)-0.5))),1)</f>
        <v>1</v>
      </c>
      <c r="J456" s="219" t="n">
        <f aca="false">IF(Calculator!$E$20="YES",IF(A456&lt;Calculator!$G$20,0,MIN(MIN(MOD(A456/Calculator!$F$20,1),1-MOD(A456/Calculator!$F$20,1)),ABS(MOD(A456/Calculator!$F$20,1)-0.5))),1)</f>
        <v>1</v>
      </c>
      <c r="K456" s="219" t="n">
        <f aca="false">IF(Calculator!$E$21="YES",IF(A456&lt;Calculator!$G$21,0,MIN(MIN(MOD(A456/Calculator!$F$21,1),1-MOD(A456/Calculator!$F$21,1)),ABS(MOD(A456/Calculator!$F$21,1)-0.5))),1)</f>
        <v>0.102561403508771</v>
      </c>
      <c r="L456" s="219" t="n">
        <f aca="false">IF(Calculator!$E$22="YES",IF(A456&lt;Calculator!$G$22,0,MIN(MIN(MOD(A456/Calculator!$F$22,1),1-MOD(A456/Calculator!$F$22,1)),ABS(MOD(A456/Calculator!$F$22,1)-0.5))),1)</f>
        <v>1</v>
      </c>
      <c r="M456" s="219" t="n">
        <f aca="false">MIN(B456:L456)</f>
        <v>0.00375438596491229</v>
      </c>
      <c r="N456" s="219" t="n">
        <f aca="false">SUMPRODUCT(($M$7:$M$557&gt;M456)*1)+SUMPRODUCT(($M$7:$M$557=M456)*(ROW($M$7:$M$557)&lt;ROW(M456)))+1</f>
        <v>478</v>
      </c>
      <c r="O456" s="219" t="str">
        <f aca="false">IF(M456&gt;=0.2,"★★★ EXCELLENT",IF(M456&gt;=0.12,"★★  GOOD",IF(M456&gt;=0.07,"★  FAIR",IF(M456&gt;=0.025,"⚠  MARGINAL","✗  AVOID"))))</f>
        <v>✗  AVOID</v>
      </c>
    </row>
    <row r="457" customFormat="false" ht="15" hidden="false" customHeight="true" outlineLevel="0" collapsed="false">
      <c r="A457" s="216" t="n">
        <v>50</v>
      </c>
      <c r="B457" s="217" t="n">
        <f aca="false">IF(Calculator!$E$12="YES",IF(A457&lt;Calculator!$G$12,0,MIN(MIN(MOD(A457/Calculator!$F$12,1),1-MOD(A457/Calculator!$F$12,1)),ABS(MOD(A457/Calculator!$F$12,1)-0.5))),1)</f>
        <v>1</v>
      </c>
      <c r="C457" s="217" t="n">
        <f aca="false">IF(Calculator!$E$13="YES",IF(A457&lt;Calculator!$G$13,0,MIN(MIN(MOD(A457/Calculator!$F$13,1),1-MOD(A457/Calculator!$F$13,1)),ABS(MOD(A457/Calculator!$F$13,1)-0.5))),1)</f>
        <v>1</v>
      </c>
      <c r="D457" s="217" t="n">
        <f aca="false">IF(Calculator!$E$14="YES",IF(A457&lt;Calculator!$G$14,0,MIN(MIN(MOD(A457/Calculator!$F$14,1),1-MOD(A457/Calculator!$F$14,1)),ABS(MOD(A457/Calculator!$F$14,1)-0.5))),1)</f>
        <v>1</v>
      </c>
      <c r="E457" s="217" t="n">
        <f aca="false">IF(Calculator!$E$15="YES",IF(A457&lt;Calculator!$G$15,0,MIN(MIN(MOD(A457/Calculator!$F$15,1),1-MOD(A457/Calculator!$F$15,1)),ABS(MOD(A457/Calculator!$F$15,1)-0.5))),1)</f>
        <v>0.00877192982456121</v>
      </c>
      <c r="F457" s="217" t="n">
        <f aca="false">IF(Calculator!$E$16="YES",IF(A457&lt;Calculator!$G$16,0,MIN(MIN(MOD(A457/Calculator!$F$16,1),1-MOD(A457/Calculator!$F$16,1)),ABS(MOD(A457/Calculator!$F$16,1)-0.5))),1)</f>
        <v>1</v>
      </c>
      <c r="G457" s="217" t="n">
        <f aca="false">IF(Calculator!$E$17="YES",IF(A457&lt;Calculator!$G$17,0,MIN(MIN(MOD(A457/Calculator!$F$17,1),1-MOD(A457/Calculator!$F$17,1)),ABS(MOD(A457/Calculator!$F$17,1)-0.5))),1)</f>
        <v>0.0263157894736841</v>
      </c>
      <c r="H457" s="217" t="n">
        <f aca="false">IF(Calculator!$E$18="YES",IF(A457&lt;Calculator!$G$18,0,MIN(MIN(MOD(A457/Calculator!$F$18,1),1-MOD(A457/Calculator!$F$18,1)),ABS(MOD(A457/Calculator!$F$18,1)-0.5))),1)</f>
        <v>1</v>
      </c>
      <c r="I457" s="217" t="n">
        <f aca="false">IF(Calculator!$E$19="YES",IF(A457&lt;Calculator!$G$19,0,MIN(MIN(MOD(A457/Calculator!$F$19,1),1-MOD(A457/Calculator!$F$19,1)),ABS(MOD(A457/Calculator!$F$19,1)-0.5))),1)</f>
        <v>1</v>
      </c>
      <c r="J457" s="217" t="n">
        <f aca="false">IF(Calculator!$E$20="YES",IF(A457&lt;Calculator!$G$20,0,MIN(MIN(MOD(A457/Calculator!$F$20,1),1-MOD(A457/Calculator!$F$20,1)),ABS(MOD(A457/Calculator!$F$20,1)-0.5))),1)</f>
        <v>1</v>
      </c>
      <c r="K457" s="217" t="n">
        <f aca="false">IF(Calculator!$E$21="YES",IF(A457&lt;Calculator!$G$21,0,MIN(MIN(MOD(A457/Calculator!$F$21,1),1-MOD(A457/Calculator!$F$21,1)),ABS(MOD(A457/Calculator!$F$21,1)-0.5))),1)</f>
        <v>0.12280701754386</v>
      </c>
      <c r="L457" s="217" t="n">
        <f aca="false">IF(Calculator!$E$22="YES",IF(A457&lt;Calculator!$G$22,0,MIN(MIN(MOD(A457/Calculator!$F$22,1),1-MOD(A457/Calculator!$F$22,1)),ABS(MOD(A457/Calculator!$F$22,1)-0.5))),1)</f>
        <v>1</v>
      </c>
      <c r="M457" s="217" t="n">
        <f aca="false">MIN(B457:L457)</f>
        <v>0.00877192982456121</v>
      </c>
      <c r="N457" s="217" t="n">
        <f aca="false">SUMPRODUCT(($M$7:$M$557&gt;M457)*1)+SUMPRODUCT(($M$7:$M$557=M457)*(ROW($M$7:$M$557)&lt;ROW(M457)))+1</f>
        <v>452</v>
      </c>
      <c r="O457" s="217" t="str">
        <f aca="false">IF(M457&gt;=0.2,"★★★ EXCELLENT",IF(M457&gt;=0.12,"★★  GOOD",IF(M457&gt;=0.07,"★  FAIR",IF(M457&gt;=0.025,"⚠  MARGINAL","✗  AVOID"))))</f>
        <v>✗  AVOID</v>
      </c>
    </row>
    <row r="458" customFormat="false" ht="15" hidden="false" customHeight="true" outlineLevel="0" collapsed="false">
      <c r="A458" s="218" t="n">
        <v>50.1</v>
      </c>
      <c r="B458" s="219" t="n">
        <f aca="false">IF(Calculator!$E$12="YES",IF(A458&lt;Calculator!$G$12,0,MIN(MIN(MOD(A458/Calculator!$F$12,1),1-MOD(A458/Calculator!$F$12,1)),ABS(MOD(A458/Calculator!$F$12,1)-0.5))),1)</f>
        <v>1</v>
      </c>
      <c r="C458" s="219" t="n">
        <f aca="false">IF(Calculator!$E$13="YES",IF(A458&lt;Calculator!$G$13,0,MIN(MIN(MOD(A458/Calculator!$F$13,1),1-MOD(A458/Calculator!$F$13,1)),ABS(MOD(A458/Calculator!$F$13,1)-0.5))),1)</f>
        <v>1</v>
      </c>
      <c r="D458" s="219" t="n">
        <f aca="false">IF(Calculator!$E$14="YES",IF(A458&lt;Calculator!$G$14,0,MIN(MIN(MOD(A458/Calculator!$F$14,1),1-MOD(A458/Calculator!$F$14,1)),ABS(MOD(A458/Calculator!$F$14,1)-0.5))),1)</f>
        <v>1</v>
      </c>
      <c r="E458" s="219" t="n">
        <f aca="false">IF(Calculator!$E$15="YES",IF(A458&lt;Calculator!$G$15,0,MIN(MIN(MOD(A458/Calculator!$F$15,1),1-MOD(A458/Calculator!$F$15,1)),ABS(MOD(A458/Calculator!$F$15,1)-0.5))),1)</f>
        <v>0.0137894736842106</v>
      </c>
      <c r="F458" s="219" t="n">
        <f aca="false">IF(Calculator!$E$16="YES",IF(A458&lt;Calculator!$G$16,0,MIN(MIN(MOD(A458/Calculator!$F$16,1),1-MOD(A458/Calculator!$F$16,1)),ABS(MOD(A458/Calculator!$F$16,1)-0.5))),1)</f>
        <v>1</v>
      </c>
      <c r="G458" s="219" t="n">
        <f aca="false">IF(Calculator!$E$17="YES",IF(A458&lt;Calculator!$G$17,0,MIN(MIN(MOD(A458/Calculator!$F$17,1),1-MOD(A458/Calculator!$F$17,1)),ABS(MOD(A458/Calculator!$F$17,1)-0.5))),1)</f>
        <v>0.0163684210526309</v>
      </c>
      <c r="H458" s="219" t="n">
        <f aca="false">IF(Calculator!$E$18="YES",IF(A458&lt;Calculator!$G$18,0,MIN(MIN(MOD(A458/Calculator!$F$18,1),1-MOD(A458/Calculator!$F$18,1)),ABS(MOD(A458/Calculator!$F$18,1)-0.5))),1)</f>
        <v>1</v>
      </c>
      <c r="I458" s="219" t="n">
        <f aca="false">IF(Calculator!$E$19="YES",IF(A458&lt;Calculator!$G$19,0,MIN(MIN(MOD(A458/Calculator!$F$19,1),1-MOD(A458/Calculator!$F$19,1)),ABS(MOD(A458/Calculator!$F$19,1)-0.5))),1)</f>
        <v>1</v>
      </c>
      <c r="J458" s="219" t="n">
        <f aca="false">IF(Calculator!$E$20="YES",IF(A458&lt;Calculator!$G$20,0,MIN(MIN(MOD(A458/Calculator!$F$20,1),1-MOD(A458/Calculator!$F$20,1)),ABS(MOD(A458/Calculator!$F$20,1)-0.5))),1)</f>
        <v>1</v>
      </c>
      <c r="K458" s="219" t="n">
        <f aca="false">IF(Calculator!$E$21="YES",IF(A458&lt;Calculator!$G$21,0,MIN(MIN(MOD(A458/Calculator!$F$21,1),1-MOD(A458/Calculator!$F$21,1)),ABS(MOD(A458/Calculator!$F$21,1)-0.5))),1)</f>
        <v>0.143052631578948</v>
      </c>
      <c r="L458" s="219" t="n">
        <f aca="false">IF(Calculator!$E$22="YES",IF(A458&lt;Calculator!$G$22,0,MIN(MIN(MOD(A458/Calculator!$F$22,1),1-MOD(A458/Calculator!$F$22,1)),ABS(MOD(A458/Calculator!$F$22,1)-0.5))),1)</f>
        <v>1</v>
      </c>
      <c r="M458" s="219" t="n">
        <f aca="false">MIN(B458:L458)</f>
        <v>0.0137894736842106</v>
      </c>
      <c r="N458" s="219" t="n">
        <f aca="false">SUMPRODUCT(($M$7:$M$557&gt;M458)*1)+SUMPRODUCT(($M$7:$M$557=M458)*(ROW($M$7:$M$557)&lt;ROW(M458)))+1</f>
        <v>425</v>
      </c>
      <c r="O458" s="219" t="str">
        <f aca="false">IF(M458&gt;=0.2,"★★★ EXCELLENT",IF(M458&gt;=0.12,"★★  GOOD",IF(M458&gt;=0.07,"★  FAIR",IF(M458&gt;=0.025,"⚠  MARGINAL","✗  AVOID"))))</f>
        <v>✗  AVOID</v>
      </c>
    </row>
    <row r="459" customFormat="false" ht="15" hidden="false" customHeight="true" outlineLevel="0" collapsed="false">
      <c r="A459" s="216" t="n">
        <v>50.2</v>
      </c>
      <c r="B459" s="217" t="n">
        <f aca="false">IF(Calculator!$E$12="YES",IF(A459&lt;Calculator!$G$12,0,MIN(MIN(MOD(A459/Calculator!$F$12,1),1-MOD(A459/Calculator!$F$12,1)),ABS(MOD(A459/Calculator!$F$12,1)-0.5))),1)</f>
        <v>1</v>
      </c>
      <c r="C459" s="217" t="n">
        <f aca="false">IF(Calculator!$E$13="YES",IF(A459&lt;Calculator!$G$13,0,MIN(MIN(MOD(A459/Calculator!$F$13,1),1-MOD(A459/Calculator!$F$13,1)),ABS(MOD(A459/Calculator!$F$13,1)-0.5))),1)</f>
        <v>1</v>
      </c>
      <c r="D459" s="217" t="n">
        <f aca="false">IF(Calculator!$E$14="YES",IF(A459&lt;Calculator!$G$14,0,MIN(MIN(MOD(A459/Calculator!$F$14,1),1-MOD(A459/Calculator!$F$14,1)),ABS(MOD(A459/Calculator!$F$14,1)-0.5))),1)</f>
        <v>1</v>
      </c>
      <c r="E459" s="217" t="n">
        <f aca="false">IF(Calculator!$E$15="YES",IF(A459&lt;Calculator!$G$15,0,MIN(MIN(MOD(A459/Calculator!$F$15,1),1-MOD(A459/Calculator!$F$15,1)),ABS(MOD(A459/Calculator!$F$15,1)-0.5))),1)</f>
        <v>0.0188070175438599</v>
      </c>
      <c r="F459" s="217" t="n">
        <f aca="false">IF(Calculator!$E$16="YES",IF(A459&lt;Calculator!$G$16,0,MIN(MIN(MOD(A459/Calculator!$F$16,1),1-MOD(A459/Calculator!$F$16,1)),ABS(MOD(A459/Calculator!$F$16,1)-0.5))),1)</f>
        <v>1</v>
      </c>
      <c r="G459" s="217" t="n">
        <f aca="false">IF(Calculator!$E$17="YES",IF(A459&lt;Calculator!$G$17,0,MIN(MIN(MOD(A459/Calculator!$F$17,1),1-MOD(A459/Calculator!$F$17,1)),ABS(MOD(A459/Calculator!$F$17,1)-0.5))),1)</f>
        <v>0.00642105263157866</v>
      </c>
      <c r="H459" s="217" t="n">
        <f aca="false">IF(Calculator!$E$18="YES",IF(A459&lt;Calculator!$G$18,0,MIN(MIN(MOD(A459/Calculator!$F$18,1),1-MOD(A459/Calculator!$F$18,1)),ABS(MOD(A459/Calculator!$F$18,1)-0.5))),1)</f>
        <v>1</v>
      </c>
      <c r="I459" s="217" t="n">
        <f aca="false">IF(Calculator!$E$19="YES",IF(A459&lt;Calculator!$G$19,0,MIN(MIN(MOD(A459/Calculator!$F$19,1),1-MOD(A459/Calculator!$F$19,1)),ABS(MOD(A459/Calculator!$F$19,1)-0.5))),1)</f>
        <v>1</v>
      </c>
      <c r="J459" s="217" t="n">
        <f aca="false">IF(Calculator!$E$20="YES",IF(A459&lt;Calculator!$G$20,0,MIN(MIN(MOD(A459/Calculator!$F$20,1),1-MOD(A459/Calculator!$F$20,1)),ABS(MOD(A459/Calculator!$F$20,1)-0.5))),1)</f>
        <v>1</v>
      </c>
      <c r="K459" s="217" t="n">
        <f aca="false">IF(Calculator!$E$21="YES",IF(A459&lt;Calculator!$G$21,0,MIN(MIN(MOD(A459/Calculator!$F$21,1),1-MOD(A459/Calculator!$F$21,1)),ABS(MOD(A459/Calculator!$F$21,1)-0.5))),1)</f>
        <v>0.163298245614035</v>
      </c>
      <c r="L459" s="217" t="n">
        <f aca="false">IF(Calculator!$E$22="YES",IF(A459&lt;Calculator!$G$22,0,MIN(MIN(MOD(A459/Calculator!$F$22,1),1-MOD(A459/Calculator!$F$22,1)),ABS(MOD(A459/Calculator!$F$22,1)-0.5))),1)</f>
        <v>1</v>
      </c>
      <c r="M459" s="217" t="n">
        <f aca="false">MIN(B459:L459)</f>
        <v>0.00642105263157866</v>
      </c>
      <c r="N459" s="217" t="n">
        <f aca="false">SUMPRODUCT(($M$7:$M$557&gt;M459)*1)+SUMPRODUCT(($M$7:$M$557=M459)*(ROW($M$7:$M$557)&lt;ROW(M459)))+1</f>
        <v>463</v>
      </c>
      <c r="O459" s="217" t="str">
        <f aca="false">IF(M459&gt;=0.2,"★★★ EXCELLENT",IF(M459&gt;=0.12,"★★  GOOD",IF(M459&gt;=0.07,"★  FAIR",IF(M459&gt;=0.025,"⚠  MARGINAL","✗  AVOID"))))</f>
        <v>✗  AVOID</v>
      </c>
    </row>
    <row r="460" customFormat="false" ht="15" hidden="false" customHeight="true" outlineLevel="0" collapsed="false">
      <c r="A460" s="218" t="n">
        <v>50.3</v>
      </c>
      <c r="B460" s="219" t="n">
        <f aca="false">IF(Calculator!$E$12="YES",IF(A460&lt;Calculator!$G$12,0,MIN(MIN(MOD(A460/Calculator!$F$12,1),1-MOD(A460/Calculator!$F$12,1)),ABS(MOD(A460/Calculator!$F$12,1)-0.5))),1)</f>
        <v>1</v>
      </c>
      <c r="C460" s="219" t="n">
        <f aca="false">IF(Calculator!$E$13="YES",IF(A460&lt;Calculator!$G$13,0,MIN(MIN(MOD(A460/Calculator!$F$13,1),1-MOD(A460/Calculator!$F$13,1)),ABS(MOD(A460/Calculator!$F$13,1)-0.5))),1)</f>
        <v>1</v>
      </c>
      <c r="D460" s="219" t="n">
        <f aca="false">IF(Calculator!$E$14="YES",IF(A460&lt;Calculator!$G$14,0,MIN(MIN(MOD(A460/Calculator!$F$14,1),1-MOD(A460/Calculator!$F$14,1)),ABS(MOD(A460/Calculator!$F$14,1)-0.5))),1)</f>
        <v>1</v>
      </c>
      <c r="E460" s="219" t="n">
        <f aca="false">IF(Calculator!$E$15="YES",IF(A460&lt;Calculator!$G$15,0,MIN(MIN(MOD(A460/Calculator!$F$15,1),1-MOD(A460/Calculator!$F$15,1)),ABS(MOD(A460/Calculator!$F$15,1)-0.5))),1)</f>
        <v>0.0238245614035089</v>
      </c>
      <c r="F460" s="219" t="n">
        <f aca="false">IF(Calculator!$E$16="YES",IF(A460&lt;Calculator!$G$16,0,MIN(MIN(MOD(A460/Calculator!$F$16,1),1-MOD(A460/Calculator!$F$16,1)),ABS(MOD(A460/Calculator!$F$16,1)-0.5))),1)</f>
        <v>1</v>
      </c>
      <c r="G460" s="219" t="n">
        <f aca="false">IF(Calculator!$E$17="YES",IF(A460&lt;Calculator!$G$17,0,MIN(MIN(MOD(A460/Calculator!$F$17,1),1-MOD(A460/Calculator!$F$17,1)),ABS(MOD(A460/Calculator!$F$17,1)-0.5))),1)</f>
        <v>0.0035263157894736</v>
      </c>
      <c r="H460" s="219" t="n">
        <f aca="false">IF(Calculator!$E$18="YES",IF(A460&lt;Calculator!$G$18,0,MIN(MIN(MOD(A460/Calculator!$F$18,1),1-MOD(A460/Calculator!$F$18,1)),ABS(MOD(A460/Calculator!$F$18,1)-0.5))),1)</f>
        <v>1</v>
      </c>
      <c r="I460" s="219" t="n">
        <f aca="false">IF(Calculator!$E$19="YES",IF(A460&lt;Calculator!$G$19,0,MIN(MIN(MOD(A460/Calculator!$F$19,1),1-MOD(A460/Calculator!$F$19,1)),ABS(MOD(A460/Calculator!$F$19,1)-0.5))),1)</f>
        <v>1</v>
      </c>
      <c r="J460" s="219" t="n">
        <f aca="false">IF(Calculator!$E$20="YES",IF(A460&lt;Calculator!$G$20,0,MIN(MIN(MOD(A460/Calculator!$F$20,1),1-MOD(A460/Calculator!$F$20,1)),ABS(MOD(A460/Calculator!$F$20,1)-0.5))),1)</f>
        <v>1</v>
      </c>
      <c r="K460" s="219" t="n">
        <f aca="false">IF(Calculator!$E$21="YES",IF(A460&lt;Calculator!$G$21,0,MIN(MIN(MOD(A460/Calculator!$F$21,1),1-MOD(A460/Calculator!$F$21,1)),ABS(MOD(A460/Calculator!$F$21,1)-0.5))),1)</f>
        <v>0.183543859649122</v>
      </c>
      <c r="L460" s="219" t="n">
        <f aca="false">IF(Calculator!$E$22="YES",IF(A460&lt;Calculator!$G$22,0,MIN(MIN(MOD(A460/Calculator!$F$22,1),1-MOD(A460/Calculator!$F$22,1)),ABS(MOD(A460/Calculator!$F$22,1)-0.5))),1)</f>
        <v>1</v>
      </c>
      <c r="M460" s="219" t="n">
        <f aca="false">MIN(B460:L460)</f>
        <v>0.0035263157894736</v>
      </c>
      <c r="N460" s="219" t="n">
        <f aca="false">SUMPRODUCT(($M$7:$M$557&gt;M460)*1)+SUMPRODUCT(($M$7:$M$557=M460)*(ROW($M$7:$M$557)&lt;ROW(M460)))+1</f>
        <v>480</v>
      </c>
      <c r="O460" s="219" t="str">
        <f aca="false">IF(M460&gt;=0.2,"★★★ EXCELLENT",IF(M460&gt;=0.12,"★★  GOOD",IF(M460&gt;=0.07,"★  FAIR",IF(M460&gt;=0.025,"⚠  MARGINAL","✗  AVOID"))))</f>
        <v>✗  AVOID</v>
      </c>
    </row>
    <row r="461" customFormat="false" ht="15" hidden="false" customHeight="true" outlineLevel="0" collapsed="false">
      <c r="A461" s="216" t="n">
        <v>50.4</v>
      </c>
      <c r="B461" s="217" t="n">
        <f aca="false">IF(Calculator!$E$12="YES",IF(A461&lt;Calculator!$G$12,0,MIN(MIN(MOD(A461/Calculator!$F$12,1),1-MOD(A461/Calculator!$F$12,1)),ABS(MOD(A461/Calculator!$F$12,1)-0.5))),1)</f>
        <v>1</v>
      </c>
      <c r="C461" s="217" t="n">
        <f aca="false">IF(Calculator!$E$13="YES",IF(A461&lt;Calculator!$G$13,0,MIN(MIN(MOD(A461/Calculator!$F$13,1),1-MOD(A461/Calculator!$F$13,1)),ABS(MOD(A461/Calculator!$F$13,1)-0.5))),1)</f>
        <v>1</v>
      </c>
      <c r="D461" s="217" t="n">
        <f aca="false">IF(Calculator!$E$14="YES",IF(A461&lt;Calculator!$G$14,0,MIN(MIN(MOD(A461/Calculator!$F$14,1),1-MOD(A461/Calculator!$F$14,1)),ABS(MOD(A461/Calculator!$F$14,1)-0.5))),1)</f>
        <v>1</v>
      </c>
      <c r="E461" s="217" t="n">
        <f aca="false">IF(Calculator!$E$15="YES",IF(A461&lt;Calculator!$G$15,0,MIN(MIN(MOD(A461/Calculator!$F$15,1),1-MOD(A461/Calculator!$F$15,1)),ABS(MOD(A461/Calculator!$F$15,1)-0.5))),1)</f>
        <v>0.0288421052631578</v>
      </c>
      <c r="F461" s="217" t="n">
        <f aca="false">IF(Calculator!$E$16="YES",IF(A461&lt;Calculator!$G$16,0,MIN(MIN(MOD(A461/Calculator!$F$16,1),1-MOD(A461/Calculator!$F$16,1)),ABS(MOD(A461/Calculator!$F$16,1)-0.5))),1)</f>
        <v>1</v>
      </c>
      <c r="G461" s="217" t="n">
        <f aca="false">IF(Calculator!$E$17="YES",IF(A461&lt;Calculator!$G$17,0,MIN(MIN(MOD(A461/Calculator!$F$17,1),1-MOD(A461/Calculator!$F$17,1)),ABS(MOD(A461/Calculator!$F$17,1)-0.5))),1)</f>
        <v>0.0134736842105267</v>
      </c>
      <c r="H461" s="217" t="n">
        <f aca="false">IF(Calculator!$E$18="YES",IF(A461&lt;Calculator!$G$18,0,MIN(MIN(MOD(A461/Calculator!$F$18,1),1-MOD(A461/Calculator!$F$18,1)),ABS(MOD(A461/Calculator!$F$18,1)-0.5))),1)</f>
        <v>1</v>
      </c>
      <c r="I461" s="217" t="n">
        <f aca="false">IF(Calculator!$E$19="YES",IF(A461&lt;Calculator!$G$19,0,MIN(MIN(MOD(A461/Calculator!$F$19,1),1-MOD(A461/Calculator!$F$19,1)),ABS(MOD(A461/Calculator!$F$19,1)-0.5))),1)</f>
        <v>1</v>
      </c>
      <c r="J461" s="217" t="n">
        <f aca="false">IF(Calculator!$E$20="YES",IF(A461&lt;Calculator!$G$20,0,MIN(MIN(MOD(A461/Calculator!$F$20,1),1-MOD(A461/Calculator!$F$20,1)),ABS(MOD(A461/Calculator!$F$20,1)-0.5))),1)</f>
        <v>1</v>
      </c>
      <c r="K461" s="217" t="n">
        <f aca="false">IF(Calculator!$E$21="YES",IF(A461&lt;Calculator!$G$21,0,MIN(MIN(MOD(A461/Calculator!$F$21,1),1-MOD(A461/Calculator!$F$21,1)),ABS(MOD(A461/Calculator!$F$21,1)-0.5))),1)</f>
        <v>0.203789473684211</v>
      </c>
      <c r="L461" s="217" t="n">
        <f aca="false">IF(Calculator!$E$22="YES",IF(A461&lt;Calculator!$G$22,0,MIN(MIN(MOD(A461/Calculator!$F$22,1),1-MOD(A461/Calculator!$F$22,1)),ABS(MOD(A461/Calculator!$F$22,1)-0.5))),1)</f>
        <v>1</v>
      </c>
      <c r="M461" s="217" t="n">
        <f aca="false">MIN(B461:L461)</f>
        <v>0.0134736842105267</v>
      </c>
      <c r="N461" s="217" t="n">
        <f aca="false">SUMPRODUCT(($M$7:$M$557&gt;M461)*1)+SUMPRODUCT(($M$7:$M$557=M461)*(ROW($M$7:$M$557)&lt;ROW(M461)))+1</f>
        <v>428</v>
      </c>
      <c r="O461" s="217" t="str">
        <f aca="false">IF(M461&gt;=0.2,"★★★ EXCELLENT",IF(M461&gt;=0.12,"★★  GOOD",IF(M461&gt;=0.07,"★  FAIR",IF(M461&gt;=0.025,"⚠  MARGINAL","✗  AVOID"))))</f>
        <v>✗  AVOID</v>
      </c>
    </row>
    <row r="462" customFormat="false" ht="15" hidden="false" customHeight="true" outlineLevel="0" collapsed="false">
      <c r="A462" s="218" t="n">
        <v>50.5</v>
      </c>
      <c r="B462" s="219" t="n">
        <f aca="false">IF(Calculator!$E$12="YES",IF(A462&lt;Calculator!$G$12,0,MIN(MIN(MOD(A462/Calculator!$F$12,1),1-MOD(A462/Calculator!$F$12,1)),ABS(MOD(A462/Calculator!$F$12,1)-0.5))),1)</f>
        <v>1</v>
      </c>
      <c r="C462" s="219" t="n">
        <f aca="false">IF(Calculator!$E$13="YES",IF(A462&lt;Calculator!$G$13,0,MIN(MIN(MOD(A462/Calculator!$F$13,1),1-MOD(A462/Calculator!$F$13,1)),ABS(MOD(A462/Calculator!$F$13,1)-0.5))),1)</f>
        <v>1</v>
      </c>
      <c r="D462" s="219" t="n">
        <f aca="false">IF(Calculator!$E$14="YES",IF(A462&lt;Calculator!$G$14,0,MIN(MIN(MOD(A462/Calculator!$F$14,1),1-MOD(A462/Calculator!$F$14,1)),ABS(MOD(A462/Calculator!$F$14,1)-0.5))),1)</f>
        <v>1</v>
      </c>
      <c r="E462" s="219" t="n">
        <f aca="false">IF(Calculator!$E$15="YES",IF(A462&lt;Calculator!$G$15,0,MIN(MIN(MOD(A462/Calculator!$F$15,1),1-MOD(A462/Calculator!$F$15,1)),ABS(MOD(A462/Calculator!$F$15,1)-0.5))),1)</f>
        <v>0.0338596491228071</v>
      </c>
      <c r="F462" s="219" t="n">
        <f aca="false">IF(Calculator!$E$16="YES",IF(A462&lt;Calculator!$G$16,0,MIN(MIN(MOD(A462/Calculator!$F$16,1),1-MOD(A462/Calculator!$F$16,1)),ABS(MOD(A462/Calculator!$F$16,1)-0.5))),1)</f>
        <v>1</v>
      </c>
      <c r="G462" s="219" t="n">
        <f aca="false">IF(Calculator!$E$17="YES",IF(A462&lt;Calculator!$G$17,0,MIN(MIN(MOD(A462/Calculator!$F$17,1),1-MOD(A462/Calculator!$F$17,1)),ABS(MOD(A462/Calculator!$F$17,1)-0.5))),1)</f>
        <v>0.023421052631579</v>
      </c>
      <c r="H462" s="219" t="n">
        <f aca="false">IF(Calculator!$E$18="YES",IF(A462&lt;Calculator!$G$18,0,MIN(MIN(MOD(A462/Calculator!$F$18,1),1-MOD(A462/Calculator!$F$18,1)),ABS(MOD(A462/Calculator!$F$18,1)-0.5))),1)</f>
        <v>1</v>
      </c>
      <c r="I462" s="219" t="n">
        <f aca="false">IF(Calculator!$E$19="YES",IF(A462&lt;Calculator!$G$19,0,MIN(MIN(MOD(A462/Calculator!$F$19,1),1-MOD(A462/Calculator!$F$19,1)),ABS(MOD(A462/Calculator!$F$19,1)-0.5))),1)</f>
        <v>1</v>
      </c>
      <c r="J462" s="219" t="n">
        <f aca="false">IF(Calculator!$E$20="YES",IF(A462&lt;Calculator!$G$20,0,MIN(MIN(MOD(A462/Calculator!$F$20,1),1-MOD(A462/Calculator!$F$20,1)),ABS(MOD(A462/Calculator!$F$20,1)-0.5))),1)</f>
        <v>1</v>
      </c>
      <c r="K462" s="219" t="n">
        <f aca="false">IF(Calculator!$E$21="YES",IF(A462&lt;Calculator!$G$21,0,MIN(MIN(MOD(A462/Calculator!$F$21,1),1-MOD(A462/Calculator!$F$21,1)),ABS(MOD(A462/Calculator!$F$21,1)-0.5))),1)</f>
        <v>0.224035087719297</v>
      </c>
      <c r="L462" s="219" t="n">
        <f aca="false">IF(Calculator!$E$22="YES",IF(A462&lt;Calculator!$G$22,0,MIN(MIN(MOD(A462/Calculator!$F$22,1),1-MOD(A462/Calculator!$F$22,1)),ABS(MOD(A462/Calculator!$F$22,1)-0.5))),1)</f>
        <v>1</v>
      </c>
      <c r="M462" s="219" t="n">
        <f aca="false">MIN(B462:L462)</f>
        <v>0.023421052631579</v>
      </c>
      <c r="N462" s="219" t="n">
        <f aca="false">SUMPRODUCT(($M$7:$M$557&gt;M462)*1)+SUMPRODUCT(($M$7:$M$557=M462)*(ROW($M$7:$M$557)&lt;ROW(M462)))+1</f>
        <v>388</v>
      </c>
      <c r="O462" s="219" t="str">
        <f aca="false">IF(M462&gt;=0.2,"★★★ EXCELLENT",IF(M462&gt;=0.12,"★★  GOOD",IF(M462&gt;=0.07,"★  FAIR",IF(M462&gt;=0.025,"⚠  MARGINAL","✗  AVOID"))))</f>
        <v>✗  AVOID</v>
      </c>
    </row>
    <row r="463" customFormat="false" ht="15" hidden="false" customHeight="true" outlineLevel="0" collapsed="false">
      <c r="A463" s="216" t="n">
        <v>50.6</v>
      </c>
      <c r="B463" s="217" t="n">
        <f aca="false">IF(Calculator!$E$12="YES",IF(A463&lt;Calculator!$G$12,0,MIN(MIN(MOD(A463/Calculator!$F$12,1),1-MOD(A463/Calculator!$F$12,1)),ABS(MOD(A463/Calculator!$F$12,1)-0.5))),1)</f>
        <v>1</v>
      </c>
      <c r="C463" s="217" t="n">
        <f aca="false">IF(Calculator!$E$13="YES",IF(A463&lt;Calculator!$G$13,0,MIN(MIN(MOD(A463/Calculator!$F$13,1),1-MOD(A463/Calculator!$F$13,1)),ABS(MOD(A463/Calculator!$F$13,1)-0.5))),1)</f>
        <v>1</v>
      </c>
      <c r="D463" s="217" t="n">
        <f aca="false">IF(Calculator!$E$14="YES",IF(A463&lt;Calculator!$G$14,0,MIN(MIN(MOD(A463/Calculator!$F$14,1),1-MOD(A463/Calculator!$F$14,1)),ABS(MOD(A463/Calculator!$F$14,1)-0.5))),1)</f>
        <v>1</v>
      </c>
      <c r="E463" s="217" t="n">
        <f aca="false">IF(Calculator!$E$15="YES",IF(A463&lt;Calculator!$G$15,0,MIN(MIN(MOD(A463/Calculator!$F$15,1),1-MOD(A463/Calculator!$F$15,1)),ABS(MOD(A463/Calculator!$F$15,1)-0.5))),1)</f>
        <v>0.0388771929824561</v>
      </c>
      <c r="F463" s="217" t="n">
        <f aca="false">IF(Calculator!$E$16="YES",IF(A463&lt;Calculator!$G$16,0,MIN(MIN(MOD(A463/Calculator!$F$16,1),1-MOD(A463/Calculator!$F$16,1)),ABS(MOD(A463/Calculator!$F$16,1)-0.5))),1)</f>
        <v>1</v>
      </c>
      <c r="G463" s="217" t="n">
        <f aca="false">IF(Calculator!$E$17="YES",IF(A463&lt;Calculator!$G$17,0,MIN(MIN(MOD(A463/Calculator!$F$17,1),1-MOD(A463/Calculator!$F$17,1)),ABS(MOD(A463/Calculator!$F$17,1)-0.5))),1)</f>
        <v>0.0333684210526322</v>
      </c>
      <c r="H463" s="217" t="n">
        <f aca="false">IF(Calculator!$E$18="YES",IF(A463&lt;Calculator!$G$18,0,MIN(MIN(MOD(A463/Calculator!$F$18,1),1-MOD(A463/Calculator!$F$18,1)),ABS(MOD(A463/Calculator!$F$18,1)-0.5))),1)</f>
        <v>1</v>
      </c>
      <c r="I463" s="217" t="n">
        <f aca="false">IF(Calculator!$E$19="YES",IF(A463&lt;Calculator!$G$19,0,MIN(MIN(MOD(A463/Calculator!$F$19,1),1-MOD(A463/Calculator!$F$19,1)),ABS(MOD(A463/Calculator!$F$19,1)-0.5))),1)</f>
        <v>1</v>
      </c>
      <c r="J463" s="217" t="n">
        <f aca="false">IF(Calculator!$E$20="YES",IF(A463&lt;Calculator!$G$20,0,MIN(MIN(MOD(A463/Calculator!$F$20,1),1-MOD(A463/Calculator!$F$20,1)),ABS(MOD(A463/Calculator!$F$20,1)-0.5))),1)</f>
        <v>1</v>
      </c>
      <c r="K463" s="217" t="n">
        <f aca="false">IF(Calculator!$E$21="YES",IF(A463&lt;Calculator!$G$21,0,MIN(MIN(MOD(A463/Calculator!$F$21,1),1-MOD(A463/Calculator!$F$21,1)),ABS(MOD(A463/Calculator!$F$21,1)-0.5))),1)</f>
        <v>0.244280701754386</v>
      </c>
      <c r="L463" s="217" t="n">
        <f aca="false">IF(Calculator!$E$22="YES",IF(A463&lt;Calculator!$G$22,0,MIN(MIN(MOD(A463/Calculator!$F$22,1),1-MOD(A463/Calculator!$F$22,1)),ABS(MOD(A463/Calculator!$F$22,1)-0.5))),1)</f>
        <v>1</v>
      </c>
      <c r="M463" s="217" t="n">
        <f aca="false">MIN(B463:L463)</f>
        <v>0.0333684210526322</v>
      </c>
      <c r="N463" s="217" t="n">
        <f aca="false">SUMPRODUCT(($M$7:$M$557&gt;M463)*1)+SUMPRODUCT(($M$7:$M$557=M463)*(ROW($M$7:$M$557)&lt;ROW(M463)))+1</f>
        <v>351</v>
      </c>
      <c r="O463" s="217" t="str">
        <f aca="false">IF(M463&gt;=0.2,"★★★ EXCELLENT",IF(M463&gt;=0.12,"★★  GOOD",IF(M463&gt;=0.07,"★  FAIR",IF(M463&gt;=0.025,"⚠  MARGINAL","✗  AVOID"))))</f>
        <v>⚠  MARGINAL</v>
      </c>
    </row>
    <row r="464" customFormat="false" ht="15" hidden="false" customHeight="true" outlineLevel="0" collapsed="false">
      <c r="A464" s="218" t="n">
        <v>50.7</v>
      </c>
      <c r="B464" s="219" t="n">
        <f aca="false">IF(Calculator!$E$12="YES",IF(A464&lt;Calculator!$G$12,0,MIN(MIN(MOD(A464/Calculator!$F$12,1),1-MOD(A464/Calculator!$F$12,1)),ABS(MOD(A464/Calculator!$F$12,1)-0.5))),1)</f>
        <v>1</v>
      </c>
      <c r="C464" s="219" t="n">
        <f aca="false">IF(Calculator!$E$13="YES",IF(A464&lt;Calculator!$G$13,0,MIN(MIN(MOD(A464/Calculator!$F$13,1),1-MOD(A464/Calculator!$F$13,1)),ABS(MOD(A464/Calculator!$F$13,1)-0.5))),1)</f>
        <v>1</v>
      </c>
      <c r="D464" s="219" t="n">
        <f aca="false">IF(Calculator!$E$14="YES",IF(A464&lt;Calculator!$G$14,0,MIN(MIN(MOD(A464/Calculator!$F$14,1),1-MOD(A464/Calculator!$F$14,1)),ABS(MOD(A464/Calculator!$F$14,1)-0.5))),1)</f>
        <v>1</v>
      </c>
      <c r="E464" s="219" t="n">
        <f aca="false">IF(Calculator!$E$15="YES",IF(A464&lt;Calculator!$G$15,0,MIN(MIN(MOD(A464/Calculator!$F$15,1),1-MOD(A464/Calculator!$F$15,1)),ABS(MOD(A464/Calculator!$F$15,1)-0.5))),1)</f>
        <v>0.0438947368421054</v>
      </c>
      <c r="F464" s="219" t="n">
        <f aca="false">IF(Calculator!$E$16="YES",IF(A464&lt;Calculator!$G$16,0,MIN(MIN(MOD(A464/Calculator!$F$16,1),1-MOD(A464/Calculator!$F$16,1)),ABS(MOD(A464/Calculator!$F$16,1)-0.5))),1)</f>
        <v>1</v>
      </c>
      <c r="G464" s="219" t="n">
        <f aca="false">IF(Calculator!$E$17="YES",IF(A464&lt;Calculator!$G$17,0,MIN(MIN(MOD(A464/Calculator!$F$17,1),1-MOD(A464/Calculator!$F$17,1)),ABS(MOD(A464/Calculator!$F$17,1)-0.5))),1)</f>
        <v>0.0433157894736853</v>
      </c>
      <c r="H464" s="219" t="n">
        <f aca="false">IF(Calculator!$E$18="YES",IF(A464&lt;Calculator!$G$18,0,MIN(MIN(MOD(A464/Calculator!$F$18,1),1-MOD(A464/Calculator!$F$18,1)),ABS(MOD(A464/Calculator!$F$18,1)-0.5))),1)</f>
        <v>1</v>
      </c>
      <c r="I464" s="219" t="n">
        <f aca="false">IF(Calculator!$E$19="YES",IF(A464&lt;Calculator!$G$19,0,MIN(MIN(MOD(A464/Calculator!$F$19,1),1-MOD(A464/Calculator!$F$19,1)),ABS(MOD(A464/Calculator!$F$19,1)-0.5))),1)</f>
        <v>1</v>
      </c>
      <c r="J464" s="219" t="n">
        <f aca="false">IF(Calculator!$E$20="YES",IF(A464&lt;Calculator!$G$20,0,MIN(MIN(MOD(A464/Calculator!$F$20,1),1-MOD(A464/Calculator!$F$20,1)),ABS(MOD(A464/Calculator!$F$20,1)-0.5))),1)</f>
        <v>1</v>
      </c>
      <c r="K464" s="219" t="n">
        <f aca="false">IF(Calculator!$E$21="YES",IF(A464&lt;Calculator!$G$21,0,MIN(MIN(MOD(A464/Calculator!$F$21,1),1-MOD(A464/Calculator!$F$21,1)),ABS(MOD(A464/Calculator!$F$21,1)-0.5))),1)</f>
        <v>0.235473684210525</v>
      </c>
      <c r="L464" s="219" t="n">
        <f aca="false">IF(Calculator!$E$22="YES",IF(A464&lt;Calculator!$G$22,0,MIN(MIN(MOD(A464/Calculator!$F$22,1),1-MOD(A464/Calculator!$F$22,1)),ABS(MOD(A464/Calculator!$F$22,1)-0.5))),1)</f>
        <v>1</v>
      </c>
      <c r="M464" s="219" t="n">
        <f aca="false">MIN(B464:L464)</f>
        <v>0.0433157894736853</v>
      </c>
      <c r="N464" s="219" t="n">
        <f aca="false">SUMPRODUCT(($M$7:$M$557&gt;M464)*1)+SUMPRODUCT(($M$7:$M$557=M464)*(ROW($M$7:$M$557)&lt;ROW(M464)))+1</f>
        <v>311</v>
      </c>
      <c r="O464" s="219" t="str">
        <f aca="false">IF(M464&gt;=0.2,"★★★ EXCELLENT",IF(M464&gt;=0.12,"★★  GOOD",IF(M464&gt;=0.07,"★  FAIR",IF(M464&gt;=0.025,"⚠  MARGINAL","✗  AVOID"))))</f>
        <v>⚠  MARGINAL</v>
      </c>
    </row>
    <row r="465" customFormat="false" ht="15" hidden="false" customHeight="true" outlineLevel="0" collapsed="false">
      <c r="A465" s="216" t="n">
        <v>50.8</v>
      </c>
      <c r="B465" s="217" t="n">
        <f aca="false">IF(Calculator!$E$12="YES",IF(A465&lt;Calculator!$G$12,0,MIN(MIN(MOD(A465/Calculator!$F$12,1),1-MOD(A465/Calculator!$F$12,1)),ABS(MOD(A465/Calculator!$F$12,1)-0.5))),1)</f>
        <v>1</v>
      </c>
      <c r="C465" s="217" t="n">
        <f aca="false">IF(Calculator!$E$13="YES",IF(A465&lt;Calculator!$G$13,0,MIN(MIN(MOD(A465/Calculator!$F$13,1),1-MOD(A465/Calculator!$F$13,1)),ABS(MOD(A465/Calculator!$F$13,1)-0.5))),1)</f>
        <v>1</v>
      </c>
      <c r="D465" s="217" t="n">
        <f aca="false">IF(Calculator!$E$14="YES",IF(A465&lt;Calculator!$G$14,0,MIN(MIN(MOD(A465/Calculator!$F$14,1),1-MOD(A465/Calculator!$F$14,1)),ABS(MOD(A465/Calculator!$F$14,1)-0.5))),1)</f>
        <v>1</v>
      </c>
      <c r="E465" s="217" t="n">
        <f aca="false">IF(Calculator!$E$15="YES",IF(A465&lt;Calculator!$G$15,0,MIN(MIN(MOD(A465/Calculator!$F$15,1),1-MOD(A465/Calculator!$F$15,1)),ABS(MOD(A465/Calculator!$F$15,1)-0.5))),1)</f>
        <v>0.0489122807017544</v>
      </c>
      <c r="F465" s="217" t="n">
        <f aca="false">IF(Calculator!$E$16="YES",IF(A465&lt;Calculator!$G$16,0,MIN(MIN(MOD(A465/Calculator!$F$16,1),1-MOD(A465/Calculator!$F$16,1)),ABS(MOD(A465/Calculator!$F$16,1)-0.5))),1)</f>
        <v>1</v>
      </c>
      <c r="G465" s="217" t="n">
        <f aca="false">IF(Calculator!$E$17="YES",IF(A465&lt;Calculator!$G$17,0,MIN(MIN(MOD(A465/Calculator!$F$17,1),1-MOD(A465/Calculator!$F$17,1)),ABS(MOD(A465/Calculator!$F$17,1)-0.5))),1)</f>
        <v>0.0532631578947367</v>
      </c>
      <c r="H465" s="217" t="n">
        <f aca="false">IF(Calculator!$E$18="YES",IF(A465&lt;Calculator!$G$18,0,MIN(MIN(MOD(A465/Calculator!$F$18,1),1-MOD(A465/Calculator!$F$18,1)),ABS(MOD(A465/Calculator!$F$18,1)-0.5))),1)</f>
        <v>1</v>
      </c>
      <c r="I465" s="217" t="n">
        <f aca="false">IF(Calculator!$E$19="YES",IF(A465&lt;Calculator!$G$19,0,MIN(MIN(MOD(A465/Calculator!$F$19,1),1-MOD(A465/Calculator!$F$19,1)),ABS(MOD(A465/Calculator!$F$19,1)-0.5))),1)</f>
        <v>1</v>
      </c>
      <c r="J465" s="217" t="n">
        <f aca="false">IF(Calculator!$E$20="YES",IF(A465&lt;Calculator!$G$20,0,MIN(MIN(MOD(A465/Calculator!$F$20,1),1-MOD(A465/Calculator!$F$20,1)),ABS(MOD(A465/Calculator!$F$20,1)-0.5))),1)</f>
        <v>1</v>
      </c>
      <c r="K465" s="217" t="n">
        <f aca="false">IF(Calculator!$E$21="YES",IF(A465&lt;Calculator!$G$21,0,MIN(MIN(MOD(A465/Calculator!$F$21,1),1-MOD(A465/Calculator!$F$21,1)),ABS(MOD(A465/Calculator!$F$21,1)-0.5))),1)</f>
        <v>0.215228070175439</v>
      </c>
      <c r="L465" s="217" t="n">
        <f aca="false">IF(Calculator!$E$22="YES",IF(A465&lt;Calculator!$G$22,0,MIN(MIN(MOD(A465/Calculator!$F$22,1),1-MOD(A465/Calculator!$F$22,1)),ABS(MOD(A465/Calculator!$F$22,1)-0.5))),1)</f>
        <v>1</v>
      </c>
      <c r="M465" s="217" t="n">
        <f aca="false">MIN(B465:L465)</f>
        <v>0.0489122807017544</v>
      </c>
      <c r="N465" s="217" t="n">
        <f aca="false">SUMPRODUCT(($M$7:$M$557&gt;M465)*1)+SUMPRODUCT(($M$7:$M$557=M465)*(ROW($M$7:$M$557)&lt;ROW(M465)))+1</f>
        <v>289</v>
      </c>
      <c r="O465" s="217" t="str">
        <f aca="false">IF(M465&gt;=0.2,"★★★ EXCELLENT",IF(M465&gt;=0.12,"★★  GOOD",IF(M465&gt;=0.07,"★  FAIR",IF(M465&gt;=0.025,"⚠  MARGINAL","✗  AVOID"))))</f>
        <v>⚠  MARGINAL</v>
      </c>
    </row>
    <row r="466" customFormat="false" ht="15" hidden="false" customHeight="true" outlineLevel="0" collapsed="false">
      <c r="A466" s="218" t="n">
        <v>50.9</v>
      </c>
      <c r="B466" s="219" t="n">
        <f aca="false">IF(Calculator!$E$12="YES",IF(A466&lt;Calculator!$G$12,0,MIN(MIN(MOD(A466/Calculator!$F$12,1),1-MOD(A466/Calculator!$F$12,1)),ABS(MOD(A466/Calculator!$F$12,1)-0.5))),1)</f>
        <v>1</v>
      </c>
      <c r="C466" s="219" t="n">
        <f aca="false">IF(Calculator!$E$13="YES",IF(A466&lt;Calculator!$G$13,0,MIN(MIN(MOD(A466/Calculator!$F$13,1),1-MOD(A466/Calculator!$F$13,1)),ABS(MOD(A466/Calculator!$F$13,1)-0.5))),1)</f>
        <v>1</v>
      </c>
      <c r="D466" s="219" t="n">
        <f aca="false">IF(Calculator!$E$14="YES",IF(A466&lt;Calculator!$G$14,0,MIN(MIN(MOD(A466/Calculator!$F$14,1),1-MOD(A466/Calculator!$F$14,1)),ABS(MOD(A466/Calculator!$F$14,1)-0.5))),1)</f>
        <v>1</v>
      </c>
      <c r="E466" s="219" t="n">
        <f aca="false">IF(Calculator!$E$15="YES",IF(A466&lt;Calculator!$G$15,0,MIN(MIN(MOD(A466/Calculator!$F$15,1),1-MOD(A466/Calculator!$F$15,1)),ABS(MOD(A466/Calculator!$F$15,1)-0.5))),1)</f>
        <v>0.0539298245614033</v>
      </c>
      <c r="F466" s="219" t="n">
        <f aca="false">IF(Calculator!$E$16="YES",IF(A466&lt;Calculator!$G$16,0,MIN(MIN(MOD(A466/Calculator!$F$16,1),1-MOD(A466/Calculator!$F$16,1)),ABS(MOD(A466/Calculator!$F$16,1)-0.5))),1)</f>
        <v>1</v>
      </c>
      <c r="G466" s="219" t="n">
        <f aca="false">IF(Calculator!$E$17="YES",IF(A466&lt;Calculator!$G$17,0,MIN(MIN(MOD(A466/Calculator!$F$17,1),1-MOD(A466/Calculator!$F$17,1)),ABS(MOD(A466/Calculator!$F$17,1)-0.5))),1)</f>
        <v>0.0632105263157898</v>
      </c>
      <c r="H466" s="219" t="n">
        <f aca="false">IF(Calculator!$E$18="YES",IF(A466&lt;Calculator!$G$18,0,MIN(MIN(MOD(A466/Calculator!$F$18,1),1-MOD(A466/Calculator!$F$18,1)),ABS(MOD(A466/Calculator!$F$18,1)-0.5))),1)</f>
        <v>1</v>
      </c>
      <c r="I466" s="219" t="n">
        <f aca="false">IF(Calculator!$E$19="YES",IF(A466&lt;Calculator!$G$19,0,MIN(MIN(MOD(A466/Calculator!$F$19,1),1-MOD(A466/Calculator!$F$19,1)),ABS(MOD(A466/Calculator!$F$19,1)-0.5))),1)</f>
        <v>1</v>
      </c>
      <c r="J466" s="219" t="n">
        <f aca="false">IF(Calculator!$E$20="YES",IF(A466&lt;Calculator!$G$20,0,MIN(MIN(MOD(A466/Calculator!$F$20,1),1-MOD(A466/Calculator!$F$20,1)),ABS(MOD(A466/Calculator!$F$20,1)-0.5))),1)</f>
        <v>1</v>
      </c>
      <c r="K466" s="219" t="n">
        <f aca="false">IF(Calculator!$E$21="YES",IF(A466&lt;Calculator!$G$21,0,MIN(MIN(MOD(A466/Calculator!$F$21,1),1-MOD(A466/Calculator!$F$21,1)),ABS(MOD(A466/Calculator!$F$21,1)-0.5))),1)</f>
        <v>0.194982456140352</v>
      </c>
      <c r="L466" s="219" t="n">
        <f aca="false">IF(Calculator!$E$22="YES",IF(A466&lt;Calculator!$G$22,0,MIN(MIN(MOD(A466/Calculator!$F$22,1),1-MOD(A466/Calculator!$F$22,1)),ABS(MOD(A466/Calculator!$F$22,1)-0.5))),1)</f>
        <v>1</v>
      </c>
      <c r="M466" s="219" t="n">
        <f aca="false">MIN(B466:L466)</f>
        <v>0.0539298245614033</v>
      </c>
      <c r="N466" s="219" t="n">
        <f aca="false">SUMPRODUCT(($M$7:$M$557&gt;M466)*1)+SUMPRODUCT(($M$7:$M$557=M466)*(ROW($M$7:$M$557)&lt;ROW(M466)))+1</f>
        <v>269</v>
      </c>
      <c r="O466" s="219" t="str">
        <f aca="false">IF(M466&gt;=0.2,"★★★ EXCELLENT",IF(M466&gt;=0.12,"★★  GOOD",IF(M466&gt;=0.07,"★  FAIR",IF(M466&gt;=0.025,"⚠  MARGINAL","✗  AVOID"))))</f>
        <v>⚠  MARGINAL</v>
      </c>
    </row>
    <row r="467" customFormat="false" ht="15" hidden="false" customHeight="true" outlineLevel="0" collapsed="false">
      <c r="A467" s="216" t="n">
        <v>51</v>
      </c>
      <c r="B467" s="217" t="n">
        <f aca="false">IF(Calculator!$E$12="YES",IF(A467&lt;Calculator!$G$12,0,MIN(MIN(MOD(A467/Calculator!$F$12,1),1-MOD(A467/Calculator!$F$12,1)),ABS(MOD(A467/Calculator!$F$12,1)-0.5))),1)</f>
        <v>1</v>
      </c>
      <c r="C467" s="217" t="n">
        <f aca="false">IF(Calculator!$E$13="YES",IF(A467&lt;Calculator!$G$13,0,MIN(MIN(MOD(A467/Calculator!$F$13,1),1-MOD(A467/Calculator!$F$13,1)),ABS(MOD(A467/Calculator!$F$13,1)-0.5))),1)</f>
        <v>1</v>
      </c>
      <c r="D467" s="217" t="n">
        <f aca="false">IF(Calculator!$E$14="YES",IF(A467&lt;Calculator!$G$14,0,MIN(MIN(MOD(A467/Calculator!$F$14,1),1-MOD(A467/Calculator!$F$14,1)),ABS(MOD(A467/Calculator!$F$14,1)-0.5))),1)</f>
        <v>1</v>
      </c>
      <c r="E467" s="217" t="n">
        <f aca="false">IF(Calculator!$E$15="YES",IF(A467&lt;Calculator!$G$15,0,MIN(MIN(MOD(A467/Calculator!$F$15,1),1-MOD(A467/Calculator!$F$15,1)),ABS(MOD(A467/Calculator!$F$15,1)-0.5))),1)</f>
        <v>0.0589473684210526</v>
      </c>
      <c r="F467" s="217" t="n">
        <f aca="false">IF(Calculator!$E$16="YES",IF(A467&lt;Calculator!$G$16,0,MIN(MIN(MOD(A467/Calculator!$F$16,1),1-MOD(A467/Calculator!$F$16,1)),ABS(MOD(A467/Calculator!$F$16,1)-0.5))),1)</f>
        <v>1</v>
      </c>
      <c r="G467" s="217" t="n">
        <f aca="false">IF(Calculator!$E$17="YES",IF(A467&lt;Calculator!$G$17,0,MIN(MIN(MOD(A467/Calculator!$F$17,1),1-MOD(A467/Calculator!$F$17,1)),ABS(MOD(A467/Calculator!$F$17,1)-0.5))),1)</f>
        <v>0.0731578947368421</v>
      </c>
      <c r="H467" s="217" t="n">
        <f aca="false">IF(Calculator!$E$18="YES",IF(A467&lt;Calculator!$G$18,0,MIN(MIN(MOD(A467/Calculator!$F$18,1),1-MOD(A467/Calculator!$F$18,1)),ABS(MOD(A467/Calculator!$F$18,1)-0.5))),1)</f>
        <v>1</v>
      </c>
      <c r="I467" s="217" t="n">
        <f aca="false">IF(Calculator!$E$19="YES",IF(A467&lt;Calculator!$G$19,0,MIN(MIN(MOD(A467/Calculator!$F$19,1),1-MOD(A467/Calculator!$F$19,1)),ABS(MOD(A467/Calculator!$F$19,1)-0.5))),1)</f>
        <v>1</v>
      </c>
      <c r="J467" s="217" t="n">
        <f aca="false">IF(Calculator!$E$20="YES",IF(A467&lt;Calculator!$G$20,0,MIN(MIN(MOD(A467/Calculator!$F$20,1),1-MOD(A467/Calculator!$F$20,1)),ABS(MOD(A467/Calculator!$F$20,1)-0.5))),1)</f>
        <v>1</v>
      </c>
      <c r="K467" s="217" t="n">
        <f aca="false">IF(Calculator!$E$21="YES",IF(A467&lt;Calculator!$G$21,0,MIN(MIN(MOD(A467/Calculator!$F$21,1),1-MOD(A467/Calculator!$F$21,1)),ABS(MOD(A467/Calculator!$F$21,1)-0.5))),1)</f>
        <v>0.174736842105263</v>
      </c>
      <c r="L467" s="217" t="n">
        <f aca="false">IF(Calculator!$E$22="YES",IF(A467&lt;Calculator!$G$22,0,MIN(MIN(MOD(A467/Calculator!$F$22,1),1-MOD(A467/Calculator!$F$22,1)),ABS(MOD(A467/Calculator!$F$22,1)-0.5))),1)</f>
        <v>1</v>
      </c>
      <c r="M467" s="217" t="n">
        <f aca="false">MIN(B467:L467)</f>
        <v>0.0589473684210526</v>
      </c>
      <c r="N467" s="217" t="n">
        <f aca="false">SUMPRODUCT(($M$7:$M$557&gt;M467)*1)+SUMPRODUCT(($M$7:$M$557=M467)*(ROW($M$7:$M$557)&lt;ROW(M467)))+1</f>
        <v>248</v>
      </c>
      <c r="O467" s="217" t="str">
        <f aca="false">IF(M467&gt;=0.2,"★★★ EXCELLENT",IF(M467&gt;=0.12,"★★  GOOD",IF(M467&gt;=0.07,"★  FAIR",IF(M467&gt;=0.025,"⚠  MARGINAL","✗  AVOID"))))</f>
        <v>⚠  MARGINAL</v>
      </c>
    </row>
    <row r="468" customFormat="false" ht="15" hidden="false" customHeight="true" outlineLevel="0" collapsed="false">
      <c r="A468" s="218" t="n">
        <v>51.1</v>
      </c>
      <c r="B468" s="219" t="n">
        <f aca="false">IF(Calculator!$E$12="YES",IF(A468&lt;Calculator!$G$12,0,MIN(MIN(MOD(A468/Calculator!$F$12,1),1-MOD(A468/Calculator!$F$12,1)),ABS(MOD(A468/Calculator!$F$12,1)-0.5))),1)</f>
        <v>1</v>
      </c>
      <c r="C468" s="219" t="n">
        <f aca="false">IF(Calculator!$E$13="YES",IF(A468&lt;Calculator!$G$13,0,MIN(MIN(MOD(A468/Calculator!$F$13,1),1-MOD(A468/Calculator!$F$13,1)),ABS(MOD(A468/Calculator!$F$13,1)-0.5))),1)</f>
        <v>1</v>
      </c>
      <c r="D468" s="219" t="n">
        <f aca="false">IF(Calculator!$E$14="YES",IF(A468&lt;Calculator!$G$14,0,MIN(MIN(MOD(A468/Calculator!$F$14,1),1-MOD(A468/Calculator!$F$14,1)),ABS(MOD(A468/Calculator!$F$14,1)-0.5))),1)</f>
        <v>1</v>
      </c>
      <c r="E468" s="219" t="n">
        <f aca="false">IF(Calculator!$E$15="YES",IF(A468&lt;Calculator!$G$15,0,MIN(MIN(MOD(A468/Calculator!$F$15,1),1-MOD(A468/Calculator!$F$15,1)),ABS(MOD(A468/Calculator!$F$15,1)-0.5))),1)</f>
        <v>0.063964912280702</v>
      </c>
      <c r="F468" s="219" t="n">
        <f aca="false">IF(Calculator!$E$16="YES",IF(A468&lt;Calculator!$G$16,0,MIN(MIN(MOD(A468/Calculator!$F$16,1),1-MOD(A468/Calculator!$F$16,1)),ABS(MOD(A468/Calculator!$F$16,1)-0.5))),1)</f>
        <v>1</v>
      </c>
      <c r="G468" s="219" t="n">
        <f aca="false">IF(Calculator!$E$17="YES",IF(A468&lt;Calculator!$G$17,0,MIN(MIN(MOD(A468/Calculator!$F$17,1),1-MOD(A468/Calculator!$F$17,1)),ABS(MOD(A468/Calculator!$F$17,1)-0.5))),1)</f>
        <v>0.0831052631578952</v>
      </c>
      <c r="H468" s="219" t="n">
        <f aca="false">IF(Calculator!$E$18="YES",IF(A468&lt;Calculator!$G$18,0,MIN(MIN(MOD(A468/Calculator!$F$18,1),1-MOD(A468/Calculator!$F$18,1)),ABS(MOD(A468/Calculator!$F$18,1)-0.5))),1)</f>
        <v>1</v>
      </c>
      <c r="I468" s="219" t="n">
        <f aca="false">IF(Calculator!$E$19="YES",IF(A468&lt;Calculator!$G$19,0,MIN(MIN(MOD(A468/Calculator!$F$19,1),1-MOD(A468/Calculator!$F$19,1)),ABS(MOD(A468/Calculator!$F$19,1)-0.5))),1)</f>
        <v>1</v>
      </c>
      <c r="J468" s="219" t="n">
        <f aca="false">IF(Calculator!$E$20="YES",IF(A468&lt;Calculator!$G$20,0,MIN(MIN(MOD(A468/Calculator!$F$20,1),1-MOD(A468/Calculator!$F$20,1)),ABS(MOD(A468/Calculator!$F$20,1)-0.5))),1)</f>
        <v>1</v>
      </c>
      <c r="K468" s="219" t="n">
        <f aca="false">IF(Calculator!$E$21="YES",IF(A468&lt;Calculator!$G$21,0,MIN(MIN(MOD(A468/Calculator!$F$21,1),1-MOD(A468/Calculator!$F$21,1)),ABS(MOD(A468/Calculator!$F$21,1)-0.5))),1)</f>
        <v>0.154491228070174</v>
      </c>
      <c r="L468" s="219" t="n">
        <f aca="false">IF(Calculator!$E$22="YES",IF(A468&lt;Calculator!$G$22,0,MIN(MIN(MOD(A468/Calculator!$F$22,1),1-MOD(A468/Calculator!$F$22,1)),ABS(MOD(A468/Calculator!$F$22,1)-0.5))),1)</f>
        <v>1</v>
      </c>
      <c r="M468" s="219" t="n">
        <f aca="false">MIN(B468:L468)</f>
        <v>0.063964912280702</v>
      </c>
      <c r="N468" s="219" t="n">
        <f aca="false">SUMPRODUCT(($M$7:$M$557&gt;M468)*1)+SUMPRODUCT(($M$7:$M$557=M468)*(ROW($M$7:$M$557)&lt;ROW(M468)))+1</f>
        <v>228</v>
      </c>
      <c r="O468" s="219" t="str">
        <f aca="false">IF(M468&gt;=0.2,"★★★ EXCELLENT",IF(M468&gt;=0.12,"★★  GOOD",IF(M468&gt;=0.07,"★  FAIR",IF(M468&gt;=0.025,"⚠  MARGINAL","✗  AVOID"))))</f>
        <v>⚠  MARGINAL</v>
      </c>
    </row>
    <row r="469" customFormat="false" ht="15" hidden="false" customHeight="true" outlineLevel="0" collapsed="false">
      <c r="A469" s="216" t="n">
        <v>51.2</v>
      </c>
      <c r="B469" s="217" t="n">
        <f aca="false">IF(Calculator!$E$12="YES",IF(A469&lt;Calculator!$G$12,0,MIN(MIN(MOD(A469/Calculator!$F$12,1),1-MOD(A469/Calculator!$F$12,1)),ABS(MOD(A469/Calculator!$F$12,1)-0.5))),1)</f>
        <v>1</v>
      </c>
      <c r="C469" s="217" t="n">
        <f aca="false">IF(Calculator!$E$13="YES",IF(A469&lt;Calculator!$G$13,0,MIN(MIN(MOD(A469/Calculator!$F$13,1),1-MOD(A469/Calculator!$F$13,1)),ABS(MOD(A469/Calculator!$F$13,1)-0.5))),1)</f>
        <v>1</v>
      </c>
      <c r="D469" s="217" t="n">
        <f aca="false">IF(Calculator!$E$14="YES",IF(A469&lt;Calculator!$G$14,0,MIN(MIN(MOD(A469/Calculator!$F$14,1),1-MOD(A469/Calculator!$F$14,1)),ABS(MOD(A469/Calculator!$F$14,1)-0.5))),1)</f>
        <v>1</v>
      </c>
      <c r="E469" s="217" t="n">
        <f aca="false">IF(Calculator!$E$15="YES",IF(A469&lt;Calculator!$G$15,0,MIN(MIN(MOD(A469/Calculator!$F$15,1),1-MOD(A469/Calculator!$F$15,1)),ABS(MOD(A469/Calculator!$F$15,1)-0.5))),1)</f>
        <v>0.0689824561403509</v>
      </c>
      <c r="F469" s="217" t="n">
        <f aca="false">IF(Calculator!$E$16="YES",IF(A469&lt;Calculator!$G$16,0,MIN(MIN(MOD(A469/Calculator!$F$16,1),1-MOD(A469/Calculator!$F$16,1)),ABS(MOD(A469/Calculator!$F$16,1)-0.5))),1)</f>
        <v>1</v>
      </c>
      <c r="G469" s="217" t="n">
        <f aca="false">IF(Calculator!$E$17="YES",IF(A469&lt;Calculator!$G$17,0,MIN(MIN(MOD(A469/Calculator!$F$17,1),1-MOD(A469/Calculator!$F$17,1)),ABS(MOD(A469/Calculator!$F$17,1)-0.5))),1)</f>
        <v>0.0930526315789484</v>
      </c>
      <c r="H469" s="217" t="n">
        <f aca="false">IF(Calculator!$E$18="YES",IF(A469&lt;Calculator!$G$18,0,MIN(MIN(MOD(A469/Calculator!$F$18,1),1-MOD(A469/Calculator!$F$18,1)),ABS(MOD(A469/Calculator!$F$18,1)-0.5))),1)</f>
        <v>1</v>
      </c>
      <c r="I469" s="217" t="n">
        <f aca="false">IF(Calculator!$E$19="YES",IF(A469&lt;Calculator!$G$19,0,MIN(MIN(MOD(A469/Calculator!$F$19,1),1-MOD(A469/Calculator!$F$19,1)),ABS(MOD(A469/Calculator!$F$19,1)-0.5))),1)</f>
        <v>1</v>
      </c>
      <c r="J469" s="217" t="n">
        <f aca="false">IF(Calculator!$E$20="YES",IF(A469&lt;Calculator!$G$20,0,MIN(MIN(MOD(A469/Calculator!$F$20,1),1-MOD(A469/Calculator!$F$20,1)),ABS(MOD(A469/Calculator!$F$20,1)-0.5))),1)</f>
        <v>1</v>
      </c>
      <c r="K469" s="217" t="n">
        <f aca="false">IF(Calculator!$E$21="YES",IF(A469&lt;Calculator!$G$21,0,MIN(MIN(MOD(A469/Calculator!$F$21,1),1-MOD(A469/Calculator!$F$21,1)),ABS(MOD(A469/Calculator!$F$21,1)-0.5))),1)</f>
        <v>0.134245614035088</v>
      </c>
      <c r="L469" s="217" t="n">
        <f aca="false">IF(Calculator!$E$22="YES",IF(A469&lt;Calculator!$G$22,0,MIN(MIN(MOD(A469/Calculator!$F$22,1),1-MOD(A469/Calculator!$F$22,1)),ABS(MOD(A469/Calculator!$F$22,1)-0.5))),1)</f>
        <v>1</v>
      </c>
      <c r="M469" s="217" t="n">
        <f aca="false">MIN(B469:L469)</f>
        <v>0.0689824561403509</v>
      </c>
      <c r="N469" s="217" t="n">
        <f aca="false">SUMPRODUCT(($M$7:$M$557&gt;M469)*1)+SUMPRODUCT(($M$7:$M$557=M469)*(ROW($M$7:$M$557)&lt;ROW(M469)))+1</f>
        <v>210</v>
      </c>
      <c r="O469" s="217" t="str">
        <f aca="false">IF(M469&gt;=0.2,"★★★ EXCELLENT",IF(M469&gt;=0.12,"★★  GOOD",IF(M469&gt;=0.07,"★  FAIR",IF(M469&gt;=0.025,"⚠  MARGINAL","✗  AVOID"))))</f>
        <v>⚠  MARGINAL</v>
      </c>
    </row>
    <row r="470" customFormat="false" ht="15" hidden="false" customHeight="true" outlineLevel="0" collapsed="false">
      <c r="A470" s="218" t="n">
        <v>51.3</v>
      </c>
      <c r="B470" s="219" t="n">
        <f aca="false">IF(Calculator!$E$12="YES",IF(A470&lt;Calculator!$G$12,0,MIN(MIN(MOD(A470/Calculator!$F$12,1),1-MOD(A470/Calculator!$F$12,1)),ABS(MOD(A470/Calculator!$F$12,1)-0.5))),1)</f>
        <v>1</v>
      </c>
      <c r="C470" s="219" t="n">
        <f aca="false">IF(Calculator!$E$13="YES",IF(A470&lt;Calculator!$G$13,0,MIN(MIN(MOD(A470/Calculator!$F$13,1),1-MOD(A470/Calculator!$F$13,1)),ABS(MOD(A470/Calculator!$F$13,1)-0.5))),1)</f>
        <v>1</v>
      </c>
      <c r="D470" s="219" t="n">
        <f aca="false">IF(Calculator!$E$14="YES",IF(A470&lt;Calculator!$G$14,0,MIN(MIN(MOD(A470/Calculator!$F$14,1),1-MOD(A470/Calculator!$F$14,1)),ABS(MOD(A470/Calculator!$F$14,1)-0.5))),1)</f>
        <v>1</v>
      </c>
      <c r="E470" s="219" t="n">
        <f aca="false">IF(Calculator!$E$15="YES",IF(A470&lt;Calculator!$G$15,0,MIN(MIN(MOD(A470/Calculator!$F$15,1),1-MOD(A470/Calculator!$F$15,1)),ABS(MOD(A470/Calculator!$F$15,1)-0.5))),1)</f>
        <v>0.0739999999999998</v>
      </c>
      <c r="F470" s="219" t="n">
        <f aca="false">IF(Calculator!$E$16="YES",IF(A470&lt;Calculator!$G$16,0,MIN(MIN(MOD(A470/Calculator!$F$16,1),1-MOD(A470/Calculator!$F$16,1)),ABS(MOD(A470/Calculator!$F$16,1)-0.5))),1)</f>
        <v>1</v>
      </c>
      <c r="G470" s="219" t="n">
        <f aca="false">IF(Calculator!$E$17="YES",IF(A470&lt;Calculator!$G$17,0,MIN(MIN(MOD(A470/Calculator!$F$17,1),1-MOD(A470/Calculator!$F$17,1)),ABS(MOD(A470/Calculator!$F$17,1)-0.5))),1)</f>
        <v>0.103</v>
      </c>
      <c r="H470" s="219" t="n">
        <f aca="false">IF(Calculator!$E$18="YES",IF(A470&lt;Calculator!$G$18,0,MIN(MIN(MOD(A470/Calculator!$F$18,1),1-MOD(A470/Calculator!$F$18,1)),ABS(MOD(A470/Calculator!$F$18,1)-0.5))),1)</f>
        <v>1</v>
      </c>
      <c r="I470" s="219" t="n">
        <f aca="false">IF(Calculator!$E$19="YES",IF(A470&lt;Calculator!$G$19,0,MIN(MIN(MOD(A470/Calculator!$F$19,1),1-MOD(A470/Calculator!$F$19,1)),ABS(MOD(A470/Calculator!$F$19,1)-0.5))),1)</f>
        <v>1</v>
      </c>
      <c r="J470" s="219" t="n">
        <f aca="false">IF(Calculator!$E$20="YES",IF(A470&lt;Calculator!$G$20,0,MIN(MIN(MOD(A470/Calculator!$F$20,1),1-MOD(A470/Calculator!$F$20,1)),ABS(MOD(A470/Calculator!$F$20,1)-0.5))),1)</f>
        <v>1</v>
      </c>
      <c r="K470" s="219" t="n">
        <f aca="false">IF(Calculator!$E$21="YES",IF(A470&lt;Calculator!$G$21,0,MIN(MIN(MOD(A470/Calculator!$F$21,1),1-MOD(A470/Calculator!$F$21,1)),ABS(MOD(A470/Calculator!$F$21,1)-0.5))),1)</f>
        <v>0.114000000000001</v>
      </c>
      <c r="L470" s="219" t="n">
        <f aca="false">IF(Calculator!$E$22="YES",IF(A470&lt;Calculator!$G$22,0,MIN(MIN(MOD(A470/Calculator!$F$22,1),1-MOD(A470/Calculator!$F$22,1)),ABS(MOD(A470/Calculator!$F$22,1)-0.5))),1)</f>
        <v>1</v>
      </c>
      <c r="M470" s="219" t="n">
        <f aca="false">MIN(B470:L470)</f>
        <v>0.0739999999999998</v>
      </c>
      <c r="N470" s="219" t="n">
        <f aca="false">SUMPRODUCT(($M$7:$M$557&gt;M470)*1)+SUMPRODUCT(($M$7:$M$557=M470)*(ROW($M$7:$M$557)&lt;ROW(M470)))+1</f>
        <v>191</v>
      </c>
      <c r="O470" s="219" t="str">
        <f aca="false">IF(M470&gt;=0.2,"★★★ EXCELLENT",IF(M470&gt;=0.12,"★★  GOOD",IF(M470&gt;=0.07,"★  FAIR",IF(M470&gt;=0.025,"⚠  MARGINAL","✗  AVOID"))))</f>
        <v>★  FAIR</v>
      </c>
    </row>
    <row r="471" customFormat="false" ht="15" hidden="false" customHeight="true" outlineLevel="0" collapsed="false">
      <c r="A471" s="216" t="n">
        <v>51.4</v>
      </c>
      <c r="B471" s="217" t="n">
        <f aca="false">IF(Calculator!$E$12="YES",IF(A471&lt;Calculator!$G$12,0,MIN(MIN(MOD(A471/Calculator!$F$12,1),1-MOD(A471/Calculator!$F$12,1)),ABS(MOD(A471/Calculator!$F$12,1)-0.5))),1)</f>
        <v>1</v>
      </c>
      <c r="C471" s="217" t="n">
        <f aca="false">IF(Calculator!$E$13="YES",IF(A471&lt;Calculator!$G$13,0,MIN(MIN(MOD(A471/Calculator!$F$13,1),1-MOD(A471/Calculator!$F$13,1)),ABS(MOD(A471/Calculator!$F$13,1)-0.5))),1)</f>
        <v>1</v>
      </c>
      <c r="D471" s="217" t="n">
        <f aca="false">IF(Calculator!$E$14="YES",IF(A471&lt;Calculator!$G$14,0,MIN(MIN(MOD(A471/Calculator!$F$14,1),1-MOD(A471/Calculator!$F$14,1)),ABS(MOD(A471/Calculator!$F$14,1)-0.5))),1)</f>
        <v>1</v>
      </c>
      <c r="E471" s="217" t="n">
        <f aca="false">IF(Calculator!$E$15="YES",IF(A471&lt;Calculator!$G$15,0,MIN(MIN(MOD(A471/Calculator!$F$15,1),1-MOD(A471/Calculator!$F$15,1)),ABS(MOD(A471/Calculator!$F$15,1)-0.5))),1)</f>
        <v>0.0790175438596492</v>
      </c>
      <c r="F471" s="217" t="n">
        <f aca="false">IF(Calculator!$E$16="YES",IF(A471&lt;Calculator!$G$16,0,MIN(MIN(MOD(A471/Calculator!$F$16,1),1-MOD(A471/Calculator!$F$16,1)),ABS(MOD(A471/Calculator!$F$16,1)-0.5))),1)</f>
        <v>1</v>
      </c>
      <c r="G471" s="217" t="n">
        <f aca="false">IF(Calculator!$E$17="YES",IF(A471&lt;Calculator!$G$17,0,MIN(MIN(MOD(A471/Calculator!$F$17,1),1-MOD(A471/Calculator!$F$17,1)),ABS(MOD(A471/Calculator!$F$17,1)-0.5))),1)</f>
        <v>0.112947368421053</v>
      </c>
      <c r="H471" s="217" t="n">
        <f aca="false">IF(Calculator!$E$18="YES",IF(A471&lt;Calculator!$G$18,0,MIN(MIN(MOD(A471/Calculator!$F$18,1),1-MOD(A471/Calculator!$F$18,1)),ABS(MOD(A471/Calculator!$F$18,1)-0.5))),1)</f>
        <v>1</v>
      </c>
      <c r="I471" s="217" t="n">
        <f aca="false">IF(Calculator!$E$19="YES",IF(A471&lt;Calculator!$G$19,0,MIN(MIN(MOD(A471/Calculator!$F$19,1),1-MOD(A471/Calculator!$F$19,1)),ABS(MOD(A471/Calculator!$F$19,1)-0.5))),1)</f>
        <v>1</v>
      </c>
      <c r="J471" s="217" t="n">
        <f aca="false">IF(Calculator!$E$20="YES",IF(A471&lt;Calculator!$G$20,0,MIN(MIN(MOD(A471/Calculator!$F$20,1),1-MOD(A471/Calculator!$F$20,1)),ABS(MOD(A471/Calculator!$F$20,1)-0.5))),1)</f>
        <v>1</v>
      </c>
      <c r="K471" s="217" t="n">
        <f aca="false">IF(Calculator!$E$21="YES",IF(A471&lt;Calculator!$G$21,0,MIN(MIN(MOD(A471/Calculator!$F$21,1),1-MOD(A471/Calculator!$F$21,1)),ABS(MOD(A471/Calculator!$F$21,1)-0.5))),1)</f>
        <v>0.0937543859649122</v>
      </c>
      <c r="L471" s="217" t="n">
        <f aca="false">IF(Calculator!$E$22="YES",IF(A471&lt;Calculator!$G$22,0,MIN(MIN(MOD(A471/Calculator!$F$22,1),1-MOD(A471/Calculator!$F$22,1)),ABS(MOD(A471/Calculator!$F$22,1)-0.5))),1)</f>
        <v>1</v>
      </c>
      <c r="M471" s="217" t="n">
        <f aca="false">MIN(B471:L471)</f>
        <v>0.0790175438596492</v>
      </c>
      <c r="N471" s="217" t="n">
        <f aca="false">SUMPRODUCT(($M$7:$M$557&gt;M471)*1)+SUMPRODUCT(($M$7:$M$557=M471)*(ROW($M$7:$M$557)&lt;ROW(M471)))+1</f>
        <v>172</v>
      </c>
      <c r="O471" s="217" t="str">
        <f aca="false">IF(M471&gt;=0.2,"★★★ EXCELLENT",IF(M471&gt;=0.12,"★★  GOOD",IF(M471&gt;=0.07,"★  FAIR",IF(M471&gt;=0.025,"⚠  MARGINAL","✗  AVOID"))))</f>
        <v>★  FAIR</v>
      </c>
    </row>
    <row r="472" customFormat="false" ht="15" hidden="false" customHeight="true" outlineLevel="0" collapsed="false">
      <c r="A472" s="218" t="n">
        <v>51.5</v>
      </c>
      <c r="B472" s="219" t="n">
        <f aca="false">IF(Calculator!$E$12="YES",IF(A472&lt;Calculator!$G$12,0,MIN(MIN(MOD(A472/Calculator!$F$12,1),1-MOD(A472/Calculator!$F$12,1)),ABS(MOD(A472/Calculator!$F$12,1)-0.5))),1)</f>
        <v>1</v>
      </c>
      <c r="C472" s="219" t="n">
        <f aca="false">IF(Calculator!$E$13="YES",IF(A472&lt;Calculator!$G$13,0,MIN(MIN(MOD(A472/Calculator!$F$13,1),1-MOD(A472/Calculator!$F$13,1)),ABS(MOD(A472/Calculator!$F$13,1)-0.5))),1)</f>
        <v>1</v>
      </c>
      <c r="D472" s="219" t="n">
        <f aca="false">IF(Calculator!$E$14="YES",IF(A472&lt;Calculator!$G$14,0,MIN(MIN(MOD(A472/Calculator!$F$14,1),1-MOD(A472/Calculator!$F$14,1)),ABS(MOD(A472/Calculator!$F$14,1)-0.5))),1)</f>
        <v>1</v>
      </c>
      <c r="E472" s="219" t="n">
        <f aca="false">IF(Calculator!$E$15="YES",IF(A472&lt;Calculator!$G$15,0,MIN(MIN(MOD(A472/Calculator!$F$15,1),1-MOD(A472/Calculator!$F$15,1)),ABS(MOD(A472/Calculator!$F$15,1)-0.5))),1)</f>
        <v>0.0840350877192981</v>
      </c>
      <c r="F472" s="219" t="n">
        <f aca="false">IF(Calculator!$E$16="YES",IF(A472&lt;Calculator!$G$16,0,MIN(MIN(MOD(A472/Calculator!$F$16,1),1-MOD(A472/Calculator!$F$16,1)),ABS(MOD(A472/Calculator!$F$16,1)-0.5))),1)</f>
        <v>1</v>
      </c>
      <c r="G472" s="219" t="n">
        <f aca="false">IF(Calculator!$E$17="YES",IF(A472&lt;Calculator!$G$17,0,MIN(MIN(MOD(A472/Calculator!$F$17,1),1-MOD(A472/Calculator!$F$17,1)),ABS(MOD(A472/Calculator!$F$17,1)-0.5))),1)</f>
        <v>0.122894736842106</v>
      </c>
      <c r="H472" s="219" t="n">
        <f aca="false">IF(Calculator!$E$18="YES",IF(A472&lt;Calculator!$G$18,0,MIN(MIN(MOD(A472/Calculator!$F$18,1),1-MOD(A472/Calculator!$F$18,1)),ABS(MOD(A472/Calculator!$F$18,1)-0.5))),1)</f>
        <v>1</v>
      </c>
      <c r="I472" s="219" t="n">
        <f aca="false">IF(Calculator!$E$19="YES",IF(A472&lt;Calculator!$G$19,0,MIN(MIN(MOD(A472/Calculator!$F$19,1),1-MOD(A472/Calculator!$F$19,1)),ABS(MOD(A472/Calculator!$F$19,1)-0.5))),1)</f>
        <v>1</v>
      </c>
      <c r="J472" s="219" t="n">
        <f aca="false">IF(Calculator!$E$20="YES",IF(A472&lt;Calculator!$G$20,0,MIN(MIN(MOD(A472/Calculator!$F$20,1),1-MOD(A472/Calculator!$F$20,1)),ABS(MOD(A472/Calculator!$F$20,1)-0.5))),1)</f>
        <v>1</v>
      </c>
      <c r="K472" s="219" t="n">
        <f aca="false">IF(Calculator!$E$21="YES",IF(A472&lt;Calculator!$G$21,0,MIN(MIN(MOD(A472/Calculator!$F$21,1),1-MOD(A472/Calculator!$F$21,1)),ABS(MOD(A472/Calculator!$F$21,1)-0.5))),1)</f>
        <v>0.0735087719298253</v>
      </c>
      <c r="L472" s="219" t="n">
        <f aca="false">IF(Calculator!$E$22="YES",IF(A472&lt;Calculator!$G$22,0,MIN(MIN(MOD(A472/Calculator!$F$22,1),1-MOD(A472/Calculator!$F$22,1)),ABS(MOD(A472/Calculator!$F$22,1)-0.5))),1)</f>
        <v>1</v>
      </c>
      <c r="M472" s="219" t="n">
        <f aca="false">MIN(B472:L472)</f>
        <v>0.0735087719298253</v>
      </c>
      <c r="N472" s="219" t="n">
        <f aca="false">SUMPRODUCT(($M$7:$M$557&gt;M472)*1)+SUMPRODUCT(($M$7:$M$557=M472)*(ROW($M$7:$M$557)&lt;ROW(M472)))+1</f>
        <v>193</v>
      </c>
      <c r="O472" s="219" t="str">
        <f aca="false">IF(M472&gt;=0.2,"★★★ EXCELLENT",IF(M472&gt;=0.12,"★★  GOOD",IF(M472&gt;=0.07,"★  FAIR",IF(M472&gt;=0.025,"⚠  MARGINAL","✗  AVOID"))))</f>
        <v>★  FAIR</v>
      </c>
    </row>
    <row r="473" customFormat="false" ht="15" hidden="false" customHeight="true" outlineLevel="0" collapsed="false">
      <c r="A473" s="216" t="n">
        <v>51.6</v>
      </c>
      <c r="B473" s="217" t="n">
        <f aca="false">IF(Calculator!$E$12="YES",IF(A473&lt;Calculator!$G$12,0,MIN(MIN(MOD(A473/Calculator!$F$12,1),1-MOD(A473/Calculator!$F$12,1)),ABS(MOD(A473/Calculator!$F$12,1)-0.5))),1)</f>
        <v>1</v>
      </c>
      <c r="C473" s="217" t="n">
        <f aca="false">IF(Calculator!$E$13="YES",IF(A473&lt;Calculator!$G$13,0,MIN(MIN(MOD(A473/Calculator!$F$13,1),1-MOD(A473/Calculator!$F$13,1)),ABS(MOD(A473/Calculator!$F$13,1)-0.5))),1)</f>
        <v>1</v>
      </c>
      <c r="D473" s="217" t="n">
        <f aca="false">IF(Calculator!$E$14="YES",IF(A473&lt;Calculator!$G$14,0,MIN(MIN(MOD(A473/Calculator!$F$14,1),1-MOD(A473/Calculator!$F$14,1)),ABS(MOD(A473/Calculator!$F$14,1)-0.5))),1)</f>
        <v>1</v>
      </c>
      <c r="E473" s="217" t="n">
        <f aca="false">IF(Calculator!$E$15="YES",IF(A473&lt;Calculator!$G$15,0,MIN(MIN(MOD(A473/Calculator!$F$15,1),1-MOD(A473/Calculator!$F$15,1)),ABS(MOD(A473/Calculator!$F$15,1)-0.5))),1)</f>
        <v>0.0890526315789475</v>
      </c>
      <c r="F473" s="217" t="n">
        <f aca="false">IF(Calculator!$E$16="YES",IF(A473&lt;Calculator!$G$16,0,MIN(MIN(MOD(A473/Calculator!$F$16,1),1-MOD(A473/Calculator!$F$16,1)),ABS(MOD(A473/Calculator!$F$16,1)-0.5))),1)</f>
        <v>1</v>
      </c>
      <c r="G473" s="217" t="n">
        <f aca="false">IF(Calculator!$E$17="YES",IF(A473&lt;Calculator!$G$17,0,MIN(MIN(MOD(A473/Calculator!$F$17,1),1-MOD(A473/Calculator!$F$17,1)),ABS(MOD(A473/Calculator!$F$17,1)-0.5))),1)</f>
        <v>0.132842105263158</v>
      </c>
      <c r="H473" s="217" t="n">
        <f aca="false">IF(Calculator!$E$18="YES",IF(A473&lt;Calculator!$G$18,0,MIN(MIN(MOD(A473/Calculator!$F$18,1),1-MOD(A473/Calculator!$F$18,1)),ABS(MOD(A473/Calculator!$F$18,1)-0.5))),1)</f>
        <v>1</v>
      </c>
      <c r="I473" s="217" t="n">
        <f aca="false">IF(Calculator!$E$19="YES",IF(A473&lt;Calculator!$G$19,0,MIN(MIN(MOD(A473/Calculator!$F$19,1),1-MOD(A473/Calculator!$F$19,1)),ABS(MOD(A473/Calculator!$F$19,1)-0.5))),1)</f>
        <v>1</v>
      </c>
      <c r="J473" s="217" t="n">
        <f aca="false">IF(Calculator!$E$20="YES",IF(A473&lt;Calculator!$G$20,0,MIN(MIN(MOD(A473/Calculator!$F$20,1),1-MOD(A473/Calculator!$F$20,1)),ABS(MOD(A473/Calculator!$F$20,1)-0.5))),1)</f>
        <v>1</v>
      </c>
      <c r="K473" s="217" t="n">
        <f aca="false">IF(Calculator!$E$21="YES",IF(A473&lt;Calculator!$G$21,0,MIN(MIN(MOD(A473/Calculator!$F$21,1),1-MOD(A473/Calculator!$F$21,1)),ABS(MOD(A473/Calculator!$F$21,1)-0.5))),1)</f>
        <v>0.0532631578947367</v>
      </c>
      <c r="L473" s="217" t="n">
        <f aca="false">IF(Calculator!$E$22="YES",IF(A473&lt;Calculator!$G$22,0,MIN(MIN(MOD(A473/Calculator!$F$22,1),1-MOD(A473/Calculator!$F$22,1)),ABS(MOD(A473/Calculator!$F$22,1)-0.5))),1)</f>
        <v>1</v>
      </c>
      <c r="M473" s="217" t="n">
        <f aca="false">MIN(B473:L473)</f>
        <v>0.0532631578947367</v>
      </c>
      <c r="N473" s="217" t="n">
        <f aca="false">SUMPRODUCT(($M$7:$M$557&gt;M473)*1)+SUMPRODUCT(($M$7:$M$557=M473)*(ROW($M$7:$M$557)&lt;ROW(M473)))+1</f>
        <v>271</v>
      </c>
      <c r="O473" s="217" t="str">
        <f aca="false">IF(M473&gt;=0.2,"★★★ EXCELLENT",IF(M473&gt;=0.12,"★★  GOOD",IF(M473&gt;=0.07,"★  FAIR",IF(M473&gt;=0.025,"⚠  MARGINAL","✗  AVOID"))))</f>
        <v>⚠  MARGINAL</v>
      </c>
    </row>
    <row r="474" customFormat="false" ht="15" hidden="false" customHeight="true" outlineLevel="0" collapsed="false">
      <c r="A474" s="218" t="n">
        <v>51.7</v>
      </c>
      <c r="B474" s="219" t="n">
        <f aca="false">IF(Calculator!$E$12="YES",IF(A474&lt;Calculator!$G$12,0,MIN(MIN(MOD(A474/Calculator!$F$12,1),1-MOD(A474/Calculator!$F$12,1)),ABS(MOD(A474/Calculator!$F$12,1)-0.5))),1)</f>
        <v>1</v>
      </c>
      <c r="C474" s="219" t="n">
        <f aca="false">IF(Calculator!$E$13="YES",IF(A474&lt;Calculator!$G$13,0,MIN(MIN(MOD(A474/Calculator!$F$13,1),1-MOD(A474/Calculator!$F$13,1)),ABS(MOD(A474/Calculator!$F$13,1)-0.5))),1)</f>
        <v>1</v>
      </c>
      <c r="D474" s="219" t="n">
        <f aca="false">IF(Calculator!$E$14="YES",IF(A474&lt;Calculator!$G$14,0,MIN(MIN(MOD(A474/Calculator!$F$14,1),1-MOD(A474/Calculator!$F$14,1)),ABS(MOD(A474/Calculator!$F$14,1)-0.5))),1)</f>
        <v>1</v>
      </c>
      <c r="E474" s="219" t="n">
        <f aca="false">IF(Calculator!$E$15="YES",IF(A474&lt;Calculator!$G$15,0,MIN(MIN(MOD(A474/Calculator!$F$15,1),1-MOD(A474/Calculator!$F$15,1)),ABS(MOD(A474/Calculator!$F$15,1)-0.5))),1)</f>
        <v>0.0940701754385969</v>
      </c>
      <c r="F474" s="219" t="n">
        <f aca="false">IF(Calculator!$E$16="YES",IF(A474&lt;Calculator!$G$16,0,MIN(MIN(MOD(A474/Calculator!$F$16,1),1-MOD(A474/Calculator!$F$16,1)),ABS(MOD(A474/Calculator!$F$16,1)-0.5))),1)</f>
        <v>1</v>
      </c>
      <c r="G474" s="219" t="n">
        <f aca="false">IF(Calculator!$E$17="YES",IF(A474&lt;Calculator!$G$17,0,MIN(MIN(MOD(A474/Calculator!$F$17,1),1-MOD(A474/Calculator!$F$17,1)),ABS(MOD(A474/Calculator!$F$17,1)-0.5))),1)</f>
        <v>0.142789473684211</v>
      </c>
      <c r="H474" s="219" t="n">
        <f aca="false">IF(Calculator!$E$18="YES",IF(A474&lt;Calculator!$G$18,0,MIN(MIN(MOD(A474/Calculator!$F$18,1),1-MOD(A474/Calculator!$F$18,1)),ABS(MOD(A474/Calculator!$F$18,1)-0.5))),1)</f>
        <v>1</v>
      </c>
      <c r="I474" s="219" t="n">
        <f aca="false">IF(Calculator!$E$19="YES",IF(A474&lt;Calculator!$G$19,0,MIN(MIN(MOD(A474/Calculator!$F$19,1),1-MOD(A474/Calculator!$F$19,1)),ABS(MOD(A474/Calculator!$F$19,1)-0.5))),1)</f>
        <v>1</v>
      </c>
      <c r="J474" s="219" t="n">
        <f aca="false">IF(Calculator!$E$20="YES",IF(A474&lt;Calculator!$G$20,0,MIN(MIN(MOD(A474/Calculator!$F$20,1),1-MOD(A474/Calculator!$F$20,1)),ABS(MOD(A474/Calculator!$F$20,1)-0.5))),1)</f>
        <v>1</v>
      </c>
      <c r="K474" s="219" t="n">
        <f aca="false">IF(Calculator!$E$21="YES",IF(A474&lt;Calculator!$G$21,0,MIN(MIN(MOD(A474/Calculator!$F$21,1),1-MOD(A474/Calculator!$F$21,1)),ABS(MOD(A474/Calculator!$F$21,1)-0.5))),1)</f>
        <v>0.0330175438596481</v>
      </c>
      <c r="L474" s="219" t="n">
        <f aca="false">IF(Calculator!$E$22="YES",IF(A474&lt;Calculator!$G$22,0,MIN(MIN(MOD(A474/Calculator!$F$22,1),1-MOD(A474/Calculator!$F$22,1)),ABS(MOD(A474/Calculator!$F$22,1)-0.5))),1)</f>
        <v>1</v>
      </c>
      <c r="M474" s="219" t="n">
        <f aca="false">MIN(B474:L474)</f>
        <v>0.0330175438596481</v>
      </c>
      <c r="N474" s="219" t="n">
        <f aca="false">SUMPRODUCT(($M$7:$M$557&gt;M474)*1)+SUMPRODUCT(($M$7:$M$557=M474)*(ROW($M$7:$M$557)&lt;ROW(M474)))+1</f>
        <v>353</v>
      </c>
      <c r="O474" s="219" t="str">
        <f aca="false">IF(M474&gt;=0.2,"★★★ EXCELLENT",IF(M474&gt;=0.12,"★★  GOOD",IF(M474&gt;=0.07,"★  FAIR",IF(M474&gt;=0.025,"⚠  MARGINAL","✗  AVOID"))))</f>
        <v>⚠  MARGINAL</v>
      </c>
    </row>
    <row r="475" customFormat="false" ht="15" hidden="false" customHeight="true" outlineLevel="0" collapsed="false">
      <c r="A475" s="216" t="n">
        <v>51.8</v>
      </c>
      <c r="B475" s="217" t="n">
        <f aca="false">IF(Calculator!$E$12="YES",IF(A475&lt;Calculator!$G$12,0,MIN(MIN(MOD(A475/Calculator!$F$12,1),1-MOD(A475/Calculator!$F$12,1)),ABS(MOD(A475/Calculator!$F$12,1)-0.5))),1)</f>
        <v>1</v>
      </c>
      <c r="C475" s="217" t="n">
        <f aca="false">IF(Calculator!$E$13="YES",IF(A475&lt;Calculator!$G$13,0,MIN(MIN(MOD(A475/Calculator!$F$13,1),1-MOD(A475/Calculator!$F$13,1)),ABS(MOD(A475/Calculator!$F$13,1)-0.5))),1)</f>
        <v>1</v>
      </c>
      <c r="D475" s="217" t="n">
        <f aca="false">IF(Calculator!$E$14="YES",IF(A475&lt;Calculator!$G$14,0,MIN(MIN(MOD(A475/Calculator!$F$14,1),1-MOD(A475/Calculator!$F$14,1)),ABS(MOD(A475/Calculator!$F$14,1)-0.5))),1)</f>
        <v>1</v>
      </c>
      <c r="E475" s="217" t="n">
        <f aca="false">IF(Calculator!$E$15="YES",IF(A475&lt;Calculator!$G$15,0,MIN(MIN(MOD(A475/Calculator!$F$15,1),1-MOD(A475/Calculator!$F$15,1)),ABS(MOD(A475/Calculator!$F$15,1)-0.5))),1)</f>
        <v>0.0990877192982453</v>
      </c>
      <c r="F475" s="217" t="n">
        <f aca="false">IF(Calculator!$E$16="YES",IF(A475&lt;Calculator!$G$16,0,MIN(MIN(MOD(A475/Calculator!$F$16,1),1-MOD(A475/Calculator!$F$16,1)),ABS(MOD(A475/Calculator!$F$16,1)-0.5))),1)</f>
        <v>1</v>
      </c>
      <c r="G475" s="217" t="n">
        <f aca="false">IF(Calculator!$E$17="YES",IF(A475&lt;Calculator!$G$17,0,MIN(MIN(MOD(A475/Calculator!$F$17,1),1-MOD(A475/Calculator!$F$17,1)),ABS(MOD(A475/Calculator!$F$17,1)-0.5))),1)</f>
        <v>0.152736842105263</v>
      </c>
      <c r="H475" s="217" t="n">
        <f aca="false">IF(Calculator!$E$18="YES",IF(A475&lt;Calculator!$G$18,0,MIN(MIN(MOD(A475/Calculator!$F$18,1),1-MOD(A475/Calculator!$F$18,1)),ABS(MOD(A475/Calculator!$F$18,1)-0.5))),1)</f>
        <v>1</v>
      </c>
      <c r="I475" s="217" t="n">
        <f aca="false">IF(Calculator!$E$19="YES",IF(A475&lt;Calculator!$G$19,0,MIN(MIN(MOD(A475/Calculator!$F$19,1),1-MOD(A475/Calculator!$F$19,1)),ABS(MOD(A475/Calculator!$F$19,1)-0.5))),1)</f>
        <v>1</v>
      </c>
      <c r="J475" s="217" t="n">
        <f aca="false">IF(Calculator!$E$20="YES",IF(A475&lt;Calculator!$G$20,0,MIN(MIN(MOD(A475/Calculator!$F$20,1),1-MOD(A475/Calculator!$F$20,1)),ABS(MOD(A475/Calculator!$F$20,1)-0.5))),1)</f>
        <v>1</v>
      </c>
      <c r="K475" s="217" t="n">
        <f aca="false">IF(Calculator!$E$21="YES",IF(A475&lt;Calculator!$G$21,0,MIN(MIN(MOD(A475/Calculator!$F$21,1),1-MOD(A475/Calculator!$F$21,1)),ABS(MOD(A475/Calculator!$F$21,1)-0.5))),1)</f>
        <v>0.012771929824563</v>
      </c>
      <c r="L475" s="217" t="n">
        <f aca="false">IF(Calculator!$E$22="YES",IF(A475&lt;Calculator!$G$22,0,MIN(MIN(MOD(A475/Calculator!$F$22,1),1-MOD(A475/Calculator!$F$22,1)),ABS(MOD(A475/Calculator!$F$22,1)-0.5))),1)</f>
        <v>1</v>
      </c>
      <c r="M475" s="217" t="n">
        <f aca="false">MIN(B475:L475)</f>
        <v>0.012771929824563</v>
      </c>
      <c r="N475" s="217" t="n">
        <f aca="false">SUMPRODUCT(($M$7:$M$557&gt;M475)*1)+SUMPRODUCT(($M$7:$M$557=M475)*(ROW($M$7:$M$557)&lt;ROW(M475)))+1</f>
        <v>432</v>
      </c>
      <c r="O475" s="217" t="str">
        <f aca="false">IF(M475&gt;=0.2,"★★★ EXCELLENT",IF(M475&gt;=0.12,"★★  GOOD",IF(M475&gt;=0.07,"★  FAIR",IF(M475&gt;=0.025,"⚠  MARGINAL","✗  AVOID"))))</f>
        <v>✗  AVOID</v>
      </c>
    </row>
    <row r="476" customFormat="false" ht="15" hidden="false" customHeight="true" outlineLevel="0" collapsed="false">
      <c r="A476" s="218" t="n">
        <v>51.9</v>
      </c>
      <c r="B476" s="219" t="n">
        <f aca="false">IF(Calculator!$E$12="YES",IF(A476&lt;Calculator!$G$12,0,MIN(MIN(MOD(A476/Calculator!$F$12,1),1-MOD(A476/Calculator!$F$12,1)),ABS(MOD(A476/Calculator!$F$12,1)-0.5))),1)</f>
        <v>1</v>
      </c>
      <c r="C476" s="219" t="n">
        <f aca="false">IF(Calculator!$E$13="YES",IF(A476&lt;Calculator!$G$13,0,MIN(MIN(MOD(A476/Calculator!$F$13,1),1-MOD(A476/Calculator!$F$13,1)),ABS(MOD(A476/Calculator!$F$13,1)-0.5))),1)</f>
        <v>1</v>
      </c>
      <c r="D476" s="219" t="n">
        <f aca="false">IF(Calculator!$E$14="YES",IF(A476&lt;Calculator!$G$14,0,MIN(MIN(MOD(A476/Calculator!$F$14,1),1-MOD(A476/Calculator!$F$14,1)),ABS(MOD(A476/Calculator!$F$14,1)-0.5))),1)</f>
        <v>1</v>
      </c>
      <c r="E476" s="219" t="n">
        <f aca="false">IF(Calculator!$E$15="YES",IF(A476&lt;Calculator!$G$15,0,MIN(MIN(MOD(A476/Calculator!$F$15,1),1-MOD(A476/Calculator!$F$15,1)),ABS(MOD(A476/Calculator!$F$15,1)-0.5))),1)</f>
        <v>0.104105263157895</v>
      </c>
      <c r="F476" s="219" t="n">
        <f aca="false">IF(Calculator!$E$16="YES",IF(A476&lt;Calculator!$G$16,0,MIN(MIN(MOD(A476/Calculator!$F$16,1),1-MOD(A476/Calculator!$F$16,1)),ABS(MOD(A476/Calculator!$F$16,1)-0.5))),1)</f>
        <v>1</v>
      </c>
      <c r="G476" s="219" t="n">
        <f aca="false">IF(Calculator!$E$17="YES",IF(A476&lt;Calculator!$G$17,0,MIN(MIN(MOD(A476/Calculator!$F$17,1),1-MOD(A476/Calculator!$F$17,1)),ABS(MOD(A476/Calculator!$F$17,1)-0.5))),1)</f>
        <v>0.162684210526316</v>
      </c>
      <c r="H476" s="219" t="n">
        <f aca="false">IF(Calculator!$E$18="YES",IF(A476&lt;Calculator!$G$18,0,MIN(MIN(MOD(A476/Calculator!$F$18,1),1-MOD(A476/Calculator!$F$18,1)),ABS(MOD(A476/Calculator!$F$18,1)-0.5))),1)</f>
        <v>1</v>
      </c>
      <c r="I476" s="219" t="n">
        <f aca="false">IF(Calculator!$E$19="YES",IF(A476&lt;Calculator!$G$19,0,MIN(MIN(MOD(A476/Calculator!$F$19,1),1-MOD(A476/Calculator!$F$19,1)),ABS(MOD(A476/Calculator!$F$19,1)-0.5))),1)</f>
        <v>1</v>
      </c>
      <c r="J476" s="219" t="n">
        <f aca="false">IF(Calculator!$E$20="YES",IF(A476&lt;Calculator!$G$20,0,MIN(MIN(MOD(A476/Calculator!$F$20,1),1-MOD(A476/Calculator!$F$20,1)),ABS(MOD(A476/Calculator!$F$20,1)-0.5))),1)</f>
        <v>1</v>
      </c>
      <c r="K476" s="219" t="n">
        <f aca="false">IF(Calculator!$E$21="YES",IF(A476&lt;Calculator!$G$21,0,MIN(MIN(MOD(A476/Calculator!$F$21,1),1-MOD(A476/Calculator!$F$21,1)),ABS(MOD(A476/Calculator!$F$21,1)-0.5))),1)</f>
        <v>0.00747368421052563</v>
      </c>
      <c r="L476" s="219" t="n">
        <f aca="false">IF(Calculator!$E$22="YES",IF(A476&lt;Calculator!$G$22,0,MIN(MIN(MOD(A476/Calculator!$F$22,1),1-MOD(A476/Calculator!$F$22,1)),ABS(MOD(A476/Calculator!$F$22,1)-0.5))),1)</f>
        <v>1</v>
      </c>
      <c r="M476" s="219" t="n">
        <f aca="false">MIN(B476:L476)</f>
        <v>0.00747368421052563</v>
      </c>
      <c r="N476" s="219" t="n">
        <f aca="false">SUMPRODUCT(($M$7:$M$557&gt;M476)*1)+SUMPRODUCT(($M$7:$M$557=M476)*(ROW($M$7:$M$557)&lt;ROW(M476)))+1</f>
        <v>456</v>
      </c>
      <c r="O476" s="219" t="str">
        <f aca="false">IF(M476&gt;=0.2,"★★★ EXCELLENT",IF(M476&gt;=0.12,"★★  GOOD",IF(M476&gt;=0.07,"★  FAIR",IF(M476&gt;=0.025,"⚠  MARGINAL","✗  AVOID"))))</f>
        <v>✗  AVOID</v>
      </c>
    </row>
    <row r="477" customFormat="false" ht="15" hidden="false" customHeight="true" outlineLevel="0" collapsed="false">
      <c r="A477" s="216" t="n">
        <v>52</v>
      </c>
      <c r="B477" s="217" t="n">
        <f aca="false">IF(Calculator!$E$12="YES",IF(A477&lt;Calculator!$G$12,0,MIN(MIN(MOD(A477/Calculator!$F$12,1),1-MOD(A477/Calculator!$F$12,1)),ABS(MOD(A477/Calculator!$F$12,1)-0.5))),1)</f>
        <v>1</v>
      </c>
      <c r="C477" s="217" t="n">
        <f aca="false">IF(Calculator!$E$13="YES",IF(A477&lt;Calculator!$G$13,0,MIN(MIN(MOD(A477/Calculator!$F$13,1),1-MOD(A477/Calculator!$F$13,1)),ABS(MOD(A477/Calculator!$F$13,1)-0.5))),1)</f>
        <v>1</v>
      </c>
      <c r="D477" s="217" t="n">
        <f aca="false">IF(Calculator!$E$14="YES",IF(A477&lt;Calculator!$G$14,0,MIN(MIN(MOD(A477/Calculator!$F$14,1),1-MOD(A477/Calculator!$F$14,1)),ABS(MOD(A477/Calculator!$F$14,1)-0.5))),1)</f>
        <v>1</v>
      </c>
      <c r="E477" s="217" t="n">
        <f aca="false">IF(Calculator!$E$15="YES",IF(A477&lt;Calculator!$G$15,0,MIN(MIN(MOD(A477/Calculator!$F$15,1),1-MOD(A477/Calculator!$F$15,1)),ABS(MOD(A477/Calculator!$F$15,1)-0.5))),1)</f>
        <v>0.109122807017544</v>
      </c>
      <c r="F477" s="217" t="n">
        <f aca="false">IF(Calculator!$E$16="YES",IF(A477&lt;Calculator!$G$16,0,MIN(MIN(MOD(A477/Calculator!$F$16,1),1-MOD(A477/Calculator!$F$16,1)),ABS(MOD(A477/Calculator!$F$16,1)-0.5))),1)</f>
        <v>1</v>
      </c>
      <c r="G477" s="217" t="n">
        <f aca="false">IF(Calculator!$E$17="YES",IF(A477&lt;Calculator!$G$17,0,MIN(MIN(MOD(A477/Calculator!$F$17,1),1-MOD(A477/Calculator!$F$17,1)),ABS(MOD(A477/Calculator!$F$17,1)-0.5))),1)</f>
        <v>0.172631578947369</v>
      </c>
      <c r="H477" s="217" t="n">
        <f aca="false">IF(Calculator!$E$18="YES",IF(A477&lt;Calculator!$G$18,0,MIN(MIN(MOD(A477/Calculator!$F$18,1),1-MOD(A477/Calculator!$F$18,1)),ABS(MOD(A477/Calculator!$F$18,1)-0.5))),1)</f>
        <v>1</v>
      </c>
      <c r="I477" s="217" t="n">
        <f aca="false">IF(Calculator!$E$19="YES",IF(A477&lt;Calculator!$G$19,0,MIN(MIN(MOD(A477/Calculator!$F$19,1),1-MOD(A477/Calculator!$F$19,1)),ABS(MOD(A477/Calculator!$F$19,1)-0.5))),1)</f>
        <v>1</v>
      </c>
      <c r="J477" s="217" t="n">
        <f aca="false">IF(Calculator!$E$20="YES",IF(A477&lt;Calculator!$G$20,0,MIN(MIN(MOD(A477/Calculator!$F$20,1),1-MOD(A477/Calculator!$F$20,1)),ABS(MOD(A477/Calculator!$F$20,1)-0.5))),1)</f>
        <v>1</v>
      </c>
      <c r="K477" s="217" t="n">
        <f aca="false">IF(Calculator!$E$21="YES",IF(A477&lt;Calculator!$G$21,0,MIN(MIN(MOD(A477/Calculator!$F$21,1),1-MOD(A477/Calculator!$F$21,1)),ABS(MOD(A477/Calculator!$F$21,1)-0.5))),1)</f>
        <v>0.0277192982456143</v>
      </c>
      <c r="L477" s="217" t="n">
        <f aca="false">IF(Calculator!$E$22="YES",IF(A477&lt;Calculator!$G$22,0,MIN(MIN(MOD(A477/Calculator!$F$22,1),1-MOD(A477/Calculator!$F$22,1)),ABS(MOD(A477/Calculator!$F$22,1)-0.5))),1)</f>
        <v>1</v>
      </c>
      <c r="M477" s="217" t="n">
        <f aca="false">MIN(B477:L477)</f>
        <v>0.0277192982456143</v>
      </c>
      <c r="N477" s="217" t="n">
        <f aca="false">SUMPRODUCT(($M$7:$M$557&gt;M477)*1)+SUMPRODUCT(($M$7:$M$557=M477)*(ROW($M$7:$M$557)&lt;ROW(M477)))+1</f>
        <v>373</v>
      </c>
      <c r="O477" s="217" t="str">
        <f aca="false">IF(M477&gt;=0.2,"★★★ EXCELLENT",IF(M477&gt;=0.12,"★★  GOOD",IF(M477&gt;=0.07,"★  FAIR",IF(M477&gt;=0.025,"⚠  MARGINAL","✗  AVOID"))))</f>
        <v>⚠  MARGINAL</v>
      </c>
    </row>
    <row r="478" customFormat="false" ht="15" hidden="false" customHeight="true" outlineLevel="0" collapsed="false">
      <c r="A478" s="218" t="n">
        <v>52.1</v>
      </c>
      <c r="B478" s="219" t="n">
        <f aca="false">IF(Calculator!$E$12="YES",IF(A478&lt;Calculator!$G$12,0,MIN(MIN(MOD(A478/Calculator!$F$12,1),1-MOD(A478/Calculator!$F$12,1)),ABS(MOD(A478/Calculator!$F$12,1)-0.5))),1)</f>
        <v>1</v>
      </c>
      <c r="C478" s="219" t="n">
        <f aca="false">IF(Calculator!$E$13="YES",IF(A478&lt;Calculator!$G$13,0,MIN(MIN(MOD(A478/Calculator!$F$13,1),1-MOD(A478/Calculator!$F$13,1)),ABS(MOD(A478/Calculator!$F$13,1)-0.5))),1)</f>
        <v>1</v>
      </c>
      <c r="D478" s="219" t="n">
        <f aca="false">IF(Calculator!$E$14="YES",IF(A478&lt;Calculator!$G$14,0,MIN(MIN(MOD(A478/Calculator!$F$14,1),1-MOD(A478/Calculator!$F$14,1)),ABS(MOD(A478/Calculator!$F$14,1)-0.5))),1)</f>
        <v>1</v>
      </c>
      <c r="E478" s="219" t="n">
        <f aca="false">IF(Calculator!$E$15="YES",IF(A478&lt;Calculator!$G$15,0,MIN(MIN(MOD(A478/Calculator!$F$15,1),1-MOD(A478/Calculator!$F$15,1)),ABS(MOD(A478/Calculator!$F$15,1)-0.5))),1)</f>
        <v>0.114140350877193</v>
      </c>
      <c r="F478" s="219" t="n">
        <f aca="false">IF(Calculator!$E$16="YES",IF(A478&lt;Calculator!$G$16,0,MIN(MIN(MOD(A478/Calculator!$F$16,1),1-MOD(A478/Calculator!$F$16,1)),ABS(MOD(A478/Calculator!$F$16,1)-0.5))),1)</f>
        <v>1</v>
      </c>
      <c r="G478" s="219" t="n">
        <f aca="false">IF(Calculator!$E$17="YES",IF(A478&lt;Calculator!$G$17,0,MIN(MIN(MOD(A478/Calculator!$F$17,1),1-MOD(A478/Calculator!$F$17,1)),ABS(MOD(A478/Calculator!$F$17,1)-0.5))),1)</f>
        <v>0.182578947368421</v>
      </c>
      <c r="H478" s="219" t="n">
        <f aca="false">IF(Calculator!$E$18="YES",IF(A478&lt;Calculator!$G$18,0,MIN(MIN(MOD(A478/Calculator!$F$18,1),1-MOD(A478/Calculator!$F$18,1)),ABS(MOD(A478/Calculator!$F$18,1)-0.5))),1)</f>
        <v>1</v>
      </c>
      <c r="I478" s="219" t="n">
        <f aca="false">IF(Calculator!$E$19="YES",IF(A478&lt;Calculator!$G$19,0,MIN(MIN(MOD(A478/Calculator!$F$19,1),1-MOD(A478/Calculator!$F$19,1)),ABS(MOD(A478/Calculator!$F$19,1)-0.5))),1)</f>
        <v>1</v>
      </c>
      <c r="J478" s="219" t="n">
        <f aca="false">IF(Calculator!$E$20="YES",IF(A478&lt;Calculator!$G$20,0,MIN(MIN(MOD(A478/Calculator!$F$20,1),1-MOD(A478/Calculator!$F$20,1)),ABS(MOD(A478/Calculator!$F$20,1)-0.5))),1)</f>
        <v>1</v>
      </c>
      <c r="K478" s="219" t="n">
        <f aca="false">IF(Calculator!$E$21="YES",IF(A478&lt;Calculator!$G$21,0,MIN(MIN(MOD(A478/Calculator!$F$21,1),1-MOD(A478/Calculator!$F$21,1)),ABS(MOD(A478/Calculator!$F$21,1)-0.5))),1)</f>
        <v>0.0479649122807011</v>
      </c>
      <c r="L478" s="219" t="n">
        <f aca="false">IF(Calculator!$E$22="YES",IF(A478&lt;Calculator!$G$22,0,MIN(MIN(MOD(A478/Calculator!$F$22,1),1-MOD(A478/Calculator!$F$22,1)),ABS(MOD(A478/Calculator!$F$22,1)-0.5))),1)</f>
        <v>1</v>
      </c>
      <c r="M478" s="219" t="n">
        <f aca="false">MIN(B478:L478)</f>
        <v>0.0479649122807011</v>
      </c>
      <c r="N478" s="219" t="n">
        <f aca="false">SUMPRODUCT(($M$7:$M$557&gt;M478)*1)+SUMPRODUCT(($M$7:$M$557=M478)*(ROW($M$7:$M$557)&lt;ROW(M478)))+1</f>
        <v>293</v>
      </c>
      <c r="O478" s="219" t="str">
        <f aca="false">IF(M478&gt;=0.2,"★★★ EXCELLENT",IF(M478&gt;=0.12,"★★  GOOD",IF(M478&gt;=0.07,"★  FAIR",IF(M478&gt;=0.025,"⚠  MARGINAL","✗  AVOID"))))</f>
        <v>⚠  MARGINAL</v>
      </c>
    </row>
    <row r="479" customFormat="false" ht="15" hidden="false" customHeight="true" outlineLevel="0" collapsed="false">
      <c r="A479" s="216" t="n">
        <v>52.2</v>
      </c>
      <c r="B479" s="217" t="n">
        <f aca="false">IF(Calculator!$E$12="YES",IF(A479&lt;Calculator!$G$12,0,MIN(MIN(MOD(A479/Calculator!$F$12,1),1-MOD(A479/Calculator!$F$12,1)),ABS(MOD(A479/Calculator!$F$12,1)-0.5))),1)</f>
        <v>1</v>
      </c>
      <c r="C479" s="217" t="n">
        <f aca="false">IF(Calculator!$E$13="YES",IF(A479&lt;Calculator!$G$13,0,MIN(MIN(MOD(A479/Calculator!$F$13,1),1-MOD(A479/Calculator!$F$13,1)),ABS(MOD(A479/Calculator!$F$13,1)-0.5))),1)</f>
        <v>1</v>
      </c>
      <c r="D479" s="217" t="n">
        <f aca="false">IF(Calculator!$E$14="YES",IF(A479&lt;Calculator!$G$14,0,MIN(MIN(MOD(A479/Calculator!$F$14,1),1-MOD(A479/Calculator!$F$14,1)),ABS(MOD(A479/Calculator!$F$14,1)-0.5))),1)</f>
        <v>1</v>
      </c>
      <c r="E479" s="217" t="n">
        <f aca="false">IF(Calculator!$E$15="YES",IF(A479&lt;Calculator!$G$15,0,MIN(MIN(MOD(A479/Calculator!$F$15,1),1-MOD(A479/Calculator!$F$15,1)),ABS(MOD(A479/Calculator!$F$15,1)-0.5))),1)</f>
        <v>0.119157894736842</v>
      </c>
      <c r="F479" s="217" t="n">
        <f aca="false">IF(Calculator!$E$16="YES",IF(A479&lt;Calculator!$G$16,0,MIN(MIN(MOD(A479/Calculator!$F$16,1),1-MOD(A479/Calculator!$F$16,1)),ABS(MOD(A479/Calculator!$F$16,1)-0.5))),1)</f>
        <v>1</v>
      </c>
      <c r="G479" s="217" t="n">
        <f aca="false">IF(Calculator!$E$17="YES",IF(A479&lt;Calculator!$G$17,0,MIN(MIN(MOD(A479/Calculator!$F$17,1),1-MOD(A479/Calculator!$F$17,1)),ABS(MOD(A479/Calculator!$F$17,1)-0.5))),1)</f>
        <v>0.192526315789475</v>
      </c>
      <c r="H479" s="217" t="n">
        <f aca="false">IF(Calculator!$E$18="YES",IF(A479&lt;Calculator!$G$18,0,MIN(MIN(MOD(A479/Calculator!$F$18,1),1-MOD(A479/Calculator!$F$18,1)),ABS(MOD(A479/Calculator!$F$18,1)-0.5))),1)</f>
        <v>1</v>
      </c>
      <c r="I479" s="217" t="n">
        <f aca="false">IF(Calculator!$E$19="YES",IF(A479&lt;Calculator!$G$19,0,MIN(MIN(MOD(A479/Calculator!$F$19,1),1-MOD(A479/Calculator!$F$19,1)),ABS(MOD(A479/Calculator!$F$19,1)-0.5))),1)</f>
        <v>1</v>
      </c>
      <c r="J479" s="217" t="n">
        <f aca="false">IF(Calculator!$E$20="YES",IF(A479&lt;Calculator!$G$20,0,MIN(MIN(MOD(A479/Calculator!$F$20,1),1-MOD(A479/Calculator!$F$20,1)),ABS(MOD(A479/Calculator!$F$20,1)-0.5))),1)</f>
        <v>1</v>
      </c>
      <c r="K479" s="217" t="n">
        <f aca="false">IF(Calculator!$E$21="YES",IF(A479&lt;Calculator!$G$21,0,MIN(MIN(MOD(A479/Calculator!$F$21,1),1-MOD(A479/Calculator!$F$21,1)),ABS(MOD(A479/Calculator!$F$21,1)-0.5))),1)</f>
        <v>0.0682105263157897</v>
      </c>
      <c r="L479" s="217" t="n">
        <f aca="false">IF(Calculator!$E$22="YES",IF(A479&lt;Calculator!$G$22,0,MIN(MIN(MOD(A479/Calculator!$F$22,1),1-MOD(A479/Calculator!$F$22,1)),ABS(MOD(A479/Calculator!$F$22,1)-0.5))),1)</f>
        <v>1</v>
      </c>
      <c r="M479" s="217" t="n">
        <f aca="false">MIN(B479:L479)</f>
        <v>0.0682105263157897</v>
      </c>
      <c r="N479" s="217" t="n">
        <f aca="false">SUMPRODUCT(($M$7:$M$557&gt;M479)*1)+SUMPRODUCT(($M$7:$M$557=M479)*(ROW($M$7:$M$557)&lt;ROW(M479)))+1</f>
        <v>213</v>
      </c>
      <c r="O479" s="217" t="str">
        <f aca="false">IF(M479&gt;=0.2,"★★★ EXCELLENT",IF(M479&gt;=0.12,"★★  GOOD",IF(M479&gt;=0.07,"★  FAIR",IF(M479&gt;=0.025,"⚠  MARGINAL","✗  AVOID"))))</f>
        <v>⚠  MARGINAL</v>
      </c>
    </row>
    <row r="480" customFormat="false" ht="15" hidden="false" customHeight="true" outlineLevel="0" collapsed="false">
      <c r="A480" s="218" t="n">
        <v>52.3</v>
      </c>
      <c r="B480" s="219" t="n">
        <f aca="false">IF(Calculator!$E$12="YES",IF(A480&lt;Calculator!$G$12,0,MIN(MIN(MOD(A480/Calculator!$F$12,1),1-MOD(A480/Calculator!$F$12,1)),ABS(MOD(A480/Calculator!$F$12,1)-0.5))),1)</f>
        <v>1</v>
      </c>
      <c r="C480" s="219" t="n">
        <f aca="false">IF(Calculator!$E$13="YES",IF(A480&lt;Calculator!$G$13,0,MIN(MIN(MOD(A480/Calculator!$F$13,1),1-MOD(A480/Calculator!$F$13,1)),ABS(MOD(A480/Calculator!$F$13,1)-0.5))),1)</f>
        <v>1</v>
      </c>
      <c r="D480" s="219" t="n">
        <f aca="false">IF(Calculator!$E$14="YES",IF(A480&lt;Calculator!$G$14,0,MIN(MIN(MOD(A480/Calculator!$F$14,1),1-MOD(A480/Calculator!$F$14,1)),ABS(MOD(A480/Calculator!$F$14,1)-0.5))),1)</f>
        <v>1</v>
      </c>
      <c r="E480" s="219" t="n">
        <f aca="false">IF(Calculator!$E$15="YES",IF(A480&lt;Calculator!$G$15,0,MIN(MIN(MOD(A480/Calculator!$F$15,1),1-MOD(A480/Calculator!$F$15,1)),ABS(MOD(A480/Calculator!$F$15,1)-0.5))),1)</f>
        <v>0.124175438596491</v>
      </c>
      <c r="F480" s="219" t="n">
        <f aca="false">IF(Calculator!$E$16="YES",IF(A480&lt;Calculator!$G$16,0,MIN(MIN(MOD(A480/Calculator!$F$16,1),1-MOD(A480/Calculator!$F$16,1)),ABS(MOD(A480/Calculator!$F$16,1)-0.5))),1)</f>
        <v>1</v>
      </c>
      <c r="G480" s="219" t="n">
        <f aca="false">IF(Calculator!$E$17="YES",IF(A480&lt;Calculator!$G$17,0,MIN(MIN(MOD(A480/Calculator!$F$17,1),1-MOD(A480/Calculator!$F$17,1)),ABS(MOD(A480/Calculator!$F$17,1)-0.5))),1)</f>
        <v>0.202473684210527</v>
      </c>
      <c r="H480" s="219" t="n">
        <f aca="false">IF(Calculator!$E$18="YES",IF(A480&lt;Calculator!$G$18,0,MIN(MIN(MOD(A480/Calculator!$F$18,1),1-MOD(A480/Calculator!$F$18,1)),ABS(MOD(A480/Calculator!$F$18,1)-0.5))),1)</f>
        <v>1</v>
      </c>
      <c r="I480" s="219" t="n">
        <f aca="false">IF(Calculator!$E$19="YES",IF(A480&lt;Calculator!$G$19,0,MIN(MIN(MOD(A480/Calculator!$F$19,1),1-MOD(A480/Calculator!$F$19,1)),ABS(MOD(A480/Calculator!$F$19,1)-0.5))),1)</f>
        <v>1</v>
      </c>
      <c r="J480" s="219" t="n">
        <f aca="false">IF(Calculator!$E$20="YES",IF(A480&lt;Calculator!$G$20,0,MIN(MIN(MOD(A480/Calculator!$F$20,1),1-MOD(A480/Calculator!$F$20,1)),ABS(MOD(A480/Calculator!$F$20,1)-0.5))),1)</f>
        <v>1</v>
      </c>
      <c r="K480" s="219" t="n">
        <f aca="false">IF(Calculator!$E$21="YES",IF(A480&lt;Calculator!$G$21,0,MIN(MIN(MOD(A480/Calculator!$F$21,1),1-MOD(A480/Calculator!$F$21,1)),ABS(MOD(A480/Calculator!$F$21,1)-0.5))),1)</f>
        <v>0.0884561403508766</v>
      </c>
      <c r="L480" s="219" t="n">
        <f aca="false">IF(Calculator!$E$22="YES",IF(A480&lt;Calculator!$G$22,0,MIN(MIN(MOD(A480/Calculator!$F$22,1),1-MOD(A480/Calculator!$F$22,1)),ABS(MOD(A480/Calculator!$F$22,1)-0.5))),1)</f>
        <v>1</v>
      </c>
      <c r="M480" s="219" t="n">
        <f aca="false">MIN(B480:L480)</f>
        <v>0.0884561403508766</v>
      </c>
      <c r="N480" s="219" t="n">
        <f aca="false">SUMPRODUCT(($M$7:$M$557&gt;M480)*1)+SUMPRODUCT(($M$7:$M$557=M480)*(ROW($M$7:$M$557)&lt;ROW(M480)))+1</f>
        <v>138</v>
      </c>
      <c r="O480" s="219" t="str">
        <f aca="false">IF(M480&gt;=0.2,"★★★ EXCELLENT",IF(M480&gt;=0.12,"★★  GOOD",IF(M480&gt;=0.07,"★  FAIR",IF(M480&gt;=0.025,"⚠  MARGINAL","✗  AVOID"))))</f>
        <v>★  FAIR</v>
      </c>
    </row>
    <row r="481" customFormat="false" ht="15" hidden="false" customHeight="true" outlineLevel="0" collapsed="false">
      <c r="A481" s="216" t="n">
        <v>52.4</v>
      </c>
      <c r="B481" s="217" t="n">
        <f aca="false">IF(Calculator!$E$12="YES",IF(A481&lt;Calculator!$G$12,0,MIN(MIN(MOD(A481/Calculator!$F$12,1),1-MOD(A481/Calculator!$F$12,1)),ABS(MOD(A481/Calculator!$F$12,1)-0.5))),1)</f>
        <v>1</v>
      </c>
      <c r="C481" s="217" t="n">
        <f aca="false">IF(Calculator!$E$13="YES",IF(A481&lt;Calculator!$G$13,0,MIN(MIN(MOD(A481/Calculator!$F$13,1),1-MOD(A481/Calculator!$F$13,1)),ABS(MOD(A481/Calculator!$F$13,1)-0.5))),1)</f>
        <v>1</v>
      </c>
      <c r="D481" s="217" t="n">
        <f aca="false">IF(Calculator!$E$14="YES",IF(A481&lt;Calculator!$G$14,0,MIN(MIN(MOD(A481/Calculator!$F$14,1),1-MOD(A481/Calculator!$F$14,1)),ABS(MOD(A481/Calculator!$F$14,1)-0.5))),1)</f>
        <v>1</v>
      </c>
      <c r="E481" s="217" t="n">
        <f aca="false">IF(Calculator!$E$15="YES",IF(A481&lt;Calculator!$G$15,0,MIN(MIN(MOD(A481/Calculator!$F$15,1),1-MOD(A481/Calculator!$F$15,1)),ABS(MOD(A481/Calculator!$F$15,1)-0.5))),1)</f>
        <v>0.12919298245614</v>
      </c>
      <c r="F481" s="217" t="n">
        <f aca="false">IF(Calculator!$E$16="YES",IF(A481&lt;Calculator!$G$16,0,MIN(MIN(MOD(A481/Calculator!$F$16,1),1-MOD(A481/Calculator!$F$16,1)),ABS(MOD(A481/Calculator!$F$16,1)-0.5))),1)</f>
        <v>1</v>
      </c>
      <c r="G481" s="217" t="n">
        <f aca="false">IF(Calculator!$E$17="YES",IF(A481&lt;Calculator!$G$17,0,MIN(MIN(MOD(A481/Calculator!$F$17,1),1-MOD(A481/Calculator!$F$17,1)),ABS(MOD(A481/Calculator!$F$17,1)-0.5))),1)</f>
        <v>0.212421052631579</v>
      </c>
      <c r="H481" s="217" t="n">
        <f aca="false">IF(Calculator!$E$18="YES",IF(A481&lt;Calculator!$G$18,0,MIN(MIN(MOD(A481/Calculator!$F$18,1),1-MOD(A481/Calculator!$F$18,1)),ABS(MOD(A481/Calculator!$F$18,1)-0.5))),1)</f>
        <v>1</v>
      </c>
      <c r="I481" s="217" t="n">
        <f aca="false">IF(Calculator!$E$19="YES",IF(A481&lt;Calculator!$G$19,0,MIN(MIN(MOD(A481/Calculator!$F$19,1),1-MOD(A481/Calculator!$F$19,1)),ABS(MOD(A481/Calculator!$F$19,1)-0.5))),1)</f>
        <v>1</v>
      </c>
      <c r="J481" s="217" t="n">
        <f aca="false">IF(Calculator!$E$20="YES",IF(A481&lt;Calculator!$G$20,0,MIN(MIN(MOD(A481/Calculator!$F$20,1),1-MOD(A481/Calculator!$F$20,1)),ABS(MOD(A481/Calculator!$F$20,1)-0.5))),1)</f>
        <v>1</v>
      </c>
      <c r="K481" s="217" t="n">
        <f aca="false">IF(Calculator!$E$21="YES",IF(A481&lt;Calculator!$G$21,0,MIN(MIN(MOD(A481/Calculator!$F$21,1),1-MOD(A481/Calculator!$F$21,1)),ABS(MOD(A481/Calculator!$F$21,1)-0.5))),1)</f>
        <v>0.108701754385965</v>
      </c>
      <c r="L481" s="217" t="n">
        <f aca="false">IF(Calculator!$E$22="YES",IF(A481&lt;Calculator!$G$22,0,MIN(MIN(MOD(A481/Calculator!$F$22,1),1-MOD(A481/Calculator!$F$22,1)),ABS(MOD(A481/Calculator!$F$22,1)-0.5))),1)</f>
        <v>1</v>
      </c>
      <c r="M481" s="217" t="n">
        <f aca="false">MIN(B481:L481)</f>
        <v>0.108701754385965</v>
      </c>
      <c r="N481" s="217" t="n">
        <f aca="false">SUMPRODUCT(($M$7:$M$557&gt;M481)*1)+SUMPRODUCT(($M$7:$M$557=M481)*(ROW($M$7:$M$557)&lt;ROW(M481)))+1</f>
        <v>85</v>
      </c>
      <c r="O481" s="217" t="str">
        <f aca="false">IF(M481&gt;=0.2,"★★★ EXCELLENT",IF(M481&gt;=0.12,"★★  GOOD",IF(M481&gt;=0.07,"★  FAIR",IF(M481&gt;=0.025,"⚠  MARGINAL","✗  AVOID"))))</f>
        <v>★  FAIR</v>
      </c>
    </row>
    <row r="482" customFormat="false" ht="15" hidden="false" customHeight="true" outlineLevel="0" collapsed="false">
      <c r="A482" s="218" t="n">
        <v>52.5</v>
      </c>
      <c r="B482" s="219" t="n">
        <f aca="false">IF(Calculator!$E$12="YES",IF(A482&lt;Calculator!$G$12,0,MIN(MIN(MOD(A482/Calculator!$F$12,1),1-MOD(A482/Calculator!$F$12,1)),ABS(MOD(A482/Calculator!$F$12,1)-0.5))),1)</f>
        <v>1</v>
      </c>
      <c r="C482" s="219" t="n">
        <f aca="false">IF(Calculator!$E$13="YES",IF(A482&lt;Calculator!$G$13,0,MIN(MIN(MOD(A482/Calculator!$F$13,1),1-MOD(A482/Calculator!$F$13,1)),ABS(MOD(A482/Calculator!$F$13,1)-0.5))),1)</f>
        <v>1</v>
      </c>
      <c r="D482" s="219" t="n">
        <f aca="false">IF(Calculator!$E$14="YES",IF(A482&lt;Calculator!$G$14,0,MIN(MIN(MOD(A482/Calculator!$F$14,1),1-MOD(A482/Calculator!$F$14,1)),ABS(MOD(A482/Calculator!$F$14,1)-0.5))),1)</f>
        <v>1</v>
      </c>
      <c r="E482" s="219" t="n">
        <f aca="false">IF(Calculator!$E$15="YES",IF(A482&lt;Calculator!$G$15,0,MIN(MIN(MOD(A482/Calculator!$F$15,1),1-MOD(A482/Calculator!$F$15,1)),ABS(MOD(A482/Calculator!$F$15,1)-0.5))),1)</f>
        <v>0.13421052631579</v>
      </c>
      <c r="F482" s="219" t="n">
        <f aca="false">IF(Calculator!$E$16="YES",IF(A482&lt;Calculator!$G$16,0,MIN(MIN(MOD(A482/Calculator!$F$16,1),1-MOD(A482/Calculator!$F$16,1)),ABS(MOD(A482/Calculator!$F$16,1)-0.5))),1)</f>
        <v>1</v>
      </c>
      <c r="G482" s="219" t="n">
        <f aca="false">IF(Calculator!$E$17="YES",IF(A482&lt;Calculator!$G$17,0,MIN(MIN(MOD(A482/Calculator!$F$17,1),1-MOD(A482/Calculator!$F$17,1)),ABS(MOD(A482/Calculator!$F$17,1)-0.5))),1)</f>
        <v>0.222368421052632</v>
      </c>
      <c r="H482" s="219" t="n">
        <f aca="false">IF(Calculator!$E$18="YES",IF(A482&lt;Calculator!$G$18,0,MIN(MIN(MOD(A482/Calculator!$F$18,1),1-MOD(A482/Calculator!$F$18,1)),ABS(MOD(A482/Calculator!$F$18,1)-0.5))),1)</f>
        <v>1</v>
      </c>
      <c r="I482" s="219" t="n">
        <f aca="false">IF(Calculator!$E$19="YES",IF(A482&lt;Calculator!$G$19,0,MIN(MIN(MOD(A482/Calculator!$F$19,1),1-MOD(A482/Calculator!$F$19,1)),ABS(MOD(A482/Calculator!$F$19,1)-0.5))),1)</f>
        <v>1</v>
      </c>
      <c r="J482" s="219" t="n">
        <f aca="false">IF(Calculator!$E$20="YES",IF(A482&lt;Calculator!$G$20,0,MIN(MIN(MOD(A482/Calculator!$F$20,1),1-MOD(A482/Calculator!$F$20,1)),ABS(MOD(A482/Calculator!$F$20,1)-0.5))),1)</f>
        <v>1</v>
      </c>
      <c r="K482" s="219" t="n">
        <f aca="false">IF(Calculator!$E$21="YES",IF(A482&lt;Calculator!$G$21,0,MIN(MIN(MOD(A482/Calculator!$F$21,1),1-MOD(A482/Calculator!$F$21,1)),ABS(MOD(A482/Calculator!$F$21,1)-0.5))),1)</f>
        <v>0.128947368421052</v>
      </c>
      <c r="L482" s="219" t="n">
        <f aca="false">IF(Calculator!$E$22="YES",IF(A482&lt;Calculator!$G$22,0,MIN(MIN(MOD(A482/Calculator!$F$22,1),1-MOD(A482/Calculator!$F$22,1)),ABS(MOD(A482/Calculator!$F$22,1)-0.5))),1)</f>
        <v>1</v>
      </c>
      <c r="M482" s="219" t="n">
        <f aca="false">MIN(B482:L482)</f>
        <v>0.128947368421052</v>
      </c>
      <c r="N482" s="219" t="n">
        <f aca="false">SUMPRODUCT(($M$7:$M$557&gt;M482)*1)+SUMPRODUCT(($M$7:$M$557=M482)*(ROW($M$7:$M$557)&lt;ROW(M482)))+1</f>
        <v>57</v>
      </c>
      <c r="O482" s="219" t="str">
        <f aca="false">IF(M482&gt;=0.2,"★★★ EXCELLENT",IF(M482&gt;=0.12,"★★  GOOD",IF(M482&gt;=0.07,"★  FAIR",IF(M482&gt;=0.025,"⚠  MARGINAL","✗  AVOID"))))</f>
        <v>★★  GOOD</v>
      </c>
    </row>
    <row r="483" customFormat="false" ht="15" hidden="false" customHeight="true" outlineLevel="0" collapsed="false">
      <c r="A483" s="216" t="n">
        <v>52.6</v>
      </c>
      <c r="B483" s="217" t="n">
        <f aca="false">IF(Calculator!$E$12="YES",IF(A483&lt;Calculator!$G$12,0,MIN(MIN(MOD(A483/Calculator!$F$12,1),1-MOD(A483/Calculator!$F$12,1)),ABS(MOD(A483/Calculator!$F$12,1)-0.5))),1)</f>
        <v>1</v>
      </c>
      <c r="C483" s="217" t="n">
        <f aca="false">IF(Calculator!$E$13="YES",IF(A483&lt;Calculator!$G$13,0,MIN(MIN(MOD(A483/Calculator!$F$13,1),1-MOD(A483/Calculator!$F$13,1)),ABS(MOD(A483/Calculator!$F$13,1)-0.5))),1)</f>
        <v>1</v>
      </c>
      <c r="D483" s="217" t="n">
        <f aca="false">IF(Calculator!$E$14="YES",IF(A483&lt;Calculator!$G$14,0,MIN(MIN(MOD(A483/Calculator!$F$14,1),1-MOD(A483/Calculator!$F$14,1)),ABS(MOD(A483/Calculator!$F$14,1)-0.5))),1)</f>
        <v>1</v>
      </c>
      <c r="E483" s="217" t="n">
        <f aca="false">IF(Calculator!$E$15="YES",IF(A483&lt;Calculator!$G$15,0,MIN(MIN(MOD(A483/Calculator!$F$15,1),1-MOD(A483/Calculator!$F$15,1)),ABS(MOD(A483/Calculator!$F$15,1)-0.5))),1)</f>
        <v>0.139228070175438</v>
      </c>
      <c r="F483" s="217" t="n">
        <f aca="false">IF(Calculator!$E$16="YES",IF(A483&lt;Calculator!$G$16,0,MIN(MIN(MOD(A483/Calculator!$F$16,1),1-MOD(A483/Calculator!$F$16,1)),ABS(MOD(A483/Calculator!$F$16,1)-0.5))),1)</f>
        <v>1</v>
      </c>
      <c r="G483" s="217" t="n">
        <f aca="false">IF(Calculator!$E$17="YES",IF(A483&lt;Calculator!$G$17,0,MIN(MIN(MOD(A483/Calculator!$F$17,1),1-MOD(A483/Calculator!$F$17,1)),ABS(MOD(A483/Calculator!$F$17,1)-0.5))),1)</f>
        <v>0.232315789473684</v>
      </c>
      <c r="H483" s="217" t="n">
        <f aca="false">IF(Calculator!$E$18="YES",IF(A483&lt;Calculator!$G$18,0,MIN(MIN(MOD(A483/Calculator!$F$18,1),1-MOD(A483/Calculator!$F$18,1)),ABS(MOD(A483/Calculator!$F$18,1)-0.5))),1)</f>
        <v>1</v>
      </c>
      <c r="I483" s="217" t="n">
        <f aca="false">IF(Calculator!$E$19="YES",IF(A483&lt;Calculator!$G$19,0,MIN(MIN(MOD(A483/Calculator!$F$19,1),1-MOD(A483/Calculator!$F$19,1)),ABS(MOD(A483/Calculator!$F$19,1)-0.5))),1)</f>
        <v>1</v>
      </c>
      <c r="J483" s="217" t="n">
        <f aca="false">IF(Calculator!$E$20="YES",IF(A483&lt;Calculator!$G$20,0,MIN(MIN(MOD(A483/Calculator!$F$20,1),1-MOD(A483/Calculator!$F$20,1)),ABS(MOD(A483/Calculator!$F$20,1)-0.5))),1)</f>
        <v>1</v>
      </c>
      <c r="K483" s="217" t="n">
        <f aca="false">IF(Calculator!$E$21="YES",IF(A483&lt;Calculator!$G$21,0,MIN(MIN(MOD(A483/Calculator!$F$21,1),1-MOD(A483/Calculator!$F$21,1)),ABS(MOD(A483/Calculator!$F$21,1)-0.5))),1)</f>
        <v>0.149192982456141</v>
      </c>
      <c r="L483" s="217" t="n">
        <f aca="false">IF(Calculator!$E$22="YES",IF(A483&lt;Calculator!$G$22,0,MIN(MIN(MOD(A483/Calculator!$F$22,1),1-MOD(A483/Calculator!$F$22,1)),ABS(MOD(A483/Calculator!$F$22,1)-0.5))),1)</f>
        <v>1</v>
      </c>
      <c r="M483" s="217" t="n">
        <f aca="false">MIN(B483:L483)</f>
        <v>0.139228070175438</v>
      </c>
      <c r="N483" s="217" t="n">
        <f aca="false">SUMPRODUCT(($M$7:$M$557&gt;M483)*1)+SUMPRODUCT(($M$7:$M$557=M483)*(ROW($M$7:$M$557)&lt;ROW(M483)))+1</f>
        <v>48</v>
      </c>
      <c r="O483" s="217" t="str">
        <f aca="false">IF(M483&gt;=0.2,"★★★ EXCELLENT",IF(M483&gt;=0.12,"★★  GOOD",IF(M483&gt;=0.07,"★  FAIR",IF(M483&gt;=0.025,"⚠  MARGINAL","✗  AVOID"))))</f>
        <v>★★  GOOD</v>
      </c>
    </row>
    <row r="484" customFormat="false" ht="15" hidden="false" customHeight="true" outlineLevel="0" collapsed="false">
      <c r="A484" s="218" t="n">
        <v>52.7</v>
      </c>
      <c r="B484" s="219" t="n">
        <f aca="false">IF(Calculator!$E$12="YES",IF(A484&lt;Calculator!$G$12,0,MIN(MIN(MOD(A484/Calculator!$F$12,1),1-MOD(A484/Calculator!$F$12,1)),ABS(MOD(A484/Calculator!$F$12,1)-0.5))),1)</f>
        <v>1</v>
      </c>
      <c r="C484" s="219" t="n">
        <f aca="false">IF(Calculator!$E$13="YES",IF(A484&lt;Calculator!$G$13,0,MIN(MIN(MOD(A484/Calculator!$F$13,1),1-MOD(A484/Calculator!$F$13,1)),ABS(MOD(A484/Calculator!$F$13,1)-0.5))),1)</f>
        <v>1</v>
      </c>
      <c r="D484" s="219" t="n">
        <f aca="false">IF(Calculator!$E$14="YES",IF(A484&lt;Calculator!$G$14,0,MIN(MIN(MOD(A484/Calculator!$F$14,1),1-MOD(A484/Calculator!$F$14,1)),ABS(MOD(A484/Calculator!$F$14,1)-0.5))),1)</f>
        <v>1</v>
      </c>
      <c r="E484" s="219" t="n">
        <f aca="false">IF(Calculator!$E$15="YES",IF(A484&lt;Calculator!$G$15,0,MIN(MIN(MOD(A484/Calculator!$F$15,1),1-MOD(A484/Calculator!$F$15,1)),ABS(MOD(A484/Calculator!$F$15,1)-0.5))),1)</f>
        <v>0.144245614035088</v>
      </c>
      <c r="F484" s="219" t="n">
        <f aca="false">IF(Calculator!$E$16="YES",IF(A484&lt;Calculator!$G$16,0,MIN(MIN(MOD(A484/Calculator!$F$16,1),1-MOD(A484/Calculator!$F$16,1)),ABS(MOD(A484/Calculator!$F$16,1)-0.5))),1)</f>
        <v>1</v>
      </c>
      <c r="G484" s="219" t="n">
        <f aca="false">IF(Calculator!$E$17="YES",IF(A484&lt;Calculator!$G$17,0,MIN(MIN(MOD(A484/Calculator!$F$17,1),1-MOD(A484/Calculator!$F$17,1)),ABS(MOD(A484/Calculator!$F$17,1)-0.5))),1)</f>
        <v>0.242263157894738</v>
      </c>
      <c r="H484" s="219" t="n">
        <f aca="false">IF(Calculator!$E$18="YES",IF(A484&lt;Calculator!$G$18,0,MIN(MIN(MOD(A484/Calculator!$F$18,1),1-MOD(A484/Calculator!$F$18,1)),ABS(MOD(A484/Calculator!$F$18,1)-0.5))),1)</f>
        <v>1</v>
      </c>
      <c r="I484" s="219" t="n">
        <f aca="false">IF(Calculator!$E$19="YES",IF(A484&lt;Calculator!$G$19,0,MIN(MIN(MOD(A484/Calculator!$F$19,1),1-MOD(A484/Calculator!$F$19,1)),ABS(MOD(A484/Calculator!$F$19,1)-0.5))),1)</f>
        <v>1</v>
      </c>
      <c r="J484" s="219" t="n">
        <f aca="false">IF(Calculator!$E$20="YES",IF(A484&lt;Calculator!$G$20,0,MIN(MIN(MOD(A484/Calculator!$F$20,1),1-MOD(A484/Calculator!$F$20,1)),ABS(MOD(A484/Calculator!$F$20,1)-0.5))),1)</f>
        <v>1</v>
      </c>
      <c r="K484" s="219" t="n">
        <f aca="false">IF(Calculator!$E$21="YES",IF(A484&lt;Calculator!$G$21,0,MIN(MIN(MOD(A484/Calculator!$F$21,1),1-MOD(A484/Calculator!$F$21,1)),ABS(MOD(A484/Calculator!$F$21,1)-0.5))),1)</f>
        <v>0.169438596491229</v>
      </c>
      <c r="L484" s="219" t="n">
        <f aca="false">IF(Calculator!$E$22="YES",IF(A484&lt;Calculator!$G$22,0,MIN(MIN(MOD(A484/Calculator!$F$22,1),1-MOD(A484/Calculator!$F$22,1)),ABS(MOD(A484/Calculator!$F$22,1)-0.5))),1)</f>
        <v>1</v>
      </c>
      <c r="M484" s="219" t="n">
        <f aca="false">MIN(B484:L484)</f>
        <v>0.144245614035088</v>
      </c>
      <c r="N484" s="219" t="n">
        <f aca="false">SUMPRODUCT(($M$7:$M$557&gt;M484)*1)+SUMPRODUCT(($M$7:$M$557=M484)*(ROW($M$7:$M$557)&lt;ROW(M484)))+1</f>
        <v>42</v>
      </c>
      <c r="O484" s="219" t="str">
        <f aca="false">IF(M484&gt;=0.2,"★★★ EXCELLENT",IF(M484&gt;=0.12,"★★  GOOD",IF(M484&gt;=0.07,"★  FAIR",IF(M484&gt;=0.025,"⚠  MARGINAL","✗  AVOID"))))</f>
        <v>★★  GOOD</v>
      </c>
    </row>
    <row r="485" customFormat="false" ht="15" hidden="false" customHeight="true" outlineLevel="0" collapsed="false">
      <c r="A485" s="216" t="n">
        <v>52.8</v>
      </c>
      <c r="B485" s="217" t="n">
        <f aca="false">IF(Calculator!$E$12="YES",IF(A485&lt;Calculator!$G$12,0,MIN(MIN(MOD(A485/Calculator!$F$12,1),1-MOD(A485/Calculator!$F$12,1)),ABS(MOD(A485/Calculator!$F$12,1)-0.5))),1)</f>
        <v>1</v>
      </c>
      <c r="C485" s="217" t="n">
        <f aca="false">IF(Calculator!$E$13="YES",IF(A485&lt;Calculator!$G$13,0,MIN(MIN(MOD(A485/Calculator!$F$13,1),1-MOD(A485/Calculator!$F$13,1)),ABS(MOD(A485/Calculator!$F$13,1)-0.5))),1)</f>
        <v>1</v>
      </c>
      <c r="D485" s="217" t="n">
        <f aca="false">IF(Calculator!$E$14="YES",IF(A485&lt;Calculator!$G$14,0,MIN(MIN(MOD(A485/Calculator!$F$14,1),1-MOD(A485/Calculator!$F$14,1)),ABS(MOD(A485/Calculator!$F$14,1)-0.5))),1)</f>
        <v>1</v>
      </c>
      <c r="E485" s="217" t="n">
        <f aca="false">IF(Calculator!$E$15="YES",IF(A485&lt;Calculator!$G$15,0,MIN(MIN(MOD(A485/Calculator!$F$15,1),1-MOD(A485/Calculator!$F$15,1)),ABS(MOD(A485/Calculator!$F$15,1)-0.5))),1)</f>
        <v>0.149263157894737</v>
      </c>
      <c r="F485" s="217" t="n">
        <f aca="false">IF(Calculator!$E$16="YES",IF(A485&lt;Calculator!$G$16,0,MIN(MIN(MOD(A485/Calculator!$F$16,1),1-MOD(A485/Calculator!$F$16,1)),ABS(MOD(A485/Calculator!$F$16,1)-0.5))),1)</f>
        <v>1</v>
      </c>
      <c r="G485" s="217" t="n">
        <f aca="false">IF(Calculator!$E$17="YES",IF(A485&lt;Calculator!$G$17,0,MIN(MIN(MOD(A485/Calculator!$F$17,1),1-MOD(A485/Calculator!$F$17,1)),ABS(MOD(A485/Calculator!$F$17,1)-0.5))),1)</f>
        <v>0.24778947368421</v>
      </c>
      <c r="H485" s="217" t="n">
        <f aca="false">IF(Calculator!$E$18="YES",IF(A485&lt;Calculator!$G$18,0,MIN(MIN(MOD(A485/Calculator!$F$18,1),1-MOD(A485/Calculator!$F$18,1)),ABS(MOD(A485/Calculator!$F$18,1)-0.5))),1)</f>
        <v>1</v>
      </c>
      <c r="I485" s="217" t="n">
        <f aca="false">IF(Calculator!$E$19="YES",IF(A485&lt;Calculator!$G$19,0,MIN(MIN(MOD(A485/Calculator!$F$19,1),1-MOD(A485/Calculator!$F$19,1)),ABS(MOD(A485/Calculator!$F$19,1)-0.5))),1)</f>
        <v>1</v>
      </c>
      <c r="J485" s="217" t="n">
        <f aca="false">IF(Calculator!$E$20="YES",IF(A485&lt;Calculator!$G$20,0,MIN(MIN(MOD(A485/Calculator!$F$20,1),1-MOD(A485/Calculator!$F$20,1)),ABS(MOD(A485/Calculator!$F$20,1)-0.5))),1)</f>
        <v>1</v>
      </c>
      <c r="K485" s="217" t="n">
        <f aca="false">IF(Calculator!$E$21="YES",IF(A485&lt;Calculator!$G$21,0,MIN(MIN(MOD(A485/Calculator!$F$21,1),1-MOD(A485/Calculator!$F$21,1)),ABS(MOD(A485/Calculator!$F$21,1)-0.5))),1)</f>
        <v>0.189684210526314</v>
      </c>
      <c r="L485" s="217" t="n">
        <f aca="false">IF(Calculator!$E$22="YES",IF(A485&lt;Calculator!$G$22,0,MIN(MIN(MOD(A485/Calculator!$F$22,1),1-MOD(A485/Calculator!$F$22,1)),ABS(MOD(A485/Calculator!$F$22,1)-0.5))),1)</f>
        <v>1</v>
      </c>
      <c r="M485" s="217" t="n">
        <f aca="false">MIN(B485:L485)</f>
        <v>0.149263157894737</v>
      </c>
      <c r="N485" s="217" t="n">
        <f aca="false">SUMPRODUCT(($M$7:$M$557&gt;M485)*1)+SUMPRODUCT(($M$7:$M$557=M485)*(ROW($M$7:$M$557)&lt;ROW(M485)))+1</f>
        <v>37</v>
      </c>
      <c r="O485" s="217" t="str">
        <f aca="false">IF(M485&gt;=0.2,"★★★ EXCELLENT",IF(M485&gt;=0.12,"★★  GOOD",IF(M485&gt;=0.07,"★  FAIR",IF(M485&gt;=0.025,"⚠  MARGINAL","✗  AVOID"))))</f>
        <v>★★  GOOD</v>
      </c>
    </row>
    <row r="486" customFormat="false" ht="15" hidden="false" customHeight="true" outlineLevel="0" collapsed="false">
      <c r="A486" s="218" t="n">
        <v>52.9</v>
      </c>
      <c r="B486" s="219" t="n">
        <f aca="false">IF(Calculator!$E$12="YES",IF(A486&lt;Calculator!$G$12,0,MIN(MIN(MOD(A486/Calculator!$F$12,1),1-MOD(A486/Calculator!$F$12,1)),ABS(MOD(A486/Calculator!$F$12,1)-0.5))),1)</f>
        <v>1</v>
      </c>
      <c r="C486" s="219" t="n">
        <f aca="false">IF(Calculator!$E$13="YES",IF(A486&lt;Calculator!$G$13,0,MIN(MIN(MOD(A486/Calculator!$F$13,1),1-MOD(A486/Calculator!$F$13,1)),ABS(MOD(A486/Calculator!$F$13,1)-0.5))),1)</f>
        <v>1</v>
      </c>
      <c r="D486" s="219" t="n">
        <f aca="false">IF(Calculator!$E$14="YES",IF(A486&lt;Calculator!$G$14,0,MIN(MIN(MOD(A486/Calculator!$F$14,1),1-MOD(A486/Calculator!$F$14,1)),ABS(MOD(A486/Calculator!$F$14,1)-0.5))),1)</f>
        <v>1</v>
      </c>
      <c r="E486" s="219" t="n">
        <f aca="false">IF(Calculator!$E$15="YES",IF(A486&lt;Calculator!$G$15,0,MIN(MIN(MOD(A486/Calculator!$F$15,1),1-MOD(A486/Calculator!$F$15,1)),ABS(MOD(A486/Calculator!$F$15,1)-0.5))),1)</f>
        <v>0.154280701754386</v>
      </c>
      <c r="F486" s="219" t="n">
        <f aca="false">IF(Calculator!$E$16="YES",IF(A486&lt;Calculator!$G$16,0,MIN(MIN(MOD(A486/Calculator!$F$16,1),1-MOD(A486/Calculator!$F$16,1)),ABS(MOD(A486/Calculator!$F$16,1)-0.5))),1)</f>
        <v>1</v>
      </c>
      <c r="G486" s="219" t="n">
        <f aca="false">IF(Calculator!$E$17="YES",IF(A486&lt;Calculator!$G$17,0,MIN(MIN(MOD(A486/Calculator!$F$17,1),1-MOD(A486/Calculator!$F$17,1)),ABS(MOD(A486/Calculator!$F$17,1)-0.5))),1)</f>
        <v>0.237842105263158</v>
      </c>
      <c r="H486" s="219" t="n">
        <f aca="false">IF(Calculator!$E$18="YES",IF(A486&lt;Calculator!$G$18,0,MIN(MIN(MOD(A486/Calculator!$F$18,1),1-MOD(A486/Calculator!$F$18,1)),ABS(MOD(A486/Calculator!$F$18,1)-0.5))),1)</f>
        <v>1</v>
      </c>
      <c r="I486" s="219" t="n">
        <f aca="false">IF(Calculator!$E$19="YES",IF(A486&lt;Calculator!$G$19,0,MIN(MIN(MOD(A486/Calculator!$F$19,1),1-MOD(A486/Calculator!$F$19,1)),ABS(MOD(A486/Calculator!$F$19,1)-0.5))),1)</f>
        <v>1</v>
      </c>
      <c r="J486" s="219" t="n">
        <f aca="false">IF(Calculator!$E$20="YES",IF(A486&lt;Calculator!$G$20,0,MIN(MIN(MOD(A486/Calculator!$F$20,1),1-MOD(A486/Calculator!$F$20,1)),ABS(MOD(A486/Calculator!$F$20,1)-0.5))),1)</f>
        <v>1</v>
      </c>
      <c r="K486" s="219" t="n">
        <f aca="false">IF(Calculator!$E$21="YES",IF(A486&lt;Calculator!$G$21,0,MIN(MIN(MOD(A486/Calculator!$F$21,1),1-MOD(A486/Calculator!$F$21,1)),ABS(MOD(A486/Calculator!$F$21,1)-0.5))),1)</f>
        <v>0.209929824561403</v>
      </c>
      <c r="L486" s="219" t="n">
        <f aca="false">IF(Calculator!$E$22="YES",IF(A486&lt;Calculator!$G$22,0,MIN(MIN(MOD(A486/Calculator!$F$22,1),1-MOD(A486/Calculator!$F$22,1)),ABS(MOD(A486/Calculator!$F$22,1)-0.5))),1)</f>
        <v>1</v>
      </c>
      <c r="M486" s="219" t="n">
        <f aca="false">MIN(B486:L486)</f>
        <v>0.154280701754386</v>
      </c>
      <c r="N486" s="219" t="n">
        <f aca="false">SUMPRODUCT(($M$7:$M$557&gt;M486)*1)+SUMPRODUCT(($M$7:$M$557=M486)*(ROW($M$7:$M$557)&lt;ROW(M486)))+1</f>
        <v>30</v>
      </c>
      <c r="O486" s="219" t="str">
        <f aca="false">IF(M486&gt;=0.2,"★★★ EXCELLENT",IF(M486&gt;=0.12,"★★  GOOD",IF(M486&gt;=0.07,"★  FAIR",IF(M486&gt;=0.025,"⚠  MARGINAL","✗  AVOID"))))</f>
        <v>★★  GOOD</v>
      </c>
    </row>
    <row r="487" customFormat="false" ht="15" hidden="false" customHeight="true" outlineLevel="0" collapsed="false">
      <c r="A487" s="216" t="n">
        <v>53</v>
      </c>
      <c r="B487" s="217" t="n">
        <f aca="false">IF(Calculator!$E$12="YES",IF(A487&lt;Calculator!$G$12,0,MIN(MIN(MOD(A487/Calculator!$F$12,1),1-MOD(A487/Calculator!$F$12,1)),ABS(MOD(A487/Calculator!$F$12,1)-0.5))),1)</f>
        <v>1</v>
      </c>
      <c r="C487" s="217" t="n">
        <f aca="false">IF(Calculator!$E$13="YES",IF(A487&lt;Calculator!$G$13,0,MIN(MIN(MOD(A487/Calculator!$F$13,1),1-MOD(A487/Calculator!$F$13,1)),ABS(MOD(A487/Calculator!$F$13,1)-0.5))),1)</f>
        <v>1</v>
      </c>
      <c r="D487" s="217" t="n">
        <f aca="false">IF(Calculator!$E$14="YES",IF(A487&lt;Calculator!$G$14,0,MIN(MIN(MOD(A487/Calculator!$F$14,1),1-MOD(A487/Calculator!$F$14,1)),ABS(MOD(A487/Calculator!$F$14,1)-0.5))),1)</f>
        <v>1</v>
      </c>
      <c r="E487" s="217" t="n">
        <f aca="false">IF(Calculator!$E$15="YES",IF(A487&lt;Calculator!$G$15,0,MIN(MIN(MOD(A487/Calculator!$F$15,1),1-MOD(A487/Calculator!$F$15,1)),ABS(MOD(A487/Calculator!$F$15,1)-0.5))),1)</f>
        <v>0.159298245614035</v>
      </c>
      <c r="F487" s="217" t="n">
        <f aca="false">IF(Calculator!$E$16="YES",IF(A487&lt;Calculator!$G$16,0,MIN(MIN(MOD(A487/Calculator!$F$16,1),1-MOD(A487/Calculator!$F$16,1)),ABS(MOD(A487/Calculator!$F$16,1)-0.5))),1)</f>
        <v>1</v>
      </c>
      <c r="G487" s="217" t="n">
        <f aca="false">IF(Calculator!$E$17="YES",IF(A487&lt;Calculator!$G$17,0,MIN(MIN(MOD(A487/Calculator!$F$17,1),1-MOD(A487/Calculator!$F$17,1)),ABS(MOD(A487/Calculator!$F$17,1)-0.5))),1)</f>
        <v>0.227894736842105</v>
      </c>
      <c r="H487" s="217" t="n">
        <f aca="false">IF(Calculator!$E$18="YES",IF(A487&lt;Calculator!$G$18,0,MIN(MIN(MOD(A487/Calculator!$F$18,1),1-MOD(A487/Calculator!$F$18,1)),ABS(MOD(A487/Calculator!$F$18,1)-0.5))),1)</f>
        <v>1</v>
      </c>
      <c r="I487" s="217" t="n">
        <f aca="false">IF(Calculator!$E$19="YES",IF(A487&lt;Calculator!$G$19,0,MIN(MIN(MOD(A487/Calculator!$F$19,1),1-MOD(A487/Calculator!$F$19,1)),ABS(MOD(A487/Calculator!$F$19,1)-0.5))),1)</f>
        <v>1</v>
      </c>
      <c r="J487" s="217" t="n">
        <f aca="false">IF(Calculator!$E$20="YES",IF(A487&lt;Calculator!$G$20,0,MIN(MIN(MOD(A487/Calculator!$F$20,1),1-MOD(A487/Calculator!$F$20,1)),ABS(MOD(A487/Calculator!$F$20,1)-0.5))),1)</f>
        <v>1</v>
      </c>
      <c r="K487" s="217" t="n">
        <f aca="false">IF(Calculator!$E$21="YES",IF(A487&lt;Calculator!$G$21,0,MIN(MIN(MOD(A487/Calculator!$F$21,1),1-MOD(A487/Calculator!$F$21,1)),ABS(MOD(A487/Calculator!$F$21,1)-0.5))),1)</f>
        <v>0.230175438596492</v>
      </c>
      <c r="L487" s="217" t="n">
        <f aca="false">IF(Calculator!$E$22="YES",IF(A487&lt;Calculator!$G$22,0,MIN(MIN(MOD(A487/Calculator!$F$22,1),1-MOD(A487/Calculator!$F$22,1)),ABS(MOD(A487/Calculator!$F$22,1)-0.5))),1)</f>
        <v>1</v>
      </c>
      <c r="M487" s="217" t="n">
        <f aca="false">MIN(B487:L487)</f>
        <v>0.159298245614035</v>
      </c>
      <c r="N487" s="217" t="n">
        <f aca="false">SUMPRODUCT(($M$7:$M$557&gt;M487)*1)+SUMPRODUCT(($M$7:$M$557=M487)*(ROW($M$7:$M$557)&lt;ROW(M487)))+1</f>
        <v>24</v>
      </c>
      <c r="O487" s="217" t="str">
        <f aca="false">IF(M487&gt;=0.2,"★★★ EXCELLENT",IF(M487&gt;=0.12,"★★  GOOD",IF(M487&gt;=0.07,"★  FAIR",IF(M487&gt;=0.025,"⚠  MARGINAL","✗  AVOID"))))</f>
        <v>★★  GOOD</v>
      </c>
    </row>
    <row r="488" customFormat="false" ht="15" hidden="false" customHeight="true" outlineLevel="0" collapsed="false">
      <c r="A488" s="218" t="n">
        <v>53.1</v>
      </c>
      <c r="B488" s="219" t="n">
        <f aca="false">IF(Calculator!$E$12="YES",IF(A488&lt;Calculator!$G$12,0,MIN(MIN(MOD(A488/Calculator!$F$12,1),1-MOD(A488/Calculator!$F$12,1)),ABS(MOD(A488/Calculator!$F$12,1)-0.5))),1)</f>
        <v>1</v>
      </c>
      <c r="C488" s="219" t="n">
        <f aca="false">IF(Calculator!$E$13="YES",IF(A488&lt;Calculator!$G$13,0,MIN(MIN(MOD(A488/Calculator!$F$13,1),1-MOD(A488/Calculator!$F$13,1)),ABS(MOD(A488/Calculator!$F$13,1)-0.5))),1)</f>
        <v>1</v>
      </c>
      <c r="D488" s="219" t="n">
        <f aca="false">IF(Calculator!$E$14="YES",IF(A488&lt;Calculator!$G$14,0,MIN(MIN(MOD(A488/Calculator!$F$14,1),1-MOD(A488/Calculator!$F$14,1)),ABS(MOD(A488/Calculator!$F$14,1)-0.5))),1)</f>
        <v>1</v>
      </c>
      <c r="E488" s="219" t="n">
        <f aca="false">IF(Calculator!$E$15="YES",IF(A488&lt;Calculator!$G$15,0,MIN(MIN(MOD(A488/Calculator!$F$15,1),1-MOD(A488/Calculator!$F$15,1)),ABS(MOD(A488/Calculator!$F$15,1)-0.5))),1)</f>
        <v>0.164315789473684</v>
      </c>
      <c r="F488" s="219" t="n">
        <f aca="false">IF(Calculator!$E$16="YES",IF(A488&lt;Calculator!$G$16,0,MIN(MIN(MOD(A488/Calculator!$F$16,1),1-MOD(A488/Calculator!$F$16,1)),ABS(MOD(A488/Calculator!$F$16,1)-0.5))),1)</f>
        <v>1</v>
      </c>
      <c r="G488" s="219" t="n">
        <f aca="false">IF(Calculator!$E$17="YES",IF(A488&lt;Calculator!$G$17,0,MIN(MIN(MOD(A488/Calculator!$F$17,1),1-MOD(A488/Calculator!$F$17,1)),ABS(MOD(A488/Calculator!$F$17,1)-0.5))),1)</f>
        <v>0.217947368421052</v>
      </c>
      <c r="H488" s="219" t="n">
        <f aca="false">IF(Calculator!$E$18="YES",IF(A488&lt;Calculator!$G$18,0,MIN(MIN(MOD(A488/Calculator!$F$18,1),1-MOD(A488/Calculator!$F$18,1)),ABS(MOD(A488/Calculator!$F$18,1)-0.5))),1)</f>
        <v>1</v>
      </c>
      <c r="I488" s="219" t="n">
        <f aca="false">IF(Calculator!$E$19="YES",IF(A488&lt;Calculator!$G$19,0,MIN(MIN(MOD(A488/Calculator!$F$19,1),1-MOD(A488/Calculator!$F$19,1)),ABS(MOD(A488/Calculator!$F$19,1)-0.5))),1)</f>
        <v>1</v>
      </c>
      <c r="J488" s="219" t="n">
        <f aca="false">IF(Calculator!$E$20="YES",IF(A488&lt;Calculator!$G$20,0,MIN(MIN(MOD(A488/Calculator!$F$20,1),1-MOD(A488/Calculator!$F$20,1)),ABS(MOD(A488/Calculator!$F$20,1)-0.5))),1)</f>
        <v>1</v>
      </c>
      <c r="K488" s="219" t="n">
        <f aca="false">IF(Calculator!$E$21="YES",IF(A488&lt;Calculator!$G$21,0,MIN(MIN(MOD(A488/Calculator!$F$21,1),1-MOD(A488/Calculator!$F$21,1)),ABS(MOD(A488/Calculator!$F$21,1)-0.5))),1)</f>
        <v>0.249578947368422</v>
      </c>
      <c r="L488" s="219" t="n">
        <f aca="false">IF(Calculator!$E$22="YES",IF(A488&lt;Calculator!$G$22,0,MIN(MIN(MOD(A488/Calculator!$F$22,1),1-MOD(A488/Calculator!$F$22,1)),ABS(MOD(A488/Calculator!$F$22,1)-0.5))),1)</f>
        <v>1</v>
      </c>
      <c r="M488" s="219" t="n">
        <f aca="false">MIN(B488:L488)</f>
        <v>0.164315789473684</v>
      </c>
      <c r="N488" s="219" t="n">
        <f aca="false">SUMPRODUCT(($M$7:$M$557&gt;M488)*1)+SUMPRODUCT(($M$7:$M$557=M488)*(ROW($M$7:$M$557)&lt;ROW(M488)))+1</f>
        <v>17</v>
      </c>
      <c r="O488" s="219" t="str">
        <f aca="false">IF(M488&gt;=0.2,"★★★ EXCELLENT",IF(M488&gt;=0.12,"★★  GOOD",IF(M488&gt;=0.07,"★  FAIR",IF(M488&gt;=0.025,"⚠  MARGINAL","✗  AVOID"))))</f>
        <v>★★  GOOD</v>
      </c>
    </row>
    <row r="489" customFormat="false" ht="15" hidden="false" customHeight="true" outlineLevel="0" collapsed="false">
      <c r="A489" s="216" t="n">
        <v>53.2</v>
      </c>
      <c r="B489" s="217" t="n">
        <f aca="false">IF(Calculator!$E$12="YES",IF(A489&lt;Calculator!$G$12,0,MIN(MIN(MOD(A489/Calculator!$F$12,1),1-MOD(A489/Calculator!$F$12,1)),ABS(MOD(A489/Calculator!$F$12,1)-0.5))),1)</f>
        <v>1</v>
      </c>
      <c r="C489" s="217" t="n">
        <f aca="false">IF(Calculator!$E$13="YES",IF(A489&lt;Calculator!$G$13,0,MIN(MIN(MOD(A489/Calculator!$F$13,1),1-MOD(A489/Calculator!$F$13,1)),ABS(MOD(A489/Calculator!$F$13,1)-0.5))),1)</f>
        <v>1</v>
      </c>
      <c r="D489" s="217" t="n">
        <f aca="false">IF(Calculator!$E$14="YES",IF(A489&lt;Calculator!$G$14,0,MIN(MIN(MOD(A489/Calculator!$F$14,1),1-MOD(A489/Calculator!$F$14,1)),ABS(MOD(A489/Calculator!$F$14,1)-0.5))),1)</f>
        <v>1</v>
      </c>
      <c r="E489" s="217" t="n">
        <f aca="false">IF(Calculator!$E$15="YES",IF(A489&lt;Calculator!$G$15,0,MIN(MIN(MOD(A489/Calculator!$F$15,1),1-MOD(A489/Calculator!$F$15,1)),ABS(MOD(A489/Calculator!$F$15,1)-0.5))),1)</f>
        <v>0.169333333333333</v>
      </c>
      <c r="F489" s="217" t="n">
        <f aca="false">IF(Calculator!$E$16="YES",IF(A489&lt;Calculator!$G$16,0,MIN(MIN(MOD(A489/Calculator!$F$16,1),1-MOD(A489/Calculator!$F$16,1)),ABS(MOD(A489/Calculator!$F$16,1)-0.5))),1)</f>
        <v>1</v>
      </c>
      <c r="G489" s="217" t="n">
        <f aca="false">IF(Calculator!$E$17="YES",IF(A489&lt;Calculator!$G$17,0,MIN(MIN(MOD(A489/Calculator!$F$17,1),1-MOD(A489/Calculator!$F$17,1)),ABS(MOD(A489/Calculator!$F$17,1)-0.5))),1)</f>
        <v>0.207999999999999</v>
      </c>
      <c r="H489" s="217" t="n">
        <f aca="false">IF(Calculator!$E$18="YES",IF(A489&lt;Calculator!$G$18,0,MIN(MIN(MOD(A489/Calculator!$F$18,1),1-MOD(A489/Calculator!$F$18,1)),ABS(MOD(A489/Calculator!$F$18,1)-0.5))),1)</f>
        <v>1</v>
      </c>
      <c r="I489" s="217" t="n">
        <f aca="false">IF(Calculator!$E$19="YES",IF(A489&lt;Calculator!$G$19,0,MIN(MIN(MOD(A489/Calculator!$F$19,1),1-MOD(A489/Calculator!$F$19,1)),ABS(MOD(A489/Calculator!$F$19,1)-0.5))),1)</f>
        <v>1</v>
      </c>
      <c r="J489" s="217" t="n">
        <f aca="false">IF(Calculator!$E$20="YES",IF(A489&lt;Calculator!$G$20,0,MIN(MIN(MOD(A489/Calculator!$F$20,1),1-MOD(A489/Calculator!$F$20,1)),ABS(MOD(A489/Calculator!$F$20,1)-0.5))),1)</f>
        <v>1</v>
      </c>
      <c r="K489" s="217" t="n">
        <f aca="false">IF(Calculator!$E$21="YES",IF(A489&lt;Calculator!$G$21,0,MIN(MIN(MOD(A489/Calculator!$F$21,1),1-MOD(A489/Calculator!$F$21,1)),ABS(MOD(A489/Calculator!$F$21,1)-0.5))),1)</f>
        <v>0.229333333333333</v>
      </c>
      <c r="L489" s="217" t="n">
        <f aca="false">IF(Calculator!$E$22="YES",IF(A489&lt;Calculator!$G$22,0,MIN(MIN(MOD(A489/Calculator!$F$22,1),1-MOD(A489/Calculator!$F$22,1)),ABS(MOD(A489/Calculator!$F$22,1)-0.5))),1)</f>
        <v>1</v>
      </c>
      <c r="M489" s="217" t="n">
        <f aca="false">MIN(B489:L489)</f>
        <v>0.169333333333333</v>
      </c>
      <c r="N489" s="217" t="n">
        <f aca="false">SUMPRODUCT(($M$7:$M$557&gt;M489)*1)+SUMPRODUCT(($M$7:$M$557=M489)*(ROW($M$7:$M$557)&lt;ROW(M489)))+1</f>
        <v>9</v>
      </c>
      <c r="O489" s="217" t="str">
        <f aca="false">IF(M489&gt;=0.2,"★★★ EXCELLENT",IF(M489&gt;=0.12,"★★  GOOD",IF(M489&gt;=0.07,"★  FAIR",IF(M489&gt;=0.025,"⚠  MARGINAL","✗  AVOID"))))</f>
        <v>★★  GOOD</v>
      </c>
    </row>
    <row r="490" customFormat="false" ht="15" hidden="false" customHeight="true" outlineLevel="0" collapsed="false">
      <c r="A490" s="218" t="n">
        <v>53.3</v>
      </c>
      <c r="B490" s="219" t="n">
        <f aca="false">IF(Calculator!$E$12="YES",IF(A490&lt;Calculator!$G$12,0,MIN(MIN(MOD(A490/Calculator!$F$12,1),1-MOD(A490/Calculator!$F$12,1)),ABS(MOD(A490/Calculator!$F$12,1)-0.5))),1)</f>
        <v>1</v>
      </c>
      <c r="C490" s="219" t="n">
        <f aca="false">IF(Calculator!$E$13="YES",IF(A490&lt;Calculator!$G$13,0,MIN(MIN(MOD(A490/Calculator!$F$13,1),1-MOD(A490/Calculator!$F$13,1)),ABS(MOD(A490/Calculator!$F$13,1)-0.5))),1)</f>
        <v>1</v>
      </c>
      <c r="D490" s="219" t="n">
        <f aca="false">IF(Calculator!$E$14="YES",IF(A490&lt;Calculator!$G$14,0,MIN(MIN(MOD(A490/Calculator!$F$14,1),1-MOD(A490/Calculator!$F$14,1)),ABS(MOD(A490/Calculator!$F$14,1)-0.5))),1)</f>
        <v>1</v>
      </c>
      <c r="E490" s="219" t="n">
        <f aca="false">IF(Calculator!$E$15="YES",IF(A490&lt;Calculator!$G$15,0,MIN(MIN(MOD(A490/Calculator!$F$15,1),1-MOD(A490/Calculator!$F$15,1)),ABS(MOD(A490/Calculator!$F$15,1)-0.5))),1)</f>
        <v>0.174350877192982</v>
      </c>
      <c r="F490" s="219" t="n">
        <f aca="false">IF(Calculator!$E$16="YES",IF(A490&lt;Calculator!$G$16,0,MIN(MIN(MOD(A490/Calculator!$F$16,1),1-MOD(A490/Calculator!$F$16,1)),ABS(MOD(A490/Calculator!$F$16,1)-0.5))),1)</f>
        <v>1</v>
      </c>
      <c r="G490" s="219" t="n">
        <f aca="false">IF(Calculator!$E$17="YES",IF(A490&lt;Calculator!$G$17,0,MIN(MIN(MOD(A490/Calculator!$F$17,1),1-MOD(A490/Calculator!$F$17,1)),ABS(MOD(A490/Calculator!$F$17,1)-0.5))),1)</f>
        <v>0.198052631578947</v>
      </c>
      <c r="H490" s="219" t="n">
        <f aca="false">IF(Calculator!$E$18="YES",IF(A490&lt;Calculator!$G$18,0,MIN(MIN(MOD(A490/Calculator!$F$18,1),1-MOD(A490/Calculator!$F$18,1)),ABS(MOD(A490/Calculator!$F$18,1)-0.5))),1)</f>
        <v>1</v>
      </c>
      <c r="I490" s="219" t="n">
        <f aca="false">IF(Calculator!$E$19="YES",IF(A490&lt;Calculator!$G$19,0,MIN(MIN(MOD(A490/Calculator!$F$19,1),1-MOD(A490/Calculator!$F$19,1)),ABS(MOD(A490/Calculator!$F$19,1)-0.5))),1)</f>
        <v>1</v>
      </c>
      <c r="J490" s="219" t="n">
        <f aca="false">IF(Calculator!$E$20="YES",IF(A490&lt;Calculator!$G$20,0,MIN(MIN(MOD(A490/Calculator!$F$20,1),1-MOD(A490/Calculator!$F$20,1)),ABS(MOD(A490/Calculator!$F$20,1)-0.5))),1)</f>
        <v>1</v>
      </c>
      <c r="K490" s="219" t="n">
        <f aca="false">IF(Calculator!$E$21="YES",IF(A490&lt;Calculator!$G$21,0,MIN(MIN(MOD(A490/Calculator!$F$21,1),1-MOD(A490/Calculator!$F$21,1)),ABS(MOD(A490/Calculator!$F$21,1)-0.5))),1)</f>
        <v>0.209087719298246</v>
      </c>
      <c r="L490" s="219" t="n">
        <f aca="false">IF(Calculator!$E$22="YES",IF(A490&lt;Calculator!$G$22,0,MIN(MIN(MOD(A490/Calculator!$F$22,1),1-MOD(A490/Calculator!$F$22,1)),ABS(MOD(A490/Calculator!$F$22,1)-0.5))),1)</f>
        <v>1</v>
      </c>
      <c r="M490" s="219" t="n">
        <f aca="false">MIN(B490:L490)</f>
        <v>0.174350877192982</v>
      </c>
      <c r="N490" s="219" t="n">
        <f aca="false">SUMPRODUCT(($M$7:$M$557&gt;M490)*1)+SUMPRODUCT(($M$7:$M$557=M490)*(ROW($M$7:$M$557)&lt;ROW(M490)))+1</f>
        <v>4</v>
      </c>
      <c r="O490" s="219" t="str">
        <f aca="false">IF(M490&gt;=0.2,"★★★ EXCELLENT",IF(M490&gt;=0.12,"★★  GOOD",IF(M490&gt;=0.07,"★  FAIR",IF(M490&gt;=0.025,"⚠  MARGINAL","✗  AVOID"))))</f>
        <v>★★  GOOD</v>
      </c>
    </row>
    <row r="491" customFormat="false" ht="15" hidden="false" customHeight="true" outlineLevel="0" collapsed="false">
      <c r="A491" s="216" t="n">
        <v>53.4</v>
      </c>
      <c r="B491" s="217" t="n">
        <f aca="false">IF(Calculator!$E$12="YES",IF(A491&lt;Calculator!$G$12,0,MIN(MIN(MOD(A491/Calculator!$F$12,1),1-MOD(A491/Calculator!$F$12,1)),ABS(MOD(A491/Calculator!$F$12,1)-0.5))),1)</f>
        <v>1</v>
      </c>
      <c r="C491" s="217" t="n">
        <f aca="false">IF(Calculator!$E$13="YES",IF(A491&lt;Calculator!$G$13,0,MIN(MIN(MOD(A491/Calculator!$F$13,1),1-MOD(A491/Calculator!$F$13,1)),ABS(MOD(A491/Calculator!$F$13,1)-0.5))),1)</f>
        <v>1</v>
      </c>
      <c r="D491" s="217" t="n">
        <f aca="false">IF(Calculator!$E$14="YES",IF(A491&lt;Calculator!$G$14,0,MIN(MIN(MOD(A491/Calculator!$F$14,1),1-MOD(A491/Calculator!$F$14,1)),ABS(MOD(A491/Calculator!$F$14,1)-0.5))),1)</f>
        <v>1</v>
      </c>
      <c r="E491" s="217" t="n">
        <f aca="false">IF(Calculator!$E$15="YES",IF(A491&lt;Calculator!$G$15,0,MIN(MIN(MOD(A491/Calculator!$F$15,1),1-MOD(A491/Calculator!$F$15,1)),ABS(MOD(A491/Calculator!$F$15,1)-0.5))),1)</f>
        <v>0.179368421052632</v>
      </c>
      <c r="F491" s="217" t="n">
        <f aca="false">IF(Calculator!$E$16="YES",IF(A491&lt;Calculator!$G$16,0,MIN(MIN(MOD(A491/Calculator!$F$16,1),1-MOD(A491/Calculator!$F$16,1)),ABS(MOD(A491/Calculator!$F$16,1)-0.5))),1)</f>
        <v>1</v>
      </c>
      <c r="G491" s="217" t="n">
        <f aca="false">IF(Calculator!$E$17="YES",IF(A491&lt;Calculator!$G$17,0,MIN(MIN(MOD(A491/Calculator!$F$17,1),1-MOD(A491/Calculator!$F$17,1)),ABS(MOD(A491/Calculator!$F$17,1)-0.5))),1)</f>
        <v>0.188105263157895</v>
      </c>
      <c r="H491" s="217" t="n">
        <f aca="false">IF(Calculator!$E$18="YES",IF(A491&lt;Calculator!$G$18,0,MIN(MIN(MOD(A491/Calculator!$F$18,1),1-MOD(A491/Calculator!$F$18,1)),ABS(MOD(A491/Calculator!$F$18,1)-0.5))),1)</f>
        <v>1</v>
      </c>
      <c r="I491" s="217" t="n">
        <f aca="false">IF(Calculator!$E$19="YES",IF(A491&lt;Calculator!$G$19,0,MIN(MIN(MOD(A491/Calculator!$F$19,1),1-MOD(A491/Calculator!$F$19,1)),ABS(MOD(A491/Calculator!$F$19,1)-0.5))),1)</f>
        <v>1</v>
      </c>
      <c r="J491" s="217" t="n">
        <f aca="false">IF(Calculator!$E$20="YES",IF(A491&lt;Calculator!$G$20,0,MIN(MIN(MOD(A491/Calculator!$F$20,1),1-MOD(A491/Calculator!$F$20,1)),ABS(MOD(A491/Calculator!$F$20,1)-0.5))),1)</f>
        <v>1</v>
      </c>
      <c r="K491" s="217" t="n">
        <f aca="false">IF(Calculator!$E$21="YES",IF(A491&lt;Calculator!$G$21,0,MIN(MIN(MOD(A491/Calculator!$F$21,1),1-MOD(A491/Calculator!$F$21,1)),ABS(MOD(A491/Calculator!$F$21,1)-0.5))),1)</f>
        <v>0.188842105263157</v>
      </c>
      <c r="L491" s="217" t="n">
        <f aca="false">IF(Calculator!$E$22="YES",IF(A491&lt;Calculator!$G$22,0,MIN(MIN(MOD(A491/Calculator!$F$22,1),1-MOD(A491/Calculator!$F$22,1)),ABS(MOD(A491/Calculator!$F$22,1)-0.5))),1)</f>
        <v>1</v>
      </c>
      <c r="M491" s="217" t="n">
        <f aca="false">MIN(B491:L491)</f>
        <v>0.179368421052632</v>
      </c>
      <c r="N491" s="217" t="n">
        <f aca="false">SUMPRODUCT(($M$7:$M$557&gt;M491)*1)+SUMPRODUCT(($M$7:$M$557=M491)*(ROW($M$7:$M$557)&lt;ROW(M491)))+1</f>
        <v>1</v>
      </c>
      <c r="O491" s="217" t="str">
        <f aca="false">IF(M491&gt;=0.2,"★★★ EXCELLENT",IF(M491&gt;=0.12,"★★  GOOD",IF(M491&gt;=0.07,"★  FAIR",IF(M491&gt;=0.025,"⚠  MARGINAL","✗  AVOID"))))</f>
        <v>★★  GOOD</v>
      </c>
    </row>
    <row r="492" customFormat="false" ht="15" hidden="false" customHeight="true" outlineLevel="0" collapsed="false">
      <c r="A492" s="218" t="n">
        <v>53.5</v>
      </c>
      <c r="B492" s="219" t="n">
        <f aca="false">IF(Calculator!$E$12="YES",IF(A492&lt;Calculator!$G$12,0,MIN(MIN(MOD(A492/Calculator!$F$12,1),1-MOD(A492/Calculator!$F$12,1)),ABS(MOD(A492/Calculator!$F$12,1)-0.5))),1)</f>
        <v>1</v>
      </c>
      <c r="C492" s="219" t="n">
        <f aca="false">IF(Calculator!$E$13="YES",IF(A492&lt;Calculator!$G$13,0,MIN(MIN(MOD(A492/Calculator!$F$13,1),1-MOD(A492/Calculator!$F$13,1)),ABS(MOD(A492/Calculator!$F$13,1)-0.5))),1)</f>
        <v>1</v>
      </c>
      <c r="D492" s="219" t="n">
        <f aca="false">IF(Calculator!$E$14="YES",IF(A492&lt;Calculator!$G$14,0,MIN(MIN(MOD(A492/Calculator!$F$14,1),1-MOD(A492/Calculator!$F$14,1)),ABS(MOD(A492/Calculator!$F$14,1)-0.5))),1)</f>
        <v>1</v>
      </c>
      <c r="E492" s="219" t="n">
        <f aca="false">IF(Calculator!$E$15="YES",IF(A492&lt;Calculator!$G$15,0,MIN(MIN(MOD(A492/Calculator!$F$15,1),1-MOD(A492/Calculator!$F$15,1)),ABS(MOD(A492/Calculator!$F$15,1)-0.5))),1)</f>
        <v>0.184385964912281</v>
      </c>
      <c r="F492" s="219" t="n">
        <f aca="false">IF(Calculator!$E$16="YES",IF(A492&lt;Calculator!$G$16,0,MIN(MIN(MOD(A492/Calculator!$F$16,1),1-MOD(A492/Calculator!$F$16,1)),ABS(MOD(A492/Calculator!$F$16,1)-0.5))),1)</f>
        <v>1</v>
      </c>
      <c r="G492" s="219" t="n">
        <f aca="false">IF(Calculator!$E$17="YES",IF(A492&lt;Calculator!$G$17,0,MIN(MIN(MOD(A492/Calculator!$F$17,1),1-MOD(A492/Calculator!$F$17,1)),ABS(MOD(A492/Calculator!$F$17,1)-0.5))),1)</f>
        <v>0.178157894736842</v>
      </c>
      <c r="H492" s="219" t="n">
        <f aca="false">IF(Calculator!$E$18="YES",IF(A492&lt;Calculator!$G$18,0,MIN(MIN(MOD(A492/Calculator!$F$18,1),1-MOD(A492/Calculator!$F$18,1)),ABS(MOD(A492/Calculator!$F$18,1)-0.5))),1)</f>
        <v>1</v>
      </c>
      <c r="I492" s="219" t="n">
        <f aca="false">IF(Calculator!$E$19="YES",IF(A492&lt;Calculator!$G$19,0,MIN(MIN(MOD(A492/Calculator!$F$19,1),1-MOD(A492/Calculator!$F$19,1)),ABS(MOD(A492/Calculator!$F$19,1)-0.5))),1)</f>
        <v>1</v>
      </c>
      <c r="J492" s="219" t="n">
        <f aca="false">IF(Calculator!$E$20="YES",IF(A492&lt;Calculator!$G$20,0,MIN(MIN(MOD(A492/Calculator!$F$20,1),1-MOD(A492/Calculator!$F$20,1)),ABS(MOD(A492/Calculator!$F$20,1)-0.5))),1)</f>
        <v>1</v>
      </c>
      <c r="K492" s="219" t="n">
        <f aca="false">IF(Calculator!$E$21="YES",IF(A492&lt;Calculator!$G$21,0,MIN(MIN(MOD(A492/Calculator!$F$21,1),1-MOD(A492/Calculator!$F$21,1)),ABS(MOD(A492/Calculator!$F$21,1)-0.5))),1)</f>
        <v>0.168596491228071</v>
      </c>
      <c r="L492" s="219" t="n">
        <f aca="false">IF(Calculator!$E$22="YES",IF(A492&lt;Calculator!$G$22,0,MIN(MIN(MOD(A492/Calculator!$F$22,1),1-MOD(A492/Calculator!$F$22,1)),ABS(MOD(A492/Calculator!$F$22,1)-0.5))),1)</f>
        <v>1</v>
      </c>
      <c r="M492" s="219" t="n">
        <f aca="false">MIN(B492:L492)</f>
        <v>0.168596491228071</v>
      </c>
      <c r="N492" s="219" t="n">
        <f aca="false">SUMPRODUCT(($M$7:$M$557&gt;M492)*1)+SUMPRODUCT(($M$7:$M$557=M492)*(ROW($M$7:$M$557)&lt;ROW(M492)))+1</f>
        <v>11</v>
      </c>
      <c r="O492" s="219" t="str">
        <f aca="false">IF(M492&gt;=0.2,"★★★ EXCELLENT",IF(M492&gt;=0.12,"★★  GOOD",IF(M492&gt;=0.07,"★  FAIR",IF(M492&gt;=0.025,"⚠  MARGINAL","✗  AVOID"))))</f>
        <v>★★  GOOD</v>
      </c>
    </row>
    <row r="493" customFormat="false" ht="15" hidden="false" customHeight="true" outlineLevel="0" collapsed="false">
      <c r="A493" s="216" t="n">
        <v>53.6</v>
      </c>
      <c r="B493" s="217" t="n">
        <f aca="false">IF(Calculator!$E$12="YES",IF(A493&lt;Calculator!$G$12,0,MIN(MIN(MOD(A493/Calculator!$F$12,1),1-MOD(A493/Calculator!$F$12,1)),ABS(MOD(A493/Calculator!$F$12,1)-0.5))),1)</f>
        <v>1</v>
      </c>
      <c r="C493" s="217" t="n">
        <f aca="false">IF(Calculator!$E$13="YES",IF(A493&lt;Calculator!$G$13,0,MIN(MIN(MOD(A493/Calculator!$F$13,1),1-MOD(A493/Calculator!$F$13,1)),ABS(MOD(A493/Calculator!$F$13,1)-0.5))),1)</f>
        <v>1</v>
      </c>
      <c r="D493" s="217" t="n">
        <f aca="false">IF(Calculator!$E$14="YES",IF(A493&lt;Calculator!$G$14,0,MIN(MIN(MOD(A493/Calculator!$F$14,1),1-MOD(A493/Calculator!$F$14,1)),ABS(MOD(A493/Calculator!$F$14,1)-0.5))),1)</f>
        <v>1</v>
      </c>
      <c r="E493" s="217" t="n">
        <f aca="false">IF(Calculator!$E$15="YES",IF(A493&lt;Calculator!$G$15,0,MIN(MIN(MOD(A493/Calculator!$F$15,1),1-MOD(A493/Calculator!$F$15,1)),ABS(MOD(A493/Calculator!$F$15,1)-0.5))),1)</f>
        <v>0.18940350877193</v>
      </c>
      <c r="F493" s="217" t="n">
        <f aca="false">IF(Calculator!$E$16="YES",IF(A493&lt;Calculator!$G$16,0,MIN(MIN(MOD(A493/Calculator!$F$16,1),1-MOD(A493/Calculator!$F$16,1)),ABS(MOD(A493/Calculator!$F$16,1)-0.5))),1)</f>
        <v>1</v>
      </c>
      <c r="G493" s="217" t="n">
        <f aca="false">IF(Calculator!$E$17="YES",IF(A493&lt;Calculator!$G$17,0,MIN(MIN(MOD(A493/Calculator!$F$17,1),1-MOD(A493/Calculator!$F$17,1)),ABS(MOD(A493/Calculator!$F$17,1)-0.5))),1)</f>
        <v>0.168210526315788</v>
      </c>
      <c r="H493" s="217" t="n">
        <f aca="false">IF(Calculator!$E$18="YES",IF(A493&lt;Calculator!$G$18,0,MIN(MIN(MOD(A493/Calculator!$F$18,1),1-MOD(A493/Calculator!$F$18,1)),ABS(MOD(A493/Calculator!$F$18,1)-0.5))),1)</f>
        <v>1</v>
      </c>
      <c r="I493" s="217" t="n">
        <f aca="false">IF(Calculator!$E$19="YES",IF(A493&lt;Calculator!$G$19,0,MIN(MIN(MOD(A493/Calculator!$F$19,1),1-MOD(A493/Calculator!$F$19,1)),ABS(MOD(A493/Calculator!$F$19,1)-0.5))),1)</f>
        <v>1</v>
      </c>
      <c r="J493" s="217" t="n">
        <f aca="false">IF(Calculator!$E$20="YES",IF(A493&lt;Calculator!$G$20,0,MIN(MIN(MOD(A493/Calculator!$F$20,1),1-MOD(A493/Calculator!$F$20,1)),ABS(MOD(A493/Calculator!$F$20,1)-0.5))),1)</f>
        <v>1</v>
      </c>
      <c r="K493" s="217" t="n">
        <f aca="false">IF(Calculator!$E$21="YES",IF(A493&lt;Calculator!$G$21,0,MIN(MIN(MOD(A493/Calculator!$F$21,1),1-MOD(A493/Calculator!$F$21,1)),ABS(MOD(A493/Calculator!$F$21,1)-0.5))),1)</f>
        <v>0.148350877192982</v>
      </c>
      <c r="L493" s="217" t="n">
        <f aca="false">IF(Calculator!$E$22="YES",IF(A493&lt;Calculator!$G$22,0,MIN(MIN(MOD(A493/Calculator!$F$22,1),1-MOD(A493/Calculator!$F$22,1)),ABS(MOD(A493/Calculator!$F$22,1)-0.5))),1)</f>
        <v>1</v>
      </c>
      <c r="M493" s="217" t="n">
        <f aca="false">MIN(B493:L493)</f>
        <v>0.148350877192982</v>
      </c>
      <c r="N493" s="217" t="n">
        <f aca="false">SUMPRODUCT(($M$7:$M$557&gt;M493)*1)+SUMPRODUCT(($M$7:$M$557=M493)*(ROW($M$7:$M$557)&lt;ROW(M493)))+1</f>
        <v>38</v>
      </c>
      <c r="O493" s="217" t="str">
        <f aca="false">IF(M493&gt;=0.2,"★★★ EXCELLENT",IF(M493&gt;=0.12,"★★  GOOD",IF(M493&gt;=0.07,"★  FAIR",IF(M493&gt;=0.025,"⚠  MARGINAL","✗  AVOID"))))</f>
        <v>★★  GOOD</v>
      </c>
    </row>
    <row r="494" customFormat="false" ht="15" hidden="false" customHeight="true" outlineLevel="0" collapsed="false">
      <c r="A494" s="218" t="n">
        <v>53.7</v>
      </c>
      <c r="B494" s="219" t="n">
        <f aca="false">IF(Calculator!$E$12="YES",IF(A494&lt;Calculator!$G$12,0,MIN(MIN(MOD(A494/Calculator!$F$12,1),1-MOD(A494/Calculator!$F$12,1)),ABS(MOD(A494/Calculator!$F$12,1)-0.5))),1)</f>
        <v>1</v>
      </c>
      <c r="C494" s="219" t="n">
        <f aca="false">IF(Calculator!$E$13="YES",IF(A494&lt;Calculator!$G$13,0,MIN(MIN(MOD(A494/Calculator!$F$13,1),1-MOD(A494/Calculator!$F$13,1)),ABS(MOD(A494/Calculator!$F$13,1)-0.5))),1)</f>
        <v>1</v>
      </c>
      <c r="D494" s="219" t="n">
        <f aca="false">IF(Calculator!$E$14="YES",IF(A494&lt;Calculator!$G$14,0,MIN(MIN(MOD(A494/Calculator!$F$14,1),1-MOD(A494/Calculator!$F$14,1)),ABS(MOD(A494/Calculator!$F$14,1)-0.5))),1)</f>
        <v>1</v>
      </c>
      <c r="E494" s="219" t="n">
        <f aca="false">IF(Calculator!$E$15="YES",IF(A494&lt;Calculator!$G$15,0,MIN(MIN(MOD(A494/Calculator!$F$15,1),1-MOD(A494/Calculator!$F$15,1)),ABS(MOD(A494/Calculator!$F$15,1)-0.5))),1)</f>
        <v>0.194421052631579</v>
      </c>
      <c r="F494" s="219" t="n">
        <f aca="false">IF(Calculator!$E$16="YES",IF(A494&lt;Calculator!$G$16,0,MIN(MIN(MOD(A494/Calculator!$F$16,1),1-MOD(A494/Calculator!$F$16,1)),ABS(MOD(A494/Calculator!$F$16,1)-0.5))),1)</f>
        <v>1</v>
      </c>
      <c r="G494" s="219" t="n">
        <f aca="false">IF(Calculator!$E$17="YES",IF(A494&lt;Calculator!$G$17,0,MIN(MIN(MOD(A494/Calculator!$F$17,1),1-MOD(A494/Calculator!$F$17,1)),ABS(MOD(A494/Calculator!$F$17,1)-0.5))),1)</f>
        <v>0.158263157894736</v>
      </c>
      <c r="H494" s="219" t="n">
        <f aca="false">IF(Calculator!$E$18="YES",IF(A494&lt;Calculator!$G$18,0,MIN(MIN(MOD(A494/Calculator!$F$18,1),1-MOD(A494/Calculator!$F$18,1)),ABS(MOD(A494/Calculator!$F$18,1)-0.5))),1)</f>
        <v>1</v>
      </c>
      <c r="I494" s="219" t="n">
        <f aca="false">IF(Calculator!$E$19="YES",IF(A494&lt;Calculator!$G$19,0,MIN(MIN(MOD(A494/Calculator!$F$19,1),1-MOD(A494/Calculator!$F$19,1)),ABS(MOD(A494/Calculator!$F$19,1)-0.5))),1)</f>
        <v>1</v>
      </c>
      <c r="J494" s="219" t="n">
        <f aca="false">IF(Calculator!$E$20="YES",IF(A494&lt;Calculator!$G$20,0,MIN(MIN(MOD(A494/Calculator!$F$20,1),1-MOD(A494/Calculator!$F$20,1)),ABS(MOD(A494/Calculator!$F$20,1)-0.5))),1)</f>
        <v>1</v>
      </c>
      <c r="K494" s="219" t="n">
        <f aca="false">IF(Calculator!$E$21="YES",IF(A494&lt;Calculator!$G$21,0,MIN(MIN(MOD(A494/Calculator!$F$21,1),1-MOD(A494/Calculator!$F$21,1)),ABS(MOD(A494/Calculator!$F$21,1)-0.5))),1)</f>
        <v>0.128105263157895</v>
      </c>
      <c r="L494" s="219" t="n">
        <f aca="false">IF(Calculator!$E$22="YES",IF(A494&lt;Calculator!$G$22,0,MIN(MIN(MOD(A494/Calculator!$F$22,1),1-MOD(A494/Calculator!$F$22,1)),ABS(MOD(A494/Calculator!$F$22,1)-0.5))),1)</f>
        <v>1</v>
      </c>
      <c r="M494" s="219" t="n">
        <f aca="false">MIN(B494:L494)</f>
        <v>0.128105263157895</v>
      </c>
      <c r="N494" s="219" t="n">
        <f aca="false">SUMPRODUCT(($M$7:$M$557&gt;M494)*1)+SUMPRODUCT(($M$7:$M$557=M494)*(ROW($M$7:$M$557)&lt;ROW(M494)))+1</f>
        <v>58</v>
      </c>
      <c r="O494" s="219" t="str">
        <f aca="false">IF(M494&gt;=0.2,"★★★ EXCELLENT",IF(M494&gt;=0.12,"★★  GOOD",IF(M494&gt;=0.07,"★  FAIR",IF(M494&gt;=0.025,"⚠  MARGINAL","✗  AVOID"))))</f>
        <v>★★  GOOD</v>
      </c>
    </row>
    <row r="495" customFormat="false" ht="15" hidden="false" customHeight="true" outlineLevel="0" collapsed="false">
      <c r="A495" s="216" t="n">
        <v>53.8</v>
      </c>
      <c r="B495" s="217" t="n">
        <f aca="false">IF(Calculator!$E$12="YES",IF(A495&lt;Calculator!$G$12,0,MIN(MIN(MOD(A495/Calculator!$F$12,1),1-MOD(A495/Calculator!$F$12,1)),ABS(MOD(A495/Calculator!$F$12,1)-0.5))),1)</f>
        <v>1</v>
      </c>
      <c r="C495" s="217" t="n">
        <f aca="false">IF(Calculator!$E$13="YES",IF(A495&lt;Calculator!$G$13,0,MIN(MIN(MOD(A495/Calculator!$F$13,1),1-MOD(A495/Calculator!$F$13,1)),ABS(MOD(A495/Calculator!$F$13,1)-0.5))),1)</f>
        <v>1</v>
      </c>
      <c r="D495" s="217" t="n">
        <f aca="false">IF(Calculator!$E$14="YES",IF(A495&lt;Calculator!$G$14,0,MIN(MIN(MOD(A495/Calculator!$F$14,1),1-MOD(A495/Calculator!$F$14,1)),ABS(MOD(A495/Calculator!$F$14,1)-0.5))),1)</f>
        <v>1</v>
      </c>
      <c r="E495" s="217" t="n">
        <f aca="false">IF(Calculator!$E$15="YES",IF(A495&lt;Calculator!$G$15,0,MIN(MIN(MOD(A495/Calculator!$F$15,1),1-MOD(A495/Calculator!$F$15,1)),ABS(MOD(A495/Calculator!$F$15,1)-0.5))),1)</f>
        <v>0.199438596491228</v>
      </c>
      <c r="F495" s="217" t="n">
        <f aca="false">IF(Calculator!$E$16="YES",IF(A495&lt;Calculator!$G$16,0,MIN(MIN(MOD(A495/Calculator!$F$16,1),1-MOD(A495/Calculator!$F$16,1)),ABS(MOD(A495/Calculator!$F$16,1)-0.5))),1)</f>
        <v>1</v>
      </c>
      <c r="G495" s="217" t="n">
        <f aca="false">IF(Calculator!$E$17="YES",IF(A495&lt;Calculator!$G$17,0,MIN(MIN(MOD(A495/Calculator!$F$17,1),1-MOD(A495/Calculator!$F$17,1)),ABS(MOD(A495/Calculator!$F$17,1)-0.5))),1)</f>
        <v>0.148315789473684</v>
      </c>
      <c r="H495" s="217" t="n">
        <f aca="false">IF(Calculator!$E$18="YES",IF(A495&lt;Calculator!$G$18,0,MIN(MIN(MOD(A495/Calculator!$F$18,1),1-MOD(A495/Calculator!$F$18,1)),ABS(MOD(A495/Calculator!$F$18,1)-0.5))),1)</f>
        <v>1</v>
      </c>
      <c r="I495" s="217" t="n">
        <f aca="false">IF(Calculator!$E$19="YES",IF(A495&lt;Calculator!$G$19,0,MIN(MIN(MOD(A495/Calculator!$F$19,1),1-MOD(A495/Calculator!$F$19,1)),ABS(MOD(A495/Calculator!$F$19,1)-0.5))),1)</f>
        <v>1</v>
      </c>
      <c r="J495" s="217" t="n">
        <f aca="false">IF(Calculator!$E$20="YES",IF(A495&lt;Calculator!$G$20,0,MIN(MIN(MOD(A495/Calculator!$F$20,1),1-MOD(A495/Calculator!$F$20,1)),ABS(MOD(A495/Calculator!$F$20,1)-0.5))),1)</f>
        <v>1</v>
      </c>
      <c r="K495" s="217" t="n">
        <f aca="false">IF(Calculator!$E$21="YES",IF(A495&lt;Calculator!$G$21,0,MIN(MIN(MOD(A495/Calculator!$F$21,1),1-MOD(A495/Calculator!$F$21,1)),ABS(MOD(A495/Calculator!$F$21,1)-0.5))),1)</f>
        <v>0.107859649122808</v>
      </c>
      <c r="L495" s="217" t="n">
        <f aca="false">IF(Calculator!$E$22="YES",IF(A495&lt;Calculator!$G$22,0,MIN(MIN(MOD(A495/Calculator!$F$22,1),1-MOD(A495/Calculator!$F$22,1)),ABS(MOD(A495/Calculator!$F$22,1)-0.5))),1)</f>
        <v>1</v>
      </c>
      <c r="M495" s="217" t="n">
        <f aca="false">MIN(B495:L495)</f>
        <v>0.107859649122808</v>
      </c>
      <c r="N495" s="217" t="n">
        <f aca="false">SUMPRODUCT(($M$7:$M$557&gt;M495)*1)+SUMPRODUCT(($M$7:$M$557=M495)*(ROW($M$7:$M$557)&lt;ROW(M495)))+1</f>
        <v>88</v>
      </c>
      <c r="O495" s="217" t="str">
        <f aca="false">IF(M495&gt;=0.2,"★★★ EXCELLENT",IF(M495&gt;=0.12,"★★  GOOD",IF(M495&gt;=0.07,"★  FAIR",IF(M495&gt;=0.025,"⚠  MARGINAL","✗  AVOID"))))</f>
        <v>★  FAIR</v>
      </c>
    </row>
    <row r="496" customFormat="false" ht="15" hidden="false" customHeight="true" outlineLevel="0" collapsed="false">
      <c r="A496" s="218" t="n">
        <v>53.9</v>
      </c>
      <c r="B496" s="219" t="n">
        <f aca="false">IF(Calculator!$E$12="YES",IF(A496&lt;Calculator!$G$12,0,MIN(MIN(MOD(A496/Calculator!$F$12,1),1-MOD(A496/Calculator!$F$12,1)),ABS(MOD(A496/Calculator!$F$12,1)-0.5))),1)</f>
        <v>1</v>
      </c>
      <c r="C496" s="219" t="n">
        <f aca="false">IF(Calculator!$E$13="YES",IF(A496&lt;Calculator!$G$13,0,MIN(MIN(MOD(A496/Calculator!$F$13,1),1-MOD(A496/Calculator!$F$13,1)),ABS(MOD(A496/Calculator!$F$13,1)-0.5))),1)</f>
        <v>1</v>
      </c>
      <c r="D496" s="219" t="n">
        <f aca="false">IF(Calculator!$E$14="YES",IF(A496&lt;Calculator!$G$14,0,MIN(MIN(MOD(A496/Calculator!$F$14,1),1-MOD(A496/Calculator!$F$14,1)),ABS(MOD(A496/Calculator!$F$14,1)-0.5))),1)</f>
        <v>1</v>
      </c>
      <c r="E496" s="219" t="n">
        <f aca="false">IF(Calculator!$E$15="YES",IF(A496&lt;Calculator!$G$15,0,MIN(MIN(MOD(A496/Calculator!$F$15,1),1-MOD(A496/Calculator!$F$15,1)),ABS(MOD(A496/Calculator!$F$15,1)-0.5))),1)</f>
        <v>0.204456140350877</v>
      </c>
      <c r="F496" s="219" t="n">
        <f aca="false">IF(Calculator!$E$16="YES",IF(A496&lt;Calculator!$G$16,0,MIN(MIN(MOD(A496/Calculator!$F$16,1),1-MOD(A496/Calculator!$F$16,1)),ABS(MOD(A496/Calculator!$F$16,1)-0.5))),1)</f>
        <v>1</v>
      </c>
      <c r="G496" s="219" t="n">
        <f aca="false">IF(Calculator!$E$17="YES",IF(A496&lt;Calculator!$G$17,0,MIN(MIN(MOD(A496/Calculator!$F$17,1),1-MOD(A496/Calculator!$F$17,1)),ABS(MOD(A496/Calculator!$F$17,1)-0.5))),1)</f>
        <v>0.138368421052632</v>
      </c>
      <c r="H496" s="219" t="n">
        <f aca="false">IF(Calculator!$E$18="YES",IF(A496&lt;Calculator!$G$18,0,MIN(MIN(MOD(A496/Calculator!$F$18,1),1-MOD(A496/Calculator!$F$18,1)),ABS(MOD(A496/Calculator!$F$18,1)-0.5))),1)</f>
        <v>1</v>
      </c>
      <c r="I496" s="219" t="n">
        <f aca="false">IF(Calculator!$E$19="YES",IF(A496&lt;Calculator!$G$19,0,MIN(MIN(MOD(A496/Calculator!$F$19,1),1-MOD(A496/Calculator!$F$19,1)),ABS(MOD(A496/Calculator!$F$19,1)-0.5))),1)</f>
        <v>1</v>
      </c>
      <c r="J496" s="219" t="n">
        <f aca="false">IF(Calculator!$E$20="YES",IF(A496&lt;Calculator!$G$20,0,MIN(MIN(MOD(A496/Calculator!$F$20,1),1-MOD(A496/Calculator!$F$20,1)),ABS(MOD(A496/Calculator!$F$20,1)-0.5))),1)</f>
        <v>1</v>
      </c>
      <c r="K496" s="219" t="n">
        <f aca="false">IF(Calculator!$E$21="YES",IF(A496&lt;Calculator!$G$21,0,MIN(MIN(MOD(A496/Calculator!$F$21,1),1-MOD(A496/Calculator!$F$21,1)),ABS(MOD(A496/Calculator!$F$21,1)-0.5))),1)</f>
        <v>0.0876140350877197</v>
      </c>
      <c r="L496" s="219" t="n">
        <f aca="false">IF(Calculator!$E$22="YES",IF(A496&lt;Calculator!$G$22,0,MIN(MIN(MOD(A496/Calculator!$F$22,1),1-MOD(A496/Calculator!$F$22,1)),ABS(MOD(A496/Calculator!$F$22,1)-0.5))),1)</f>
        <v>1</v>
      </c>
      <c r="M496" s="219" t="n">
        <f aca="false">MIN(B496:L496)</f>
        <v>0.0876140350877197</v>
      </c>
      <c r="N496" s="219" t="n">
        <f aca="false">SUMPRODUCT(($M$7:$M$557&gt;M496)*1)+SUMPRODUCT(($M$7:$M$557=M496)*(ROW($M$7:$M$557)&lt;ROW(M496)))+1</f>
        <v>141</v>
      </c>
      <c r="O496" s="219" t="str">
        <f aca="false">IF(M496&gt;=0.2,"★★★ EXCELLENT",IF(M496&gt;=0.12,"★★  GOOD",IF(M496&gt;=0.07,"★  FAIR",IF(M496&gt;=0.025,"⚠  MARGINAL","✗  AVOID"))))</f>
        <v>★  FAIR</v>
      </c>
    </row>
    <row r="497" customFormat="false" ht="15" hidden="false" customHeight="true" outlineLevel="0" collapsed="false">
      <c r="A497" s="216" t="n">
        <v>54</v>
      </c>
      <c r="B497" s="217" t="n">
        <f aca="false">IF(Calculator!$E$12="YES",IF(A497&lt;Calculator!$G$12,0,MIN(MIN(MOD(A497/Calculator!$F$12,1),1-MOD(A497/Calculator!$F$12,1)),ABS(MOD(A497/Calculator!$F$12,1)-0.5))),1)</f>
        <v>1</v>
      </c>
      <c r="C497" s="217" t="n">
        <f aca="false">IF(Calculator!$E$13="YES",IF(A497&lt;Calculator!$G$13,0,MIN(MIN(MOD(A497/Calculator!$F$13,1),1-MOD(A497/Calculator!$F$13,1)),ABS(MOD(A497/Calculator!$F$13,1)-0.5))),1)</f>
        <v>1</v>
      </c>
      <c r="D497" s="217" t="n">
        <f aca="false">IF(Calculator!$E$14="YES",IF(A497&lt;Calculator!$G$14,0,MIN(MIN(MOD(A497/Calculator!$F$14,1),1-MOD(A497/Calculator!$F$14,1)),ABS(MOD(A497/Calculator!$F$14,1)-0.5))),1)</f>
        <v>1</v>
      </c>
      <c r="E497" s="217" t="n">
        <f aca="false">IF(Calculator!$E$15="YES",IF(A497&lt;Calculator!$G$15,0,MIN(MIN(MOD(A497/Calculator!$F$15,1),1-MOD(A497/Calculator!$F$15,1)),ABS(MOD(A497/Calculator!$F$15,1)-0.5))),1)</f>
        <v>0.209473684210526</v>
      </c>
      <c r="F497" s="217" t="n">
        <f aca="false">IF(Calculator!$E$16="YES",IF(A497&lt;Calculator!$G$16,0,MIN(MIN(MOD(A497/Calculator!$F$16,1),1-MOD(A497/Calculator!$F$16,1)),ABS(MOD(A497/Calculator!$F$16,1)-0.5))),1)</f>
        <v>1</v>
      </c>
      <c r="G497" s="217" t="n">
        <f aca="false">IF(Calculator!$E$17="YES",IF(A497&lt;Calculator!$G$17,0,MIN(MIN(MOD(A497/Calculator!$F$17,1),1-MOD(A497/Calculator!$F$17,1)),ABS(MOD(A497/Calculator!$F$17,1)-0.5))),1)</f>
        <v>0.128421052631579</v>
      </c>
      <c r="H497" s="217" t="n">
        <f aca="false">IF(Calculator!$E$18="YES",IF(A497&lt;Calculator!$G$18,0,MIN(MIN(MOD(A497/Calculator!$F$18,1),1-MOD(A497/Calculator!$F$18,1)),ABS(MOD(A497/Calculator!$F$18,1)-0.5))),1)</f>
        <v>1</v>
      </c>
      <c r="I497" s="217" t="n">
        <f aca="false">IF(Calculator!$E$19="YES",IF(A497&lt;Calculator!$G$19,0,MIN(MIN(MOD(A497/Calculator!$F$19,1),1-MOD(A497/Calculator!$F$19,1)),ABS(MOD(A497/Calculator!$F$19,1)-0.5))),1)</f>
        <v>1</v>
      </c>
      <c r="J497" s="217" t="n">
        <f aca="false">IF(Calculator!$E$20="YES",IF(A497&lt;Calculator!$G$20,0,MIN(MIN(MOD(A497/Calculator!$F$20,1),1-MOD(A497/Calculator!$F$20,1)),ABS(MOD(A497/Calculator!$F$20,1)-0.5))),1)</f>
        <v>1</v>
      </c>
      <c r="K497" s="217" t="n">
        <f aca="false">IF(Calculator!$E$21="YES",IF(A497&lt;Calculator!$G$21,0,MIN(MIN(MOD(A497/Calculator!$F$21,1),1-MOD(A497/Calculator!$F$21,1)),ABS(MOD(A497/Calculator!$F$21,1)-0.5))),1)</f>
        <v>0.0673684210526311</v>
      </c>
      <c r="L497" s="217" t="n">
        <f aca="false">IF(Calculator!$E$22="YES",IF(A497&lt;Calculator!$G$22,0,MIN(MIN(MOD(A497/Calculator!$F$22,1),1-MOD(A497/Calculator!$F$22,1)),ABS(MOD(A497/Calculator!$F$22,1)-0.5))),1)</f>
        <v>1</v>
      </c>
      <c r="M497" s="217" t="n">
        <f aca="false">MIN(B497:L497)</f>
        <v>0.0673684210526311</v>
      </c>
      <c r="N497" s="217" t="n">
        <f aca="false">SUMPRODUCT(($M$7:$M$557&gt;M497)*1)+SUMPRODUCT(($M$7:$M$557=M497)*(ROW($M$7:$M$557)&lt;ROW(M497)))+1</f>
        <v>216</v>
      </c>
      <c r="O497" s="217" t="str">
        <f aca="false">IF(M497&gt;=0.2,"★★★ EXCELLENT",IF(M497&gt;=0.12,"★★  GOOD",IF(M497&gt;=0.07,"★  FAIR",IF(M497&gt;=0.025,"⚠  MARGINAL","✗  AVOID"))))</f>
        <v>⚠  MARGINAL</v>
      </c>
    </row>
    <row r="498" customFormat="false" ht="15" hidden="false" customHeight="true" outlineLevel="0" collapsed="false">
      <c r="A498" s="218" t="n">
        <v>54.1</v>
      </c>
      <c r="B498" s="219" t="n">
        <f aca="false">IF(Calculator!$E$12="YES",IF(A498&lt;Calculator!$G$12,0,MIN(MIN(MOD(A498/Calculator!$F$12,1),1-MOD(A498/Calculator!$F$12,1)),ABS(MOD(A498/Calculator!$F$12,1)-0.5))),1)</f>
        <v>1</v>
      </c>
      <c r="C498" s="219" t="n">
        <f aca="false">IF(Calculator!$E$13="YES",IF(A498&lt;Calculator!$G$13,0,MIN(MIN(MOD(A498/Calculator!$F$13,1),1-MOD(A498/Calculator!$F$13,1)),ABS(MOD(A498/Calculator!$F$13,1)-0.5))),1)</f>
        <v>1</v>
      </c>
      <c r="D498" s="219" t="n">
        <f aca="false">IF(Calculator!$E$14="YES",IF(A498&lt;Calculator!$G$14,0,MIN(MIN(MOD(A498/Calculator!$F$14,1),1-MOD(A498/Calculator!$F$14,1)),ABS(MOD(A498/Calculator!$F$14,1)-0.5))),1)</f>
        <v>1</v>
      </c>
      <c r="E498" s="219" t="n">
        <f aca="false">IF(Calculator!$E$15="YES",IF(A498&lt;Calculator!$G$15,0,MIN(MIN(MOD(A498/Calculator!$F$15,1),1-MOD(A498/Calculator!$F$15,1)),ABS(MOD(A498/Calculator!$F$15,1)-0.5))),1)</f>
        <v>0.214491228070175</v>
      </c>
      <c r="F498" s="219" t="n">
        <f aca="false">IF(Calculator!$E$16="YES",IF(A498&lt;Calculator!$G$16,0,MIN(MIN(MOD(A498/Calculator!$F$16,1),1-MOD(A498/Calculator!$F$16,1)),ABS(MOD(A498/Calculator!$F$16,1)-0.5))),1)</f>
        <v>1</v>
      </c>
      <c r="G498" s="219" t="n">
        <f aca="false">IF(Calculator!$E$17="YES",IF(A498&lt;Calculator!$G$17,0,MIN(MIN(MOD(A498/Calculator!$F$17,1),1-MOD(A498/Calculator!$F$17,1)),ABS(MOD(A498/Calculator!$F$17,1)-0.5))),1)</f>
        <v>0.118473684210525</v>
      </c>
      <c r="H498" s="219" t="n">
        <f aca="false">IF(Calculator!$E$18="YES",IF(A498&lt;Calculator!$G$18,0,MIN(MIN(MOD(A498/Calculator!$F$18,1),1-MOD(A498/Calculator!$F$18,1)),ABS(MOD(A498/Calculator!$F$18,1)-0.5))),1)</f>
        <v>1</v>
      </c>
      <c r="I498" s="219" t="n">
        <f aca="false">IF(Calculator!$E$19="YES",IF(A498&lt;Calculator!$G$19,0,MIN(MIN(MOD(A498/Calculator!$F$19,1),1-MOD(A498/Calculator!$F$19,1)),ABS(MOD(A498/Calculator!$F$19,1)-0.5))),1)</f>
        <v>1</v>
      </c>
      <c r="J498" s="219" t="n">
        <f aca="false">IF(Calculator!$E$20="YES",IF(A498&lt;Calculator!$G$20,0,MIN(MIN(MOD(A498/Calculator!$F$20,1),1-MOD(A498/Calculator!$F$20,1)),ABS(MOD(A498/Calculator!$F$20,1)-0.5))),1)</f>
        <v>1</v>
      </c>
      <c r="K498" s="219" t="n">
        <f aca="false">IF(Calculator!$E$21="YES",IF(A498&lt;Calculator!$G$21,0,MIN(MIN(MOD(A498/Calculator!$F$21,1),1-MOD(A498/Calculator!$F$21,1)),ABS(MOD(A498/Calculator!$F$21,1)-0.5))),1)</f>
        <v>0.0471228070175442</v>
      </c>
      <c r="L498" s="219" t="n">
        <f aca="false">IF(Calculator!$E$22="YES",IF(A498&lt;Calculator!$G$22,0,MIN(MIN(MOD(A498/Calculator!$F$22,1),1-MOD(A498/Calculator!$F$22,1)),ABS(MOD(A498/Calculator!$F$22,1)-0.5))),1)</f>
        <v>1</v>
      </c>
      <c r="M498" s="219" t="n">
        <f aca="false">MIN(B498:L498)</f>
        <v>0.0471228070175442</v>
      </c>
      <c r="N498" s="219" t="n">
        <f aca="false">SUMPRODUCT(($M$7:$M$557&gt;M498)*1)+SUMPRODUCT(($M$7:$M$557=M498)*(ROW($M$7:$M$557)&lt;ROW(M498)))+1</f>
        <v>296</v>
      </c>
      <c r="O498" s="219" t="str">
        <f aca="false">IF(M498&gt;=0.2,"★★★ EXCELLENT",IF(M498&gt;=0.12,"★★  GOOD",IF(M498&gt;=0.07,"★  FAIR",IF(M498&gt;=0.025,"⚠  MARGINAL","✗  AVOID"))))</f>
        <v>⚠  MARGINAL</v>
      </c>
    </row>
    <row r="499" customFormat="false" ht="15" hidden="false" customHeight="true" outlineLevel="0" collapsed="false">
      <c r="A499" s="216" t="n">
        <v>54.2</v>
      </c>
      <c r="B499" s="217" t="n">
        <f aca="false">IF(Calculator!$E$12="YES",IF(A499&lt;Calculator!$G$12,0,MIN(MIN(MOD(A499/Calculator!$F$12,1),1-MOD(A499/Calculator!$F$12,1)),ABS(MOD(A499/Calculator!$F$12,1)-0.5))),1)</f>
        <v>1</v>
      </c>
      <c r="C499" s="217" t="n">
        <f aca="false">IF(Calculator!$E$13="YES",IF(A499&lt;Calculator!$G$13,0,MIN(MIN(MOD(A499/Calculator!$F$13,1),1-MOD(A499/Calculator!$F$13,1)),ABS(MOD(A499/Calculator!$F$13,1)-0.5))),1)</f>
        <v>1</v>
      </c>
      <c r="D499" s="217" t="n">
        <f aca="false">IF(Calculator!$E$14="YES",IF(A499&lt;Calculator!$G$14,0,MIN(MIN(MOD(A499/Calculator!$F$14,1),1-MOD(A499/Calculator!$F$14,1)),ABS(MOD(A499/Calculator!$F$14,1)-0.5))),1)</f>
        <v>1</v>
      </c>
      <c r="E499" s="217" t="n">
        <f aca="false">IF(Calculator!$E$15="YES",IF(A499&lt;Calculator!$G$15,0,MIN(MIN(MOD(A499/Calculator!$F$15,1),1-MOD(A499/Calculator!$F$15,1)),ABS(MOD(A499/Calculator!$F$15,1)-0.5))),1)</f>
        <v>0.219508771929825</v>
      </c>
      <c r="F499" s="217" t="n">
        <f aca="false">IF(Calculator!$E$16="YES",IF(A499&lt;Calculator!$G$16,0,MIN(MIN(MOD(A499/Calculator!$F$16,1),1-MOD(A499/Calculator!$F$16,1)),ABS(MOD(A499/Calculator!$F$16,1)-0.5))),1)</f>
        <v>1</v>
      </c>
      <c r="G499" s="217" t="n">
        <f aca="false">IF(Calculator!$E$17="YES",IF(A499&lt;Calculator!$G$17,0,MIN(MIN(MOD(A499/Calculator!$F$17,1),1-MOD(A499/Calculator!$F$17,1)),ABS(MOD(A499/Calculator!$F$17,1)-0.5))),1)</f>
        <v>0.108526315789473</v>
      </c>
      <c r="H499" s="217" t="n">
        <f aca="false">IF(Calculator!$E$18="YES",IF(A499&lt;Calculator!$G$18,0,MIN(MIN(MOD(A499/Calculator!$F$18,1),1-MOD(A499/Calculator!$F$18,1)),ABS(MOD(A499/Calculator!$F$18,1)-0.5))),1)</f>
        <v>1</v>
      </c>
      <c r="I499" s="217" t="n">
        <f aca="false">IF(Calculator!$E$19="YES",IF(A499&lt;Calculator!$G$19,0,MIN(MIN(MOD(A499/Calculator!$F$19,1),1-MOD(A499/Calculator!$F$19,1)),ABS(MOD(A499/Calculator!$F$19,1)-0.5))),1)</f>
        <v>1</v>
      </c>
      <c r="J499" s="217" t="n">
        <f aca="false">IF(Calculator!$E$20="YES",IF(A499&lt;Calculator!$G$20,0,MIN(MIN(MOD(A499/Calculator!$F$20,1),1-MOD(A499/Calculator!$F$20,1)),ABS(MOD(A499/Calculator!$F$20,1)-0.5))),1)</f>
        <v>1</v>
      </c>
      <c r="K499" s="217" t="n">
        <f aca="false">IF(Calculator!$E$21="YES",IF(A499&lt;Calculator!$G$21,0,MIN(MIN(MOD(A499/Calculator!$F$21,1),1-MOD(A499/Calculator!$F$21,1)),ABS(MOD(A499/Calculator!$F$21,1)-0.5))),1)</f>
        <v>0.0268771929824556</v>
      </c>
      <c r="L499" s="217" t="n">
        <f aca="false">IF(Calculator!$E$22="YES",IF(A499&lt;Calculator!$G$22,0,MIN(MIN(MOD(A499/Calculator!$F$22,1),1-MOD(A499/Calculator!$F$22,1)),ABS(MOD(A499/Calculator!$F$22,1)-0.5))),1)</f>
        <v>1</v>
      </c>
      <c r="M499" s="217" t="n">
        <f aca="false">MIN(B499:L499)</f>
        <v>0.0268771929824556</v>
      </c>
      <c r="N499" s="217" t="n">
        <f aca="false">SUMPRODUCT(($M$7:$M$557&gt;M499)*1)+SUMPRODUCT(($M$7:$M$557=M499)*(ROW($M$7:$M$557)&lt;ROW(M499)))+1</f>
        <v>375</v>
      </c>
      <c r="O499" s="217" t="str">
        <f aca="false">IF(M499&gt;=0.2,"★★★ EXCELLENT",IF(M499&gt;=0.12,"★★  GOOD",IF(M499&gt;=0.07,"★  FAIR",IF(M499&gt;=0.025,"⚠  MARGINAL","✗  AVOID"))))</f>
        <v>⚠  MARGINAL</v>
      </c>
    </row>
    <row r="500" customFormat="false" ht="15" hidden="false" customHeight="true" outlineLevel="0" collapsed="false">
      <c r="A500" s="218" t="n">
        <v>54.3</v>
      </c>
      <c r="B500" s="219" t="n">
        <f aca="false">IF(Calculator!$E$12="YES",IF(A500&lt;Calculator!$G$12,0,MIN(MIN(MOD(A500/Calculator!$F$12,1),1-MOD(A500/Calculator!$F$12,1)),ABS(MOD(A500/Calculator!$F$12,1)-0.5))),1)</f>
        <v>1</v>
      </c>
      <c r="C500" s="219" t="n">
        <f aca="false">IF(Calculator!$E$13="YES",IF(A500&lt;Calculator!$G$13,0,MIN(MIN(MOD(A500/Calculator!$F$13,1),1-MOD(A500/Calculator!$F$13,1)),ABS(MOD(A500/Calculator!$F$13,1)-0.5))),1)</f>
        <v>1</v>
      </c>
      <c r="D500" s="219" t="n">
        <f aca="false">IF(Calculator!$E$14="YES",IF(A500&lt;Calculator!$G$14,0,MIN(MIN(MOD(A500/Calculator!$F$14,1),1-MOD(A500/Calculator!$F$14,1)),ABS(MOD(A500/Calculator!$F$14,1)-0.5))),1)</f>
        <v>1</v>
      </c>
      <c r="E500" s="219" t="n">
        <f aca="false">IF(Calculator!$E$15="YES",IF(A500&lt;Calculator!$G$15,0,MIN(MIN(MOD(A500/Calculator!$F$15,1),1-MOD(A500/Calculator!$F$15,1)),ABS(MOD(A500/Calculator!$F$15,1)-0.5))),1)</f>
        <v>0.224526315789474</v>
      </c>
      <c r="F500" s="219" t="n">
        <f aca="false">IF(Calculator!$E$16="YES",IF(A500&lt;Calculator!$G$16,0,MIN(MIN(MOD(A500/Calculator!$F$16,1),1-MOD(A500/Calculator!$F$16,1)),ABS(MOD(A500/Calculator!$F$16,1)-0.5))),1)</f>
        <v>1</v>
      </c>
      <c r="G500" s="219" t="n">
        <f aca="false">IF(Calculator!$E$17="YES",IF(A500&lt;Calculator!$G$17,0,MIN(MIN(MOD(A500/Calculator!$F$17,1),1-MOD(A500/Calculator!$F$17,1)),ABS(MOD(A500/Calculator!$F$17,1)-0.5))),1)</f>
        <v>0.0985789473684209</v>
      </c>
      <c r="H500" s="219" t="n">
        <f aca="false">IF(Calculator!$E$18="YES",IF(A500&lt;Calculator!$G$18,0,MIN(MIN(MOD(A500/Calculator!$F$18,1),1-MOD(A500/Calculator!$F$18,1)),ABS(MOD(A500/Calculator!$F$18,1)-0.5))),1)</f>
        <v>1</v>
      </c>
      <c r="I500" s="219" t="n">
        <f aca="false">IF(Calculator!$E$19="YES",IF(A500&lt;Calculator!$G$19,0,MIN(MIN(MOD(A500/Calculator!$F$19,1),1-MOD(A500/Calculator!$F$19,1)),ABS(MOD(A500/Calculator!$F$19,1)-0.5))),1)</f>
        <v>1</v>
      </c>
      <c r="J500" s="219" t="n">
        <f aca="false">IF(Calculator!$E$20="YES",IF(A500&lt;Calculator!$G$20,0,MIN(MIN(MOD(A500/Calculator!$F$20,1),1-MOD(A500/Calculator!$F$20,1)),ABS(MOD(A500/Calculator!$F$20,1)-0.5))),1)</f>
        <v>1</v>
      </c>
      <c r="K500" s="219" t="n">
        <f aca="false">IF(Calculator!$E$21="YES",IF(A500&lt;Calculator!$G$21,0,MIN(MIN(MOD(A500/Calculator!$F$21,1),1-MOD(A500/Calculator!$F$21,1)),ABS(MOD(A500/Calculator!$F$21,1)-0.5))),1)</f>
        <v>0.00663157894736877</v>
      </c>
      <c r="L500" s="219" t="n">
        <f aca="false">IF(Calculator!$E$22="YES",IF(A500&lt;Calculator!$G$22,0,MIN(MIN(MOD(A500/Calculator!$F$22,1),1-MOD(A500/Calculator!$F$22,1)),ABS(MOD(A500/Calculator!$F$22,1)-0.5))),1)</f>
        <v>1</v>
      </c>
      <c r="M500" s="219" t="n">
        <f aca="false">MIN(B500:L500)</f>
        <v>0.00663157894736877</v>
      </c>
      <c r="N500" s="219" t="n">
        <f aca="false">SUMPRODUCT(($M$7:$M$557&gt;M500)*1)+SUMPRODUCT(($M$7:$M$557=M500)*(ROW($M$7:$M$557)&lt;ROW(M500)))+1</f>
        <v>461</v>
      </c>
      <c r="O500" s="219" t="str">
        <f aca="false">IF(M500&gt;=0.2,"★★★ EXCELLENT",IF(M500&gt;=0.12,"★★  GOOD",IF(M500&gt;=0.07,"★  FAIR",IF(M500&gt;=0.025,"⚠  MARGINAL","✗  AVOID"))))</f>
        <v>✗  AVOID</v>
      </c>
    </row>
    <row r="501" customFormat="false" ht="15" hidden="false" customHeight="true" outlineLevel="0" collapsed="false">
      <c r="A501" s="216" t="n">
        <v>54.4</v>
      </c>
      <c r="B501" s="217" t="n">
        <f aca="false">IF(Calculator!$E$12="YES",IF(A501&lt;Calculator!$G$12,0,MIN(MIN(MOD(A501/Calculator!$F$12,1),1-MOD(A501/Calculator!$F$12,1)),ABS(MOD(A501/Calculator!$F$12,1)-0.5))),1)</f>
        <v>1</v>
      </c>
      <c r="C501" s="217" t="n">
        <f aca="false">IF(Calculator!$E$13="YES",IF(A501&lt;Calculator!$G$13,0,MIN(MIN(MOD(A501/Calculator!$F$13,1),1-MOD(A501/Calculator!$F$13,1)),ABS(MOD(A501/Calculator!$F$13,1)-0.5))),1)</f>
        <v>1</v>
      </c>
      <c r="D501" s="217" t="n">
        <f aca="false">IF(Calculator!$E$14="YES",IF(A501&lt;Calculator!$G$14,0,MIN(MIN(MOD(A501/Calculator!$F$14,1),1-MOD(A501/Calculator!$F$14,1)),ABS(MOD(A501/Calculator!$F$14,1)-0.5))),1)</f>
        <v>1</v>
      </c>
      <c r="E501" s="217" t="n">
        <f aca="false">IF(Calculator!$E$15="YES",IF(A501&lt;Calculator!$G$15,0,MIN(MIN(MOD(A501/Calculator!$F$15,1),1-MOD(A501/Calculator!$F$15,1)),ABS(MOD(A501/Calculator!$F$15,1)-0.5))),1)</f>
        <v>0.229543859649123</v>
      </c>
      <c r="F501" s="217" t="n">
        <f aca="false">IF(Calculator!$E$16="YES",IF(A501&lt;Calculator!$G$16,0,MIN(MIN(MOD(A501/Calculator!$F$16,1),1-MOD(A501/Calculator!$F$16,1)),ABS(MOD(A501/Calculator!$F$16,1)-0.5))),1)</f>
        <v>1</v>
      </c>
      <c r="G501" s="217" t="n">
        <f aca="false">IF(Calculator!$E$17="YES",IF(A501&lt;Calculator!$G$17,0,MIN(MIN(MOD(A501/Calculator!$F$17,1),1-MOD(A501/Calculator!$F$17,1)),ABS(MOD(A501/Calculator!$F$17,1)-0.5))),1)</f>
        <v>0.0886315789473677</v>
      </c>
      <c r="H501" s="217" t="n">
        <f aca="false">IF(Calculator!$E$18="YES",IF(A501&lt;Calculator!$G$18,0,MIN(MIN(MOD(A501/Calculator!$F$18,1),1-MOD(A501/Calculator!$F$18,1)),ABS(MOD(A501/Calculator!$F$18,1)-0.5))),1)</f>
        <v>1</v>
      </c>
      <c r="I501" s="217" t="n">
        <f aca="false">IF(Calculator!$E$19="YES",IF(A501&lt;Calculator!$G$19,0,MIN(MIN(MOD(A501/Calculator!$F$19,1),1-MOD(A501/Calculator!$F$19,1)),ABS(MOD(A501/Calculator!$F$19,1)-0.5))),1)</f>
        <v>1</v>
      </c>
      <c r="J501" s="217" t="n">
        <f aca="false">IF(Calculator!$E$20="YES",IF(A501&lt;Calculator!$G$20,0,MIN(MIN(MOD(A501/Calculator!$F$20,1),1-MOD(A501/Calculator!$F$20,1)),ABS(MOD(A501/Calculator!$F$20,1)-0.5))),1)</f>
        <v>1</v>
      </c>
      <c r="K501" s="217" t="n">
        <f aca="false">IF(Calculator!$E$21="YES",IF(A501&lt;Calculator!$G$21,0,MIN(MIN(MOD(A501/Calculator!$F$21,1),1-MOD(A501/Calculator!$F$21,1)),ABS(MOD(A501/Calculator!$F$21,1)-0.5))),1)</f>
        <v>0.0136140350877181</v>
      </c>
      <c r="L501" s="217" t="n">
        <f aca="false">IF(Calculator!$E$22="YES",IF(A501&lt;Calculator!$G$22,0,MIN(MIN(MOD(A501/Calculator!$F$22,1),1-MOD(A501/Calculator!$F$22,1)),ABS(MOD(A501/Calculator!$F$22,1)-0.5))),1)</f>
        <v>1</v>
      </c>
      <c r="M501" s="217" t="n">
        <f aca="false">MIN(B501:L501)</f>
        <v>0.0136140350877181</v>
      </c>
      <c r="N501" s="217" t="n">
        <f aca="false">SUMPRODUCT(($M$7:$M$557&gt;M501)*1)+SUMPRODUCT(($M$7:$M$557=M501)*(ROW($M$7:$M$557)&lt;ROW(M501)))+1</f>
        <v>427</v>
      </c>
      <c r="O501" s="217" t="str">
        <f aca="false">IF(M501&gt;=0.2,"★★★ EXCELLENT",IF(M501&gt;=0.12,"★★  GOOD",IF(M501&gt;=0.07,"★  FAIR",IF(M501&gt;=0.025,"⚠  MARGINAL","✗  AVOID"))))</f>
        <v>✗  AVOID</v>
      </c>
    </row>
    <row r="502" customFormat="false" ht="15" hidden="false" customHeight="true" outlineLevel="0" collapsed="false">
      <c r="A502" s="218" t="n">
        <v>54.5</v>
      </c>
      <c r="B502" s="219" t="n">
        <f aca="false">IF(Calculator!$E$12="YES",IF(A502&lt;Calculator!$G$12,0,MIN(MIN(MOD(A502/Calculator!$F$12,1),1-MOD(A502/Calculator!$F$12,1)),ABS(MOD(A502/Calculator!$F$12,1)-0.5))),1)</f>
        <v>1</v>
      </c>
      <c r="C502" s="219" t="n">
        <f aca="false">IF(Calculator!$E$13="YES",IF(A502&lt;Calculator!$G$13,0,MIN(MIN(MOD(A502/Calculator!$F$13,1),1-MOD(A502/Calculator!$F$13,1)),ABS(MOD(A502/Calculator!$F$13,1)-0.5))),1)</f>
        <v>1</v>
      </c>
      <c r="D502" s="219" t="n">
        <f aca="false">IF(Calculator!$E$14="YES",IF(A502&lt;Calculator!$G$14,0,MIN(MIN(MOD(A502/Calculator!$F$14,1),1-MOD(A502/Calculator!$F$14,1)),ABS(MOD(A502/Calculator!$F$14,1)-0.5))),1)</f>
        <v>1</v>
      </c>
      <c r="E502" s="219" t="n">
        <f aca="false">IF(Calculator!$E$15="YES",IF(A502&lt;Calculator!$G$15,0,MIN(MIN(MOD(A502/Calculator!$F$15,1),1-MOD(A502/Calculator!$F$15,1)),ABS(MOD(A502/Calculator!$F$15,1)-0.5))),1)</f>
        <v>0.234561403508772</v>
      </c>
      <c r="F502" s="219" t="n">
        <f aca="false">IF(Calculator!$E$16="YES",IF(A502&lt;Calculator!$G$16,0,MIN(MIN(MOD(A502/Calculator!$F$16,1),1-MOD(A502/Calculator!$F$16,1)),ABS(MOD(A502/Calculator!$F$16,1)-0.5))),1)</f>
        <v>1</v>
      </c>
      <c r="G502" s="219" t="n">
        <f aca="false">IF(Calculator!$E$17="YES",IF(A502&lt;Calculator!$G$17,0,MIN(MIN(MOD(A502/Calculator!$F$17,1),1-MOD(A502/Calculator!$F$17,1)),ABS(MOD(A502/Calculator!$F$17,1)-0.5))),1)</f>
        <v>0.0786842105263155</v>
      </c>
      <c r="H502" s="219" t="n">
        <f aca="false">IF(Calculator!$E$18="YES",IF(A502&lt;Calculator!$G$18,0,MIN(MIN(MOD(A502/Calculator!$F$18,1),1-MOD(A502/Calculator!$F$18,1)),ABS(MOD(A502/Calculator!$F$18,1)-0.5))),1)</f>
        <v>1</v>
      </c>
      <c r="I502" s="219" t="n">
        <f aca="false">IF(Calculator!$E$19="YES",IF(A502&lt;Calculator!$G$19,0,MIN(MIN(MOD(A502/Calculator!$F$19,1),1-MOD(A502/Calculator!$F$19,1)),ABS(MOD(A502/Calculator!$F$19,1)-0.5))),1)</f>
        <v>1</v>
      </c>
      <c r="J502" s="219" t="n">
        <f aca="false">IF(Calculator!$E$20="YES",IF(A502&lt;Calculator!$G$20,0,MIN(MIN(MOD(A502/Calculator!$F$20,1),1-MOD(A502/Calculator!$F$20,1)),ABS(MOD(A502/Calculator!$F$20,1)-0.5))),1)</f>
        <v>1</v>
      </c>
      <c r="K502" s="219" t="n">
        <f aca="false">IF(Calculator!$E$21="YES",IF(A502&lt;Calculator!$G$21,0,MIN(MIN(MOD(A502/Calculator!$F$21,1),1-MOD(A502/Calculator!$F$21,1)),ABS(MOD(A502/Calculator!$F$21,1)-0.5))),1)</f>
        <v>0.0338596491228067</v>
      </c>
      <c r="L502" s="219" t="n">
        <f aca="false">IF(Calculator!$E$22="YES",IF(A502&lt;Calculator!$G$22,0,MIN(MIN(MOD(A502/Calculator!$F$22,1),1-MOD(A502/Calculator!$F$22,1)),ABS(MOD(A502/Calculator!$F$22,1)-0.5))),1)</f>
        <v>1</v>
      </c>
      <c r="M502" s="219" t="n">
        <f aca="false">MIN(B502:L502)</f>
        <v>0.0338596491228067</v>
      </c>
      <c r="N502" s="219" t="n">
        <f aca="false">SUMPRODUCT(($M$7:$M$557&gt;M502)*1)+SUMPRODUCT(($M$7:$M$557=M502)*(ROW($M$7:$M$557)&lt;ROW(M502)))+1</f>
        <v>347</v>
      </c>
      <c r="O502" s="219" t="str">
        <f aca="false">IF(M502&gt;=0.2,"★★★ EXCELLENT",IF(M502&gt;=0.12,"★★  GOOD",IF(M502&gt;=0.07,"★  FAIR",IF(M502&gt;=0.025,"⚠  MARGINAL","✗  AVOID"))))</f>
        <v>⚠  MARGINAL</v>
      </c>
    </row>
    <row r="503" customFormat="false" ht="15" hidden="false" customHeight="true" outlineLevel="0" collapsed="false">
      <c r="A503" s="216" t="n">
        <v>54.6</v>
      </c>
      <c r="B503" s="217" t="n">
        <f aca="false">IF(Calculator!$E$12="YES",IF(A503&lt;Calculator!$G$12,0,MIN(MIN(MOD(A503/Calculator!$F$12,1),1-MOD(A503/Calculator!$F$12,1)),ABS(MOD(A503/Calculator!$F$12,1)-0.5))),1)</f>
        <v>1</v>
      </c>
      <c r="C503" s="217" t="n">
        <f aca="false">IF(Calculator!$E$13="YES",IF(A503&lt;Calculator!$G$13,0,MIN(MIN(MOD(A503/Calculator!$F$13,1),1-MOD(A503/Calculator!$F$13,1)),ABS(MOD(A503/Calculator!$F$13,1)-0.5))),1)</f>
        <v>1</v>
      </c>
      <c r="D503" s="217" t="n">
        <f aca="false">IF(Calculator!$E$14="YES",IF(A503&lt;Calculator!$G$14,0,MIN(MIN(MOD(A503/Calculator!$F$14,1),1-MOD(A503/Calculator!$F$14,1)),ABS(MOD(A503/Calculator!$F$14,1)-0.5))),1)</f>
        <v>1</v>
      </c>
      <c r="E503" s="217" t="n">
        <f aca="false">IF(Calculator!$E$15="YES",IF(A503&lt;Calculator!$G$15,0,MIN(MIN(MOD(A503/Calculator!$F$15,1),1-MOD(A503/Calculator!$F$15,1)),ABS(MOD(A503/Calculator!$F$15,1)-0.5))),1)</f>
        <v>0.239578947368421</v>
      </c>
      <c r="F503" s="217" t="n">
        <f aca="false">IF(Calculator!$E$16="YES",IF(A503&lt;Calculator!$G$16,0,MIN(MIN(MOD(A503/Calculator!$F$16,1),1-MOD(A503/Calculator!$F$16,1)),ABS(MOD(A503/Calculator!$F$16,1)-0.5))),1)</f>
        <v>1</v>
      </c>
      <c r="G503" s="217" t="n">
        <f aca="false">IF(Calculator!$E$17="YES",IF(A503&lt;Calculator!$G$17,0,MIN(MIN(MOD(A503/Calculator!$F$17,1),1-MOD(A503/Calculator!$F$17,1)),ABS(MOD(A503/Calculator!$F$17,1)-0.5))),1)</f>
        <v>0.0687368421052623</v>
      </c>
      <c r="H503" s="217" t="n">
        <f aca="false">IF(Calculator!$E$18="YES",IF(A503&lt;Calculator!$G$18,0,MIN(MIN(MOD(A503/Calculator!$F$18,1),1-MOD(A503/Calculator!$F$18,1)),ABS(MOD(A503/Calculator!$F$18,1)-0.5))),1)</f>
        <v>1</v>
      </c>
      <c r="I503" s="217" t="n">
        <f aca="false">IF(Calculator!$E$19="YES",IF(A503&lt;Calculator!$G$19,0,MIN(MIN(MOD(A503/Calculator!$F$19,1),1-MOD(A503/Calculator!$F$19,1)),ABS(MOD(A503/Calculator!$F$19,1)-0.5))),1)</f>
        <v>1</v>
      </c>
      <c r="J503" s="217" t="n">
        <f aca="false">IF(Calculator!$E$20="YES",IF(A503&lt;Calculator!$G$20,0,MIN(MIN(MOD(A503/Calculator!$F$20,1),1-MOD(A503/Calculator!$F$20,1)),ABS(MOD(A503/Calculator!$F$20,1)-0.5))),1)</f>
        <v>1</v>
      </c>
      <c r="K503" s="217" t="n">
        <f aca="false">IF(Calculator!$E$21="YES",IF(A503&lt;Calculator!$G$21,0,MIN(MIN(MOD(A503/Calculator!$F$21,1),1-MOD(A503/Calculator!$F$21,1)),ABS(MOD(A503/Calculator!$F$21,1)-0.5))),1)</f>
        <v>0.0541052631578953</v>
      </c>
      <c r="L503" s="217" t="n">
        <f aca="false">IF(Calculator!$E$22="YES",IF(A503&lt;Calculator!$G$22,0,MIN(MIN(MOD(A503/Calculator!$F$22,1),1-MOD(A503/Calculator!$F$22,1)),ABS(MOD(A503/Calculator!$F$22,1)-0.5))),1)</f>
        <v>1</v>
      </c>
      <c r="M503" s="217" t="n">
        <f aca="false">MIN(B503:L503)</f>
        <v>0.0541052631578953</v>
      </c>
      <c r="N503" s="217" t="n">
        <f aca="false">SUMPRODUCT(($M$7:$M$557&gt;M503)*1)+SUMPRODUCT(($M$7:$M$557=M503)*(ROW($M$7:$M$557)&lt;ROW(M503)))+1</f>
        <v>267</v>
      </c>
      <c r="O503" s="217" t="str">
        <f aca="false">IF(M503&gt;=0.2,"★★★ EXCELLENT",IF(M503&gt;=0.12,"★★  GOOD",IF(M503&gt;=0.07,"★  FAIR",IF(M503&gt;=0.025,"⚠  MARGINAL","✗  AVOID"))))</f>
        <v>⚠  MARGINAL</v>
      </c>
    </row>
    <row r="504" customFormat="false" ht="15" hidden="false" customHeight="true" outlineLevel="0" collapsed="false">
      <c r="A504" s="218" t="n">
        <v>54.7</v>
      </c>
      <c r="B504" s="219" t="n">
        <f aca="false">IF(Calculator!$E$12="YES",IF(A504&lt;Calculator!$G$12,0,MIN(MIN(MOD(A504/Calculator!$F$12,1),1-MOD(A504/Calculator!$F$12,1)),ABS(MOD(A504/Calculator!$F$12,1)-0.5))),1)</f>
        <v>1</v>
      </c>
      <c r="C504" s="219" t="n">
        <f aca="false">IF(Calculator!$E$13="YES",IF(A504&lt;Calculator!$G$13,0,MIN(MIN(MOD(A504/Calculator!$F$13,1),1-MOD(A504/Calculator!$F$13,1)),ABS(MOD(A504/Calculator!$F$13,1)-0.5))),1)</f>
        <v>1</v>
      </c>
      <c r="D504" s="219" t="n">
        <f aca="false">IF(Calculator!$E$14="YES",IF(A504&lt;Calculator!$G$14,0,MIN(MIN(MOD(A504/Calculator!$F$14,1),1-MOD(A504/Calculator!$F$14,1)),ABS(MOD(A504/Calculator!$F$14,1)-0.5))),1)</f>
        <v>1</v>
      </c>
      <c r="E504" s="219" t="n">
        <f aca="false">IF(Calculator!$E$15="YES",IF(A504&lt;Calculator!$G$15,0,MIN(MIN(MOD(A504/Calculator!$F$15,1),1-MOD(A504/Calculator!$F$15,1)),ABS(MOD(A504/Calculator!$F$15,1)-0.5))),1)</f>
        <v>0.24459649122807</v>
      </c>
      <c r="F504" s="219" t="n">
        <f aca="false">IF(Calculator!$E$16="YES",IF(A504&lt;Calculator!$G$16,0,MIN(MIN(MOD(A504/Calculator!$F$16,1),1-MOD(A504/Calculator!$F$16,1)),ABS(MOD(A504/Calculator!$F$16,1)-0.5))),1)</f>
        <v>1</v>
      </c>
      <c r="G504" s="219" t="n">
        <f aca="false">IF(Calculator!$E$17="YES",IF(A504&lt;Calculator!$G$17,0,MIN(MIN(MOD(A504/Calculator!$F$17,1),1-MOD(A504/Calculator!$F$17,1)),ABS(MOD(A504/Calculator!$F$17,1)-0.5))),1)</f>
        <v>0.0587894736842101</v>
      </c>
      <c r="H504" s="219" t="n">
        <f aca="false">IF(Calculator!$E$18="YES",IF(A504&lt;Calculator!$G$18,0,MIN(MIN(MOD(A504/Calculator!$F$18,1),1-MOD(A504/Calculator!$F$18,1)),ABS(MOD(A504/Calculator!$F$18,1)-0.5))),1)</f>
        <v>1</v>
      </c>
      <c r="I504" s="219" t="n">
        <f aca="false">IF(Calculator!$E$19="YES",IF(A504&lt;Calculator!$G$19,0,MIN(MIN(MOD(A504/Calculator!$F$19,1),1-MOD(A504/Calculator!$F$19,1)),ABS(MOD(A504/Calculator!$F$19,1)-0.5))),1)</f>
        <v>1</v>
      </c>
      <c r="J504" s="219" t="n">
        <f aca="false">IF(Calculator!$E$20="YES",IF(A504&lt;Calculator!$G$20,0,MIN(MIN(MOD(A504/Calculator!$F$20,1),1-MOD(A504/Calculator!$F$20,1)),ABS(MOD(A504/Calculator!$F$20,1)-0.5))),1)</f>
        <v>1</v>
      </c>
      <c r="K504" s="219" t="n">
        <f aca="false">IF(Calculator!$E$21="YES",IF(A504&lt;Calculator!$G$21,0,MIN(MIN(MOD(A504/Calculator!$F$21,1),1-MOD(A504/Calculator!$F$21,1)),ABS(MOD(A504/Calculator!$F$21,1)-0.5))),1)</f>
        <v>0.0743508771929822</v>
      </c>
      <c r="L504" s="219" t="n">
        <f aca="false">IF(Calculator!$E$22="YES",IF(A504&lt;Calculator!$G$22,0,MIN(MIN(MOD(A504/Calculator!$F$22,1),1-MOD(A504/Calculator!$F$22,1)),ABS(MOD(A504/Calculator!$F$22,1)-0.5))),1)</f>
        <v>1</v>
      </c>
      <c r="M504" s="219" t="n">
        <f aca="false">MIN(B504:L504)</f>
        <v>0.0587894736842101</v>
      </c>
      <c r="N504" s="219" t="n">
        <f aca="false">SUMPRODUCT(($M$7:$M$557&gt;M504)*1)+SUMPRODUCT(($M$7:$M$557=M504)*(ROW($M$7:$M$557)&lt;ROW(M504)))+1</f>
        <v>249</v>
      </c>
      <c r="O504" s="219" t="str">
        <f aca="false">IF(M504&gt;=0.2,"★★★ EXCELLENT",IF(M504&gt;=0.12,"★★  GOOD",IF(M504&gt;=0.07,"★  FAIR",IF(M504&gt;=0.025,"⚠  MARGINAL","✗  AVOID"))))</f>
        <v>⚠  MARGINAL</v>
      </c>
    </row>
    <row r="505" customFormat="false" ht="15" hidden="false" customHeight="true" outlineLevel="0" collapsed="false">
      <c r="A505" s="216" t="n">
        <v>54.8</v>
      </c>
      <c r="B505" s="217" t="n">
        <f aca="false">IF(Calculator!$E$12="YES",IF(A505&lt;Calculator!$G$12,0,MIN(MIN(MOD(A505/Calculator!$F$12,1),1-MOD(A505/Calculator!$F$12,1)),ABS(MOD(A505/Calculator!$F$12,1)-0.5))),1)</f>
        <v>1</v>
      </c>
      <c r="C505" s="217" t="n">
        <f aca="false">IF(Calculator!$E$13="YES",IF(A505&lt;Calculator!$G$13,0,MIN(MIN(MOD(A505/Calculator!$F$13,1),1-MOD(A505/Calculator!$F$13,1)),ABS(MOD(A505/Calculator!$F$13,1)-0.5))),1)</f>
        <v>1</v>
      </c>
      <c r="D505" s="217" t="n">
        <f aca="false">IF(Calculator!$E$14="YES",IF(A505&lt;Calculator!$G$14,0,MIN(MIN(MOD(A505/Calculator!$F$14,1),1-MOD(A505/Calculator!$F$14,1)),ABS(MOD(A505/Calculator!$F$14,1)-0.5))),1)</f>
        <v>1</v>
      </c>
      <c r="E505" s="217" t="n">
        <f aca="false">IF(Calculator!$E$15="YES",IF(A505&lt;Calculator!$G$15,0,MIN(MIN(MOD(A505/Calculator!$F$15,1),1-MOD(A505/Calculator!$F$15,1)),ABS(MOD(A505/Calculator!$F$15,1)-0.5))),1)</f>
        <v>0.249614035087719</v>
      </c>
      <c r="F505" s="217" t="n">
        <f aca="false">IF(Calculator!$E$16="YES",IF(A505&lt;Calculator!$G$16,0,MIN(MIN(MOD(A505/Calculator!$F$16,1),1-MOD(A505/Calculator!$F$16,1)),ABS(MOD(A505/Calculator!$F$16,1)-0.5))),1)</f>
        <v>1</v>
      </c>
      <c r="G505" s="217" t="n">
        <f aca="false">IF(Calculator!$E$17="YES",IF(A505&lt;Calculator!$G$17,0,MIN(MIN(MOD(A505/Calculator!$F$17,1),1-MOD(A505/Calculator!$F$17,1)),ABS(MOD(A505/Calculator!$F$17,1)-0.5))),1)</f>
        <v>0.0488421052631578</v>
      </c>
      <c r="H505" s="217" t="n">
        <f aca="false">IF(Calculator!$E$18="YES",IF(A505&lt;Calculator!$G$18,0,MIN(MIN(MOD(A505/Calculator!$F$18,1),1-MOD(A505/Calculator!$F$18,1)),ABS(MOD(A505/Calculator!$F$18,1)-0.5))),1)</f>
        <v>1</v>
      </c>
      <c r="I505" s="217" t="n">
        <f aca="false">IF(Calculator!$E$19="YES",IF(A505&lt;Calculator!$G$19,0,MIN(MIN(MOD(A505/Calculator!$F$19,1),1-MOD(A505/Calculator!$F$19,1)),ABS(MOD(A505/Calculator!$F$19,1)-0.5))),1)</f>
        <v>1</v>
      </c>
      <c r="J505" s="217" t="n">
        <f aca="false">IF(Calculator!$E$20="YES",IF(A505&lt;Calculator!$G$20,0,MIN(MIN(MOD(A505/Calculator!$F$20,1),1-MOD(A505/Calculator!$F$20,1)),ABS(MOD(A505/Calculator!$F$20,1)-0.5))),1)</f>
        <v>1</v>
      </c>
      <c r="K505" s="217" t="n">
        <f aca="false">IF(Calculator!$E$21="YES",IF(A505&lt;Calculator!$G$21,0,MIN(MIN(MOD(A505/Calculator!$F$21,1),1-MOD(A505/Calculator!$F$21,1)),ABS(MOD(A505/Calculator!$F$21,1)-0.5))),1)</f>
        <v>0.094596491228069</v>
      </c>
      <c r="L505" s="217" t="n">
        <f aca="false">IF(Calculator!$E$22="YES",IF(A505&lt;Calculator!$G$22,0,MIN(MIN(MOD(A505/Calculator!$F$22,1),1-MOD(A505/Calculator!$F$22,1)),ABS(MOD(A505/Calculator!$F$22,1)-0.5))),1)</f>
        <v>1</v>
      </c>
      <c r="M505" s="217" t="n">
        <f aca="false">MIN(B505:L505)</f>
        <v>0.0488421052631578</v>
      </c>
      <c r="N505" s="217" t="n">
        <f aca="false">SUMPRODUCT(($M$7:$M$557&gt;M505)*1)+SUMPRODUCT(($M$7:$M$557=M505)*(ROW($M$7:$M$557)&lt;ROW(M505)))+1</f>
        <v>290</v>
      </c>
      <c r="O505" s="217" t="str">
        <f aca="false">IF(M505&gt;=0.2,"★★★ EXCELLENT",IF(M505&gt;=0.12,"★★  GOOD",IF(M505&gt;=0.07,"★  FAIR",IF(M505&gt;=0.025,"⚠  MARGINAL","✗  AVOID"))))</f>
        <v>⚠  MARGINAL</v>
      </c>
    </row>
    <row r="506" customFormat="false" ht="15" hidden="false" customHeight="true" outlineLevel="0" collapsed="false">
      <c r="A506" s="218" t="n">
        <v>54.9</v>
      </c>
      <c r="B506" s="219" t="n">
        <f aca="false">IF(Calculator!$E$12="YES",IF(A506&lt;Calculator!$G$12,0,MIN(MIN(MOD(A506/Calculator!$F$12,1),1-MOD(A506/Calculator!$F$12,1)),ABS(MOD(A506/Calculator!$F$12,1)-0.5))),1)</f>
        <v>1</v>
      </c>
      <c r="C506" s="219" t="n">
        <f aca="false">IF(Calculator!$E$13="YES",IF(A506&lt;Calculator!$G$13,0,MIN(MIN(MOD(A506/Calculator!$F$13,1),1-MOD(A506/Calculator!$F$13,1)),ABS(MOD(A506/Calculator!$F$13,1)-0.5))),1)</f>
        <v>1</v>
      </c>
      <c r="D506" s="219" t="n">
        <f aca="false">IF(Calculator!$E$14="YES",IF(A506&lt;Calculator!$G$14,0,MIN(MIN(MOD(A506/Calculator!$F$14,1),1-MOD(A506/Calculator!$F$14,1)),ABS(MOD(A506/Calculator!$F$14,1)-0.5))),1)</f>
        <v>1</v>
      </c>
      <c r="E506" s="219" t="n">
        <f aca="false">IF(Calculator!$E$15="YES",IF(A506&lt;Calculator!$G$15,0,MIN(MIN(MOD(A506/Calculator!$F$15,1),1-MOD(A506/Calculator!$F$15,1)),ABS(MOD(A506/Calculator!$F$15,1)-0.5))),1)</f>
        <v>0.245368421052631</v>
      </c>
      <c r="F506" s="219" t="n">
        <f aca="false">IF(Calculator!$E$16="YES",IF(A506&lt;Calculator!$G$16,0,MIN(MIN(MOD(A506/Calculator!$F$16,1),1-MOD(A506/Calculator!$F$16,1)),ABS(MOD(A506/Calculator!$F$16,1)-0.5))),1)</f>
        <v>1</v>
      </c>
      <c r="G506" s="219" t="n">
        <f aca="false">IF(Calculator!$E$17="YES",IF(A506&lt;Calculator!$G$17,0,MIN(MIN(MOD(A506/Calculator!$F$17,1),1-MOD(A506/Calculator!$F$17,1)),ABS(MOD(A506/Calculator!$F$17,1)-0.5))),1)</f>
        <v>0.0388947368421047</v>
      </c>
      <c r="H506" s="219" t="n">
        <f aca="false">IF(Calculator!$E$18="YES",IF(A506&lt;Calculator!$G$18,0,MIN(MIN(MOD(A506/Calculator!$F$18,1),1-MOD(A506/Calculator!$F$18,1)),ABS(MOD(A506/Calculator!$F$18,1)-0.5))),1)</f>
        <v>1</v>
      </c>
      <c r="I506" s="219" t="n">
        <f aca="false">IF(Calculator!$E$19="YES",IF(A506&lt;Calculator!$G$19,0,MIN(MIN(MOD(A506/Calculator!$F$19,1),1-MOD(A506/Calculator!$F$19,1)),ABS(MOD(A506/Calculator!$F$19,1)-0.5))),1)</f>
        <v>1</v>
      </c>
      <c r="J506" s="219" t="n">
        <f aca="false">IF(Calculator!$E$20="YES",IF(A506&lt;Calculator!$G$20,0,MIN(MIN(MOD(A506/Calculator!$F$20,1),1-MOD(A506/Calculator!$F$20,1)),ABS(MOD(A506/Calculator!$F$20,1)-0.5))),1)</f>
        <v>1</v>
      </c>
      <c r="K506" s="219" t="n">
        <f aca="false">IF(Calculator!$E$21="YES",IF(A506&lt;Calculator!$G$21,0,MIN(MIN(MOD(A506/Calculator!$F$21,1),1-MOD(A506/Calculator!$F$21,1)),ABS(MOD(A506/Calculator!$F$21,1)-0.5))),1)</f>
        <v>0.114842105263158</v>
      </c>
      <c r="L506" s="219" t="n">
        <f aca="false">IF(Calculator!$E$22="YES",IF(A506&lt;Calculator!$G$22,0,MIN(MIN(MOD(A506/Calculator!$F$22,1),1-MOD(A506/Calculator!$F$22,1)),ABS(MOD(A506/Calculator!$F$22,1)-0.5))),1)</f>
        <v>1</v>
      </c>
      <c r="M506" s="219" t="n">
        <f aca="false">MIN(B506:L506)</f>
        <v>0.0388947368421047</v>
      </c>
      <c r="N506" s="219" t="n">
        <f aca="false">SUMPRODUCT(($M$7:$M$557&gt;M506)*1)+SUMPRODUCT(($M$7:$M$557=M506)*(ROW($M$7:$M$557)&lt;ROW(M506)))+1</f>
        <v>329</v>
      </c>
      <c r="O506" s="219" t="str">
        <f aca="false">IF(M506&gt;=0.2,"★★★ EXCELLENT",IF(M506&gt;=0.12,"★★  GOOD",IF(M506&gt;=0.07,"★  FAIR",IF(M506&gt;=0.025,"⚠  MARGINAL","✗  AVOID"))))</f>
        <v>⚠  MARGINAL</v>
      </c>
    </row>
    <row r="507" customFormat="false" ht="15" hidden="false" customHeight="true" outlineLevel="0" collapsed="false">
      <c r="A507" s="216" t="n">
        <v>55</v>
      </c>
      <c r="B507" s="217" t="n">
        <f aca="false">IF(Calculator!$E$12="YES",IF(A507&lt;Calculator!$G$12,0,MIN(MIN(MOD(A507/Calculator!$F$12,1),1-MOD(A507/Calculator!$F$12,1)),ABS(MOD(A507/Calculator!$F$12,1)-0.5))),1)</f>
        <v>1</v>
      </c>
      <c r="C507" s="217" t="n">
        <f aca="false">IF(Calculator!$E$13="YES",IF(A507&lt;Calculator!$G$13,0,MIN(MIN(MOD(A507/Calculator!$F$13,1),1-MOD(A507/Calculator!$F$13,1)),ABS(MOD(A507/Calculator!$F$13,1)-0.5))),1)</f>
        <v>1</v>
      </c>
      <c r="D507" s="217" t="n">
        <f aca="false">IF(Calculator!$E$14="YES",IF(A507&lt;Calculator!$G$14,0,MIN(MIN(MOD(A507/Calculator!$F$14,1),1-MOD(A507/Calculator!$F$14,1)),ABS(MOD(A507/Calculator!$F$14,1)-0.5))),1)</f>
        <v>1</v>
      </c>
      <c r="E507" s="217" t="n">
        <f aca="false">IF(Calculator!$E$15="YES",IF(A507&lt;Calculator!$G$15,0,MIN(MIN(MOD(A507/Calculator!$F$15,1),1-MOD(A507/Calculator!$F$15,1)),ABS(MOD(A507/Calculator!$F$15,1)-0.5))),1)</f>
        <v>0.240350877192983</v>
      </c>
      <c r="F507" s="217" t="n">
        <f aca="false">IF(Calculator!$E$16="YES",IF(A507&lt;Calculator!$G$16,0,MIN(MIN(MOD(A507/Calculator!$F$16,1),1-MOD(A507/Calculator!$F$16,1)),ABS(MOD(A507/Calculator!$F$16,1)-0.5))),1)</f>
        <v>1</v>
      </c>
      <c r="G507" s="217" t="n">
        <f aca="false">IF(Calculator!$E$17="YES",IF(A507&lt;Calculator!$G$17,0,MIN(MIN(MOD(A507/Calculator!$F$17,1),1-MOD(A507/Calculator!$F$17,1)),ABS(MOD(A507/Calculator!$F$17,1)-0.5))),1)</f>
        <v>0.0289473684210524</v>
      </c>
      <c r="H507" s="217" t="n">
        <f aca="false">IF(Calculator!$E$18="YES",IF(A507&lt;Calculator!$G$18,0,MIN(MIN(MOD(A507/Calculator!$F$18,1),1-MOD(A507/Calculator!$F$18,1)),ABS(MOD(A507/Calculator!$F$18,1)-0.5))),1)</f>
        <v>1</v>
      </c>
      <c r="I507" s="217" t="n">
        <f aca="false">IF(Calculator!$E$19="YES",IF(A507&lt;Calculator!$G$19,0,MIN(MIN(MOD(A507/Calculator!$F$19,1),1-MOD(A507/Calculator!$F$19,1)),ABS(MOD(A507/Calculator!$F$19,1)-0.5))),1)</f>
        <v>1</v>
      </c>
      <c r="J507" s="217" t="n">
        <f aca="false">IF(Calculator!$E$20="YES",IF(A507&lt;Calculator!$G$20,0,MIN(MIN(MOD(A507/Calculator!$F$20,1),1-MOD(A507/Calculator!$F$20,1)),ABS(MOD(A507/Calculator!$F$20,1)-0.5))),1)</f>
        <v>1</v>
      </c>
      <c r="K507" s="217" t="n">
        <f aca="false">IF(Calculator!$E$21="YES",IF(A507&lt;Calculator!$G$21,0,MIN(MIN(MOD(A507/Calculator!$F$21,1),1-MOD(A507/Calculator!$F$21,1)),ABS(MOD(A507/Calculator!$F$21,1)-0.5))),1)</f>
        <v>0.135087719298246</v>
      </c>
      <c r="L507" s="217" t="n">
        <f aca="false">IF(Calculator!$E$22="YES",IF(A507&lt;Calculator!$G$22,0,MIN(MIN(MOD(A507/Calculator!$F$22,1),1-MOD(A507/Calculator!$F$22,1)),ABS(MOD(A507/Calculator!$F$22,1)-0.5))),1)</f>
        <v>1</v>
      </c>
      <c r="M507" s="217" t="n">
        <f aca="false">MIN(B507:L507)</f>
        <v>0.0289473684210524</v>
      </c>
      <c r="N507" s="217" t="n">
        <f aca="false">SUMPRODUCT(($M$7:$M$557&gt;M507)*1)+SUMPRODUCT(($M$7:$M$557=M507)*(ROW($M$7:$M$557)&lt;ROW(M507)))+1</f>
        <v>368</v>
      </c>
      <c r="O507" s="217" t="str">
        <f aca="false">IF(M507&gt;=0.2,"★★★ EXCELLENT",IF(M507&gt;=0.12,"★★  GOOD",IF(M507&gt;=0.07,"★  FAIR",IF(M507&gt;=0.025,"⚠  MARGINAL","✗  AVOID"))))</f>
        <v>⚠  MARGINAL</v>
      </c>
    </row>
    <row r="508" customFormat="false" ht="15" hidden="false" customHeight="true" outlineLevel="0" collapsed="false">
      <c r="A508" s="218" t="n">
        <v>55.1</v>
      </c>
      <c r="B508" s="219" t="n">
        <f aca="false">IF(Calculator!$E$12="YES",IF(A508&lt;Calculator!$G$12,0,MIN(MIN(MOD(A508/Calculator!$F$12,1),1-MOD(A508/Calculator!$F$12,1)),ABS(MOD(A508/Calculator!$F$12,1)-0.5))),1)</f>
        <v>1</v>
      </c>
      <c r="C508" s="219" t="n">
        <f aca="false">IF(Calculator!$E$13="YES",IF(A508&lt;Calculator!$G$13,0,MIN(MIN(MOD(A508/Calculator!$F$13,1),1-MOD(A508/Calculator!$F$13,1)),ABS(MOD(A508/Calculator!$F$13,1)-0.5))),1)</f>
        <v>1</v>
      </c>
      <c r="D508" s="219" t="n">
        <f aca="false">IF(Calculator!$E$14="YES",IF(A508&lt;Calculator!$G$14,0,MIN(MIN(MOD(A508/Calculator!$F$14,1),1-MOD(A508/Calculator!$F$14,1)),ABS(MOD(A508/Calculator!$F$14,1)-0.5))),1)</f>
        <v>1</v>
      </c>
      <c r="E508" s="219" t="n">
        <f aca="false">IF(Calculator!$E$15="YES",IF(A508&lt;Calculator!$G$15,0,MIN(MIN(MOD(A508/Calculator!$F$15,1),1-MOD(A508/Calculator!$F$15,1)),ABS(MOD(A508/Calculator!$F$15,1)-0.5))),1)</f>
        <v>0.235333333333333</v>
      </c>
      <c r="F508" s="219" t="n">
        <f aca="false">IF(Calculator!$E$16="YES",IF(A508&lt;Calculator!$G$16,0,MIN(MIN(MOD(A508/Calculator!$F$16,1),1-MOD(A508/Calculator!$F$16,1)),ABS(MOD(A508/Calculator!$F$16,1)-0.5))),1)</f>
        <v>1</v>
      </c>
      <c r="G508" s="219" t="n">
        <f aca="false">IF(Calculator!$E$17="YES",IF(A508&lt;Calculator!$G$17,0,MIN(MIN(MOD(A508/Calculator!$F$17,1),1-MOD(A508/Calculator!$F$17,1)),ABS(MOD(A508/Calculator!$F$17,1)-0.5))),1)</f>
        <v>0.0189999999999992</v>
      </c>
      <c r="H508" s="219" t="n">
        <f aca="false">IF(Calculator!$E$18="YES",IF(A508&lt;Calculator!$G$18,0,MIN(MIN(MOD(A508/Calculator!$F$18,1),1-MOD(A508/Calculator!$F$18,1)),ABS(MOD(A508/Calculator!$F$18,1)-0.5))),1)</f>
        <v>1</v>
      </c>
      <c r="I508" s="219" t="n">
        <f aca="false">IF(Calculator!$E$19="YES",IF(A508&lt;Calculator!$G$19,0,MIN(MIN(MOD(A508/Calculator!$F$19,1),1-MOD(A508/Calculator!$F$19,1)),ABS(MOD(A508/Calculator!$F$19,1)-0.5))),1)</f>
        <v>1</v>
      </c>
      <c r="J508" s="219" t="n">
        <f aca="false">IF(Calculator!$E$20="YES",IF(A508&lt;Calculator!$G$20,0,MIN(MIN(MOD(A508/Calculator!$F$20,1),1-MOD(A508/Calculator!$F$20,1)),ABS(MOD(A508/Calculator!$F$20,1)-0.5))),1)</f>
        <v>1</v>
      </c>
      <c r="K508" s="219" t="n">
        <f aca="false">IF(Calculator!$E$21="YES",IF(A508&lt;Calculator!$G$21,0,MIN(MIN(MOD(A508/Calculator!$F$21,1),1-MOD(A508/Calculator!$F$21,1)),ABS(MOD(A508/Calculator!$F$21,1)-0.5))),1)</f>
        <v>0.155333333333333</v>
      </c>
      <c r="L508" s="219" t="n">
        <f aca="false">IF(Calculator!$E$22="YES",IF(A508&lt;Calculator!$G$22,0,MIN(MIN(MOD(A508/Calculator!$F$22,1),1-MOD(A508/Calculator!$F$22,1)),ABS(MOD(A508/Calculator!$F$22,1)-0.5))),1)</f>
        <v>1</v>
      </c>
      <c r="M508" s="219" t="n">
        <f aca="false">MIN(B508:L508)</f>
        <v>0.0189999999999992</v>
      </c>
      <c r="N508" s="219" t="n">
        <f aca="false">SUMPRODUCT(($M$7:$M$557&gt;M508)*1)+SUMPRODUCT(($M$7:$M$557=M508)*(ROW($M$7:$M$557)&lt;ROW(M508)))+1</f>
        <v>406</v>
      </c>
      <c r="O508" s="219" t="str">
        <f aca="false">IF(M508&gt;=0.2,"★★★ EXCELLENT",IF(M508&gt;=0.12,"★★  GOOD",IF(M508&gt;=0.07,"★  FAIR",IF(M508&gt;=0.025,"⚠  MARGINAL","✗  AVOID"))))</f>
        <v>✗  AVOID</v>
      </c>
    </row>
    <row r="509" customFormat="false" ht="15" hidden="false" customHeight="true" outlineLevel="0" collapsed="false">
      <c r="A509" s="216" t="n">
        <v>55.2</v>
      </c>
      <c r="B509" s="217" t="n">
        <f aca="false">IF(Calculator!$E$12="YES",IF(A509&lt;Calculator!$G$12,0,MIN(MIN(MOD(A509/Calculator!$F$12,1),1-MOD(A509/Calculator!$F$12,1)),ABS(MOD(A509/Calculator!$F$12,1)-0.5))),1)</f>
        <v>1</v>
      </c>
      <c r="C509" s="217" t="n">
        <f aca="false">IF(Calculator!$E$13="YES",IF(A509&lt;Calculator!$G$13,0,MIN(MIN(MOD(A509/Calculator!$F$13,1),1-MOD(A509/Calculator!$F$13,1)),ABS(MOD(A509/Calculator!$F$13,1)-0.5))),1)</f>
        <v>1</v>
      </c>
      <c r="D509" s="217" t="n">
        <f aca="false">IF(Calculator!$E$14="YES",IF(A509&lt;Calculator!$G$14,0,MIN(MIN(MOD(A509/Calculator!$F$14,1),1-MOD(A509/Calculator!$F$14,1)),ABS(MOD(A509/Calculator!$F$14,1)-0.5))),1)</f>
        <v>1</v>
      </c>
      <c r="E509" s="217" t="n">
        <f aca="false">IF(Calculator!$E$15="YES",IF(A509&lt;Calculator!$G$15,0,MIN(MIN(MOD(A509/Calculator!$F$15,1),1-MOD(A509/Calculator!$F$15,1)),ABS(MOD(A509/Calculator!$F$15,1)-0.5))),1)</f>
        <v>0.230315789473684</v>
      </c>
      <c r="F509" s="217" t="n">
        <f aca="false">IF(Calculator!$E$16="YES",IF(A509&lt;Calculator!$G$16,0,MIN(MIN(MOD(A509/Calculator!$F$16,1),1-MOD(A509/Calculator!$F$16,1)),ABS(MOD(A509/Calculator!$F$16,1)-0.5))),1)</f>
        <v>1</v>
      </c>
      <c r="G509" s="217" t="n">
        <f aca="false">IF(Calculator!$E$17="YES",IF(A509&lt;Calculator!$G$17,0,MIN(MIN(MOD(A509/Calculator!$F$17,1),1-MOD(A509/Calculator!$F$17,1)),ABS(MOD(A509/Calculator!$F$17,1)-0.5))),1)</f>
        <v>0.00905263157894698</v>
      </c>
      <c r="H509" s="217" t="n">
        <f aca="false">IF(Calculator!$E$18="YES",IF(A509&lt;Calculator!$G$18,0,MIN(MIN(MOD(A509/Calculator!$F$18,1),1-MOD(A509/Calculator!$F$18,1)),ABS(MOD(A509/Calculator!$F$18,1)-0.5))),1)</f>
        <v>1</v>
      </c>
      <c r="I509" s="217" t="n">
        <f aca="false">IF(Calculator!$E$19="YES",IF(A509&lt;Calculator!$G$19,0,MIN(MIN(MOD(A509/Calculator!$F$19,1),1-MOD(A509/Calculator!$F$19,1)),ABS(MOD(A509/Calculator!$F$19,1)-0.5))),1)</f>
        <v>1</v>
      </c>
      <c r="J509" s="217" t="n">
        <f aca="false">IF(Calculator!$E$20="YES",IF(A509&lt;Calculator!$G$20,0,MIN(MIN(MOD(A509/Calculator!$F$20,1),1-MOD(A509/Calculator!$F$20,1)),ABS(MOD(A509/Calculator!$F$20,1)-0.5))),1)</f>
        <v>1</v>
      </c>
      <c r="K509" s="217" t="n">
        <f aca="false">IF(Calculator!$E$21="YES",IF(A509&lt;Calculator!$G$21,0,MIN(MIN(MOD(A509/Calculator!$F$21,1),1-MOD(A509/Calculator!$F$21,1)),ABS(MOD(A509/Calculator!$F$21,1)-0.5))),1)</f>
        <v>0.175578947368422</v>
      </c>
      <c r="L509" s="217" t="n">
        <f aca="false">IF(Calculator!$E$22="YES",IF(A509&lt;Calculator!$G$22,0,MIN(MIN(MOD(A509/Calculator!$F$22,1),1-MOD(A509/Calculator!$F$22,1)),ABS(MOD(A509/Calculator!$F$22,1)-0.5))),1)</f>
        <v>1</v>
      </c>
      <c r="M509" s="217" t="n">
        <f aca="false">MIN(B509:L509)</f>
        <v>0.00905263157894698</v>
      </c>
      <c r="N509" s="217" t="n">
        <f aca="false">SUMPRODUCT(($M$7:$M$557&gt;M509)*1)+SUMPRODUCT(($M$7:$M$557=M509)*(ROW($M$7:$M$557)&lt;ROW(M509)))+1</f>
        <v>450</v>
      </c>
      <c r="O509" s="217" t="str">
        <f aca="false">IF(M509&gt;=0.2,"★★★ EXCELLENT",IF(M509&gt;=0.12,"★★  GOOD",IF(M509&gt;=0.07,"★  FAIR",IF(M509&gt;=0.025,"⚠  MARGINAL","✗  AVOID"))))</f>
        <v>✗  AVOID</v>
      </c>
    </row>
    <row r="510" customFormat="false" ht="15" hidden="false" customHeight="true" outlineLevel="0" collapsed="false">
      <c r="A510" s="218" t="n">
        <v>55.3</v>
      </c>
      <c r="B510" s="219" t="n">
        <f aca="false">IF(Calculator!$E$12="YES",IF(A510&lt;Calculator!$G$12,0,MIN(MIN(MOD(A510/Calculator!$F$12,1),1-MOD(A510/Calculator!$F$12,1)),ABS(MOD(A510/Calculator!$F$12,1)-0.5))),1)</f>
        <v>1</v>
      </c>
      <c r="C510" s="219" t="n">
        <f aca="false">IF(Calculator!$E$13="YES",IF(A510&lt;Calculator!$G$13,0,MIN(MIN(MOD(A510/Calculator!$F$13,1),1-MOD(A510/Calculator!$F$13,1)),ABS(MOD(A510/Calculator!$F$13,1)-0.5))),1)</f>
        <v>1</v>
      </c>
      <c r="D510" s="219" t="n">
        <f aca="false">IF(Calculator!$E$14="YES",IF(A510&lt;Calculator!$G$14,0,MIN(MIN(MOD(A510/Calculator!$F$14,1),1-MOD(A510/Calculator!$F$14,1)),ABS(MOD(A510/Calculator!$F$14,1)-0.5))),1)</f>
        <v>1</v>
      </c>
      <c r="E510" s="219" t="n">
        <f aca="false">IF(Calculator!$E$15="YES",IF(A510&lt;Calculator!$G$15,0,MIN(MIN(MOD(A510/Calculator!$F$15,1),1-MOD(A510/Calculator!$F$15,1)),ABS(MOD(A510/Calculator!$F$15,1)-0.5))),1)</f>
        <v>0.225298245614035</v>
      </c>
      <c r="F510" s="219" t="n">
        <f aca="false">IF(Calculator!$E$16="YES",IF(A510&lt;Calculator!$G$16,0,MIN(MIN(MOD(A510/Calculator!$F$16,1),1-MOD(A510/Calculator!$F$16,1)),ABS(MOD(A510/Calculator!$F$16,1)-0.5))),1)</f>
        <v>1</v>
      </c>
      <c r="G510" s="219" t="n">
        <f aca="false">IF(Calculator!$E$17="YES",IF(A510&lt;Calculator!$G$17,0,MIN(MIN(MOD(A510/Calculator!$F$17,1),1-MOD(A510/Calculator!$F$17,1)),ABS(MOD(A510/Calculator!$F$17,1)-0.5))),1)</f>
        <v>0.000894736842105282</v>
      </c>
      <c r="H510" s="219" t="n">
        <f aca="false">IF(Calculator!$E$18="YES",IF(A510&lt;Calculator!$G$18,0,MIN(MIN(MOD(A510/Calculator!$F$18,1),1-MOD(A510/Calculator!$F$18,1)),ABS(MOD(A510/Calculator!$F$18,1)-0.5))),1)</f>
        <v>1</v>
      </c>
      <c r="I510" s="219" t="n">
        <f aca="false">IF(Calculator!$E$19="YES",IF(A510&lt;Calculator!$G$19,0,MIN(MIN(MOD(A510/Calculator!$F$19,1),1-MOD(A510/Calculator!$F$19,1)),ABS(MOD(A510/Calculator!$F$19,1)-0.5))),1)</f>
        <v>1</v>
      </c>
      <c r="J510" s="219" t="n">
        <f aca="false">IF(Calculator!$E$20="YES",IF(A510&lt;Calculator!$G$20,0,MIN(MIN(MOD(A510/Calculator!$F$20,1),1-MOD(A510/Calculator!$F$20,1)),ABS(MOD(A510/Calculator!$F$20,1)-0.5))),1)</f>
        <v>1</v>
      </c>
      <c r="K510" s="219" t="n">
        <f aca="false">IF(Calculator!$E$21="YES",IF(A510&lt;Calculator!$G$21,0,MIN(MIN(MOD(A510/Calculator!$F$21,1),1-MOD(A510/Calculator!$F$21,1)),ABS(MOD(A510/Calculator!$F$21,1)-0.5))),1)</f>
        <v>0.195824561403509</v>
      </c>
      <c r="L510" s="219" t="n">
        <f aca="false">IF(Calculator!$E$22="YES",IF(A510&lt;Calculator!$G$22,0,MIN(MIN(MOD(A510/Calculator!$F$22,1),1-MOD(A510/Calculator!$F$22,1)),ABS(MOD(A510/Calculator!$F$22,1)-0.5))),1)</f>
        <v>1</v>
      </c>
      <c r="M510" s="219" t="n">
        <f aca="false">MIN(B510:L510)</f>
        <v>0.000894736842105282</v>
      </c>
      <c r="N510" s="219" t="n">
        <f aca="false">SUMPRODUCT(($M$7:$M$557&gt;M510)*1)+SUMPRODUCT(($M$7:$M$557=M510)*(ROW($M$7:$M$557)&lt;ROW(M510)))+1</f>
        <v>496</v>
      </c>
      <c r="O510" s="219" t="str">
        <f aca="false">IF(M510&gt;=0.2,"★★★ EXCELLENT",IF(M510&gt;=0.12,"★★  GOOD",IF(M510&gt;=0.07,"★  FAIR",IF(M510&gt;=0.025,"⚠  MARGINAL","✗  AVOID"))))</f>
        <v>✗  AVOID</v>
      </c>
    </row>
    <row r="511" customFormat="false" ht="15" hidden="false" customHeight="true" outlineLevel="0" collapsed="false">
      <c r="A511" s="216" t="n">
        <v>55.4</v>
      </c>
      <c r="B511" s="217" t="n">
        <f aca="false">IF(Calculator!$E$12="YES",IF(A511&lt;Calculator!$G$12,0,MIN(MIN(MOD(A511/Calculator!$F$12,1),1-MOD(A511/Calculator!$F$12,1)),ABS(MOD(A511/Calculator!$F$12,1)-0.5))),1)</f>
        <v>1</v>
      </c>
      <c r="C511" s="217" t="n">
        <f aca="false">IF(Calculator!$E$13="YES",IF(A511&lt;Calculator!$G$13,0,MIN(MIN(MOD(A511/Calculator!$F$13,1),1-MOD(A511/Calculator!$F$13,1)),ABS(MOD(A511/Calculator!$F$13,1)-0.5))),1)</f>
        <v>1</v>
      </c>
      <c r="D511" s="217" t="n">
        <f aca="false">IF(Calculator!$E$14="YES",IF(A511&lt;Calculator!$G$14,0,MIN(MIN(MOD(A511/Calculator!$F$14,1),1-MOD(A511/Calculator!$F$14,1)),ABS(MOD(A511/Calculator!$F$14,1)-0.5))),1)</f>
        <v>1</v>
      </c>
      <c r="E511" s="217" t="n">
        <f aca="false">IF(Calculator!$E$15="YES",IF(A511&lt;Calculator!$G$15,0,MIN(MIN(MOD(A511/Calculator!$F$15,1),1-MOD(A511/Calculator!$F$15,1)),ABS(MOD(A511/Calculator!$F$15,1)-0.5))),1)</f>
        <v>0.220280701754386</v>
      </c>
      <c r="F511" s="217" t="n">
        <f aca="false">IF(Calculator!$E$16="YES",IF(A511&lt;Calculator!$G$16,0,MIN(MIN(MOD(A511/Calculator!$F$16,1),1-MOD(A511/Calculator!$F$16,1)),ABS(MOD(A511/Calculator!$F$16,1)-0.5))),1)</f>
        <v>1</v>
      </c>
      <c r="G511" s="217" t="n">
        <f aca="false">IF(Calculator!$E$17="YES",IF(A511&lt;Calculator!$G$17,0,MIN(MIN(MOD(A511/Calculator!$F$17,1),1-MOD(A511/Calculator!$F$17,1)),ABS(MOD(A511/Calculator!$F$17,1)-0.5))),1)</f>
        <v>0.0108421052631584</v>
      </c>
      <c r="H511" s="217" t="n">
        <f aca="false">IF(Calculator!$E$18="YES",IF(A511&lt;Calculator!$G$18,0,MIN(MIN(MOD(A511/Calculator!$F$18,1),1-MOD(A511/Calculator!$F$18,1)),ABS(MOD(A511/Calculator!$F$18,1)-0.5))),1)</f>
        <v>1</v>
      </c>
      <c r="I511" s="217" t="n">
        <f aca="false">IF(Calculator!$E$19="YES",IF(A511&lt;Calculator!$G$19,0,MIN(MIN(MOD(A511/Calculator!$F$19,1),1-MOD(A511/Calculator!$F$19,1)),ABS(MOD(A511/Calculator!$F$19,1)-0.5))),1)</f>
        <v>1</v>
      </c>
      <c r="J511" s="217" t="n">
        <f aca="false">IF(Calculator!$E$20="YES",IF(A511&lt;Calculator!$G$20,0,MIN(MIN(MOD(A511/Calculator!$F$20,1),1-MOD(A511/Calculator!$F$20,1)),ABS(MOD(A511/Calculator!$F$20,1)-0.5))),1)</f>
        <v>1</v>
      </c>
      <c r="K511" s="217" t="n">
        <f aca="false">IF(Calculator!$E$21="YES",IF(A511&lt;Calculator!$G$21,0,MIN(MIN(MOD(A511/Calculator!$F$21,1),1-MOD(A511/Calculator!$F$21,1)),ABS(MOD(A511/Calculator!$F$21,1)-0.5))),1)</f>
        <v>0.216070175438595</v>
      </c>
      <c r="L511" s="217" t="n">
        <f aca="false">IF(Calculator!$E$22="YES",IF(A511&lt;Calculator!$G$22,0,MIN(MIN(MOD(A511/Calculator!$F$22,1),1-MOD(A511/Calculator!$F$22,1)),ABS(MOD(A511/Calculator!$F$22,1)-0.5))),1)</f>
        <v>1</v>
      </c>
      <c r="M511" s="217" t="n">
        <f aca="false">MIN(B511:L511)</f>
        <v>0.0108421052631584</v>
      </c>
      <c r="N511" s="217" t="n">
        <f aca="false">SUMPRODUCT(($M$7:$M$557&gt;M511)*1)+SUMPRODUCT(($M$7:$M$557=M511)*(ROW($M$7:$M$557)&lt;ROW(M511)))+1</f>
        <v>441</v>
      </c>
      <c r="O511" s="217" t="str">
        <f aca="false">IF(M511&gt;=0.2,"★★★ EXCELLENT",IF(M511&gt;=0.12,"★★  GOOD",IF(M511&gt;=0.07,"★  FAIR",IF(M511&gt;=0.025,"⚠  MARGINAL","✗  AVOID"))))</f>
        <v>✗  AVOID</v>
      </c>
    </row>
    <row r="512" customFormat="false" ht="15" hidden="false" customHeight="true" outlineLevel="0" collapsed="false">
      <c r="A512" s="218" t="n">
        <v>55.5</v>
      </c>
      <c r="B512" s="219" t="n">
        <f aca="false">IF(Calculator!$E$12="YES",IF(A512&lt;Calculator!$G$12,0,MIN(MIN(MOD(A512/Calculator!$F$12,1),1-MOD(A512/Calculator!$F$12,1)),ABS(MOD(A512/Calculator!$F$12,1)-0.5))),1)</f>
        <v>1</v>
      </c>
      <c r="C512" s="219" t="n">
        <f aca="false">IF(Calculator!$E$13="YES",IF(A512&lt;Calculator!$G$13,0,MIN(MIN(MOD(A512/Calculator!$F$13,1),1-MOD(A512/Calculator!$F$13,1)),ABS(MOD(A512/Calculator!$F$13,1)-0.5))),1)</f>
        <v>1</v>
      </c>
      <c r="D512" s="219" t="n">
        <f aca="false">IF(Calculator!$E$14="YES",IF(A512&lt;Calculator!$G$14,0,MIN(MIN(MOD(A512/Calculator!$F$14,1),1-MOD(A512/Calculator!$F$14,1)),ABS(MOD(A512/Calculator!$F$14,1)-0.5))),1)</f>
        <v>1</v>
      </c>
      <c r="E512" s="219" t="n">
        <f aca="false">IF(Calculator!$E$15="YES",IF(A512&lt;Calculator!$G$15,0,MIN(MIN(MOD(A512/Calculator!$F$15,1),1-MOD(A512/Calculator!$F$15,1)),ABS(MOD(A512/Calculator!$F$15,1)-0.5))),1)</f>
        <v>0.215263157894737</v>
      </c>
      <c r="F512" s="219" t="n">
        <f aca="false">IF(Calculator!$E$16="YES",IF(A512&lt;Calculator!$G$16,0,MIN(MIN(MOD(A512/Calculator!$F$16,1),1-MOD(A512/Calculator!$F$16,1)),ABS(MOD(A512/Calculator!$F$16,1)-0.5))),1)</f>
        <v>1</v>
      </c>
      <c r="G512" s="219" t="n">
        <f aca="false">IF(Calculator!$E$17="YES",IF(A512&lt;Calculator!$G$17,0,MIN(MIN(MOD(A512/Calculator!$F$17,1),1-MOD(A512/Calculator!$F$17,1)),ABS(MOD(A512/Calculator!$F$17,1)-0.5))),1)</f>
        <v>0.0207894736842107</v>
      </c>
      <c r="H512" s="219" t="n">
        <f aca="false">IF(Calculator!$E$18="YES",IF(A512&lt;Calculator!$G$18,0,MIN(MIN(MOD(A512/Calculator!$F$18,1),1-MOD(A512/Calculator!$F$18,1)),ABS(MOD(A512/Calculator!$F$18,1)-0.5))),1)</f>
        <v>1</v>
      </c>
      <c r="I512" s="219" t="n">
        <f aca="false">IF(Calculator!$E$19="YES",IF(A512&lt;Calculator!$G$19,0,MIN(MIN(MOD(A512/Calculator!$F$19,1),1-MOD(A512/Calculator!$F$19,1)),ABS(MOD(A512/Calculator!$F$19,1)-0.5))),1)</f>
        <v>1</v>
      </c>
      <c r="J512" s="219" t="n">
        <f aca="false">IF(Calculator!$E$20="YES",IF(A512&lt;Calculator!$G$20,0,MIN(MIN(MOD(A512/Calculator!$F$20,1),1-MOD(A512/Calculator!$F$20,1)),ABS(MOD(A512/Calculator!$F$20,1)-0.5))),1)</f>
        <v>1</v>
      </c>
      <c r="K512" s="219" t="n">
        <f aca="false">IF(Calculator!$E$21="YES",IF(A512&lt;Calculator!$G$21,0,MIN(MIN(MOD(A512/Calculator!$F$21,1),1-MOD(A512/Calculator!$F$21,1)),ABS(MOD(A512/Calculator!$F$21,1)-0.5))),1)</f>
        <v>0.236315789473684</v>
      </c>
      <c r="L512" s="219" t="n">
        <f aca="false">IF(Calculator!$E$22="YES",IF(A512&lt;Calculator!$G$22,0,MIN(MIN(MOD(A512/Calculator!$F$22,1),1-MOD(A512/Calculator!$F$22,1)),ABS(MOD(A512/Calculator!$F$22,1)-0.5))),1)</f>
        <v>1</v>
      </c>
      <c r="M512" s="219" t="n">
        <f aca="false">MIN(B512:L512)</f>
        <v>0.0207894736842107</v>
      </c>
      <c r="N512" s="219" t="n">
        <f aca="false">SUMPRODUCT(($M$7:$M$557&gt;M512)*1)+SUMPRODUCT(($M$7:$M$557=M512)*(ROW($M$7:$M$557)&lt;ROW(M512)))+1</f>
        <v>399</v>
      </c>
      <c r="O512" s="219" t="str">
        <f aca="false">IF(M512&gt;=0.2,"★★★ EXCELLENT",IF(M512&gt;=0.12,"★★  GOOD",IF(M512&gt;=0.07,"★  FAIR",IF(M512&gt;=0.025,"⚠  MARGINAL","✗  AVOID"))))</f>
        <v>✗  AVOID</v>
      </c>
    </row>
    <row r="513" customFormat="false" ht="15" hidden="false" customHeight="true" outlineLevel="0" collapsed="false">
      <c r="A513" s="216" t="n">
        <v>55.6</v>
      </c>
      <c r="B513" s="217" t="n">
        <f aca="false">IF(Calculator!$E$12="YES",IF(A513&lt;Calculator!$G$12,0,MIN(MIN(MOD(A513/Calculator!$F$12,1),1-MOD(A513/Calculator!$F$12,1)),ABS(MOD(A513/Calculator!$F$12,1)-0.5))),1)</f>
        <v>1</v>
      </c>
      <c r="C513" s="217" t="n">
        <f aca="false">IF(Calculator!$E$13="YES",IF(A513&lt;Calculator!$G$13,0,MIN(MIN(MOD(A513/Calculator!$F$13,1),1-MOD(A513/Calculator!$F$13,1)),ABS(MOD(A513/Calculator!$F$13,1)-0.5))),1)</f>
        <v>1</v>
      </c>
      <c r="D513" s="217" t="n">
        <f aca="false">IF(Calculator!$E$14="YES",IF(A513&lt;Calculator!$G$14,0,MIN(MIN(MOD(A513/Calculator!$F$14,1),1-MOD(A513/Calculator!$F$14,1)),ABS(MOD(A513/Calculator!$F$14,1)-0.5))),1)</f>
        <v>1</v>
      </c>
      <c r="E513" s="217" t="n">
        <f aca="false">IF(Calculator!$E$15="YES",IF(A513&lt;Calculator!$G$15,0,MIN(MIN(MOD(A513/Calculator!$F$15,1),1-MOD(A513/Calculator!$F$15,1)),ABS(MOD(A513/Calculator!$F$15,1)-0.5))),1)</f>
        <v>0.210245614035088</v>
      </c>
      <c r="F513" s="217" t="n">
        <f aca="false">IF(Calculator!$E$16="YES",IF(A513&lt;Calculator!$G$16,0,MIN(MIN(MOD(A513/Calculator!$F$16,1),1-MOD(A513/Calculator!$F$16,1)),ABS(MOD(A513/Calculator!$F$16,1)-0.5))),1)</f>
        <v>1</v>
      </c>
      <c r="G513" s="217" t="n">
        <f aca="false">IF(Calculator!$E$17="YES",IF(A513&lt;Calculator!$G$17,0,MIN(MIN(MOD(A513/Calculator!$F$17,1),1-MOD(A513/Calculator!$F$17,1)),ABS(MOD(A513/Calculator!$F$17,1)-0.5))),1)</f>
        <v>0.0307368421052638</v>
      </c>
      <c r="H513" s="217" t="n">
        <f aca="false">IF(Calculator!$E$18="YES",IF(A513&lt;Calculator!$G$18,0,MIN(MIN(MOD(A513/Calculator!$F$18,1),1-MOD(A513/Calculator!$F$18,1)),ABS(MOD(A513/Calculator!$F$18,1)-0.5))),1)</f>
        <v>1</v>
      </c>
      <c r="I513" s="217" t="n">
        <f aca="false">IF(Calculator!$E$19="YES",IF(A513&lt;Calculator!$G$19,0,MIN(MIN(MOD(A513/Calculator!$F$19,1),1-MOD(A513/Calculator!$F$19,1)),ABS(MOD(A513/Calculator!$F$19,1)-0.5))),1)</f>
        <v>1</v>
      </c>
      <c r="J513" s="217" t="n">
        <f aca="false">IF(Calculator!$E$20="YES",IF(A513&lt;Calculator!$G$20,0,MIN(MIN(MOD(A513/Calculator!$F$20,1),1-MOD(A513/Calculator!$F$20,1)),ABS(MOD(A513/Calculator!$F$20,1)-0.5))),1)</f>
        <v>1</v>
      </c>
      <c r="K513" s="217" t="n">
        <f aca="false">IF(Calculator!$E$21="YES",IF(A513&lt;Calculator!$G$21,0,MIN(MIN(MOD(A513/Calculator!$F$21,1),1-MOD(A513/Calculator!$F$21,1)),ABS(MOD(A513/Calculator!$F$21,1)-0.5))),1)</f>
        <v>0.243438596491227</v>
      </c>
      <c r="L513" s="217" t="n">
        <f aca="false">IF(Calculator!$E$22="YES",IF(A513&lt;Calculator!$G$22,0,MIN(MIN(MOD(A513/Calculator!$F$22,1),1-MOD(A513/Calculator!$F$22,1)),ABS(MOD(A513/Calculator!$F$22,1)-0.5))),1)</f>
        <v>1</v>
      </c>
      <c r="M513" s="217" t="n">
        <f aca="false">MIN(B513:L513)</f>
        <v>0.0307368421052638</v>
      </c>
      <c r="N513" s="217" t="n">
        <f aca="false">SUMPRODUCT(($M$7:$M$557&gt;M513)*1)+SUMPRODUCT(($M$7:$M$557=M513)*(ROW($M$7:$M$557)&lt;ROW(M513)))+1</f>
        <v>361</v>
      </c>
      <c r="O513" s="217" t="str">
        <f aca="false">IF(M513&gt;=0.2,"★★★ EXCELLENT",IF(M513&gt;=0.12,"★★  GOOD",IF(M513&gt;=0.07,"★  FAIR",IF(M513&gt;=0.025,"⚠  MARGINAL","✗  AVOID"))))</f>
        <v>⚠  MARGINAL</v>
      </c>
    </row>
    <row r="514" customFormat="false" ht="15" hidden="false" customHeight="true" outlineLevel="0" collapsed="false">
      <c r="A514" s="218" t="n">
        <v>55.7</v>
      </c>
      <c r="B514" s="219" t="n">
        <f aca="false">IF(Calculator!$E$12="YES",IF(A514&lt;Calculator!$G$12,0,MIN(MIN(MOD(A514/Calculator!$F$12,1),1-MOD(A514/Calculator!$F$12,1)),ABS(MOD(A514/Calculator!$F$12,1)-0.5))),1)</f>
        <v>1</v>
      </c>
      <c r="C514" s="219" t="n">
        <f aca="false">IF(Calculator!$E$13="YES",IF(A514&lt;Calculator!$G$13,0,MIN(MIN(MOD(A514/Calculator!$F$13,1),1-MOD(A514/Calculator!$F$13,1)),ABS(MOD(A514/Calculator!$F$13,1)-0.5))),1)</f>
        <v>1</v>
      </c>
      <c r="D514" s="219" t="n">
        <f aca="false">IF(Calculator!$E$14="YES",IF(A514&lt;Calculator!$G$14,0,MIN(MIN(MOD(A514/Calculator!$F$14,1),1-MOD(A514/Calculator!$F$14,1)),ABS(MOD(A514/Calculator!$F$14,1)-0.5))),1)</f>
        <v>1</v>
      </c>
      <c r="E514" s="219" t="n">
        <f aca="false">IF(Calculator!$E$15="YES",IF(A514&lt;Calculator!$G$15,0,MIN(MIN(MOD(A514/Calculator!$F$15,1),1-MOD(A514/Calculator!$F$15,1)),ABS(MOD(A514/Calculator!$F$15,1)-0.5))),1)</f>
        <v>0.205228070175438</v>
      </c>
      <c r="F514" s="219" t="n">
        <f aca="false">IF(Calculator!$E$16="YES",IF(A514&lt;Calculator!$G$16,0,MIN(MIN(MOD(A514/Calculator!$F$16,1),1-MOD(A514/Calculator!$F$16,1)),ABS(MOD(A514/Calculator!$F$16,1)-0.5))),1)</f>
        <v>1</v>
      </c>
      <c r="G514" s="219" t="n">
        <f aca="false">IF(Calculator!$E$17="YES",IF(A514&lt;Calculator!$G$17,0,MIN(MIN(MOD(A514/Calculator!$F$17,1),1-MOD(A514/Calculator!$F$17,1)),ABS(MOD(A514/Calculator!$F$17,1)-0.5))),1)</f>
        <v>0.0406842105263161</v>
      </c>
      <c r="H514" s="219" t="n">
        <f aca="false">IF(Calculator!$E$18="YES",IF(A514&lt;Calculator!$G$18,0,MIN(MIN(MOD(A514/Calculator!$F$18,1),1-MOD(A514/Calculator!$F$18,1)),ABS(MOD(A514/Calculator!$F$18,1)-0.5))),1)</f>
        <v>1</v>
      </c>
      <c r="I514" s="219" t="n">
        <f aca="false">IF(Calculator!$E$19="YES",IF(A514&lt;Calculator!$G$19,0,MIN(MIN(MOD(A514/Calculator!$F$19,1),1-MOD(A514/Calculator!$F$19,1)),ABS(MOD(A514/Calculator!$F$19,1)-0.5))),1)</f>
        <v>1</v>
      </c>
      <c r="J514" s="219" t="n">
        <f aca="false">IF(Calculator!$E$20="YES",IF(A514&lt;Calculator!$G$20,0,MIN(MIN(MOD(A514/Calculator!$F$20,1),1-MOD(A514/Calculator!$F$20,1)),ABS(MOD(A514/Calculator!$F$20,1)-0.5))),1)</f>
        <v>1</v>
      </c>
      <c r="K514" s="219" t="n">
        <f aca="false">IF(Calculator!$E$21="YES",IF(A514&lt;Calculator!$G$21,0,MIN(MIN(MOD(A514/Calculator!$F$21,1),1-MOD(A514/Calculator!$F$21,1)),ABS(MOD(A514/Calculator!$F$21,1)-0.5))),1)</f>
        <v>0.223192982456141</v>
      </c>
      <c r="L514" s="219" t="n">
        <f aca="false">IF(Calculator!$E$22="YES",IF(A514&lt;Calculator!$G$22,0,MIN(MIN(MOD(A514/Calculator!$F$22,1),1-MOD(A514/Calculator!$F$22,1)),ABS(MOD(A514/Calculator!$F$22,1)-0.5))),1)</f>
        <v>1</v>
      </c>
      <c r="M514" s="219" t="n">
        <f aca="false">MIN(B514:L514)</f>
        <v>0.0406842105263161</v>
      </c>
      <c r="N514" s="219" t="n">
        <f aca="false">SUMPRODUCT(($M$7:$M$557&gt;M514)*1)+SUMPRODUCT(($M$7:$M$557=M514)*(ROW($M$7:$M$557)&lt;ROW(M514)))+1</f>
        <v>322</v>
      </c>
      <c r="O514" s="219" t="str">
        <f aca="false">IF(M514&gt;=0.2,"★★★ EXCELLENT",IF(M514&gt;=0.12,"★★  GOOD",IF(M514&gt;=0.07,"★  FAIR",IF(M514&gt;=0.025,"⚠  MARGINAL","✗  AVOID"))))</f>
        <v>⚠  MARGINAL</v>
      </c>
    </row>
    <row r="515" customFormat="false" ht="15" hidden="false" customHeight="true" outlineLevel="0" collapsed="false">
      <c r="A515" s="216" t="n">
        <v>55.8</v>
      </c>
      <c r="B515" s="217" t="n">
        <f aca="false">IF(Calculator!$E$12="YES",IF(A515&lt;Calculator!$G$12,0,MIN(MIN(MOD(A515/Calculator!$F$12,1),1-MOD(A515/Calculator!$F$12,1)),ABS(MOD(A515/Calculator!$F$12,1)-0.5))),1)</f>
        <v>1</v>
      </c>
      <c r="C515" s="217" t="n">
        <f aca="false">IF(Calculator!$E$13="YES",IF(A515&lt;Calculator!$G$13,0,MIN(MIN(MOD(A515/Calculator!$F$13,1),1-MOD(A515/Calculator!$F$13,1)),ABS(MOD(A515/Calculator!$F$13,1)-0.5))),1)</f>
        <v>1</v>
      </c>
      <c r="D515" s="217" t="n">
        <f aca="false">IF(Calculator!$E$14="YES",IF(A515&lt;Calculator!$G$14,0,MIN(MIN(MOD(A515/Calculator!$F$14,1),1-MOD(A515/Calculator!$F$14,1)),ABS(MOD(A515/Calculator!$F$14,1)-0.5))),1)</f>
        <v>1</v>
      </c>
      <c r="E515" s="217" t="n">
        <f aca="false">IF(Calculator!$E$15="YES",IF(A515&lt;Calculator!$G$15,0,MIN(MIN(MOD(A515/Calculator!$F$15,1),1-MOD(A515/Calculator!$F$15,1)),ABS(MOD(A515/Calculator!$F$15,1)-0.5))),1)</f>
        <v>0.200210526315789</v>
      </c>
      <c r="F515" s="217" t="n">
        <f aca="false">IF(Calculator!$E$16="YES",IF(A515&lt;Calculator!$G$16,0,MIN(MIN(MOD(A515/Calculator!$F$16,1),1-MOD(A515/Calculator!$F$16,1)),ABS(MOD(A515/Calculator!$F$16,1)-0.5))),1)</f>
        <v>1</v>
      </c>
      <c r="G515" s="217" t="n">
        <f aca="false">IF(Calculator!$E$17="YES",IF(A515&lt;Calculator!$G$17,0,MIN(MIN(MOD(A515/Calculator!$F$17,1),1-MOD(A515/Calculator!$F$17,1)),ABS(MOD(A515/Calculator!$F$17,1)-0.5))),1)</f>
        <v>0.0506315789473684</v>
      </c>
      <c r="H515" s="217" t="n">
        <f aca="false">IF(Calculator!$E$18="YES",IF(A515&lt;Calculator!$G$18,0,MIN(MIN(MOD(A515/Calculator!$F$18,1),1-MOD(A515/Calculator!$F$18,1)),ABS(MOD(A515/Calculator!$F$18,1)-0.5))),1)</f>
        <v>1</v>
      </c>
      <c r="I515" s="217" t="n">
        <f aca="false">IF(Calculator!$E$19="YES",IF(A515&lt;Calculator!$G$19,0,MIN(MIN(MOD(A515/Calculator!$F$19,1),1-MOD(A515/Calculator!$F$19,1)),ABS(MOD(A515/Calculator!$F$19,1)-0.5))),1)</f>
        <v>1</v>
      </c>
      <c r="J515" s="217" t="n">
        <f aca="false">IF(Calculator!$E$20="YES",IF(A515&lt;Calculator!$G$20,0,MIN(MIN(MOD(A515/Calculator!$F$20,1),1-MOD(A515/Calculator!$F$20,1)),ABS(MOD(A515/Calculator!$F$20,1)-0.5))),1)</f>
        <v>1</v>
      </c>
      <c r="K515" s="217" t="n">
        <f aca="false">IF(Calculator!$E$21="YES",IF(A515&lt;Calculator!$G$21,0,MIN(MIN(MOD(A515/Calculator!$F$21,1),1-MOD(A515/Calculator!$F$21,1)),ABS(MOD(A515/Calculator!$F$21,1)-0.5))),1)</f>
        <v>0.202947368421054</v>
      </c>
      <c r="L515" s="217" t="n">
        <f aca="false">IF(Calculator!$E$22="YES",IF(A515&lt;Calculator!$G$22,0,MIN(MIN(MOD(A515/Calculator!$F$22,1),1-MOD(A515/Calculator!$F$22,1)),ABS(MOD(A515/Calculator!$F$22,1)-0.5))),1)</f>
        <v>1</v>
      </c>
      <c r="M515" s="217" t="n">
        <f aca="false">MIN(B515:L515)</f>
        <v>0.0506315789473684</v>
      </c>
      <c r="N515" s="217" t="n">
        <f aca="false">SUMPRODUCT(($M$7:$M$557&gt;M515)*1)+SUMPRODUCT(($M$7:$M$557=M515)*(ROW($M$7:$M$557)&lt;ROW(M515)))+1</f>
        <v>282</v>
      </c>
      <c r="O515" s="217" t="str">
        <f aca="false">IF(M515&gt;=0.2,"★★★ EXCELLENT",IF(M515&gt;=0.12,"★★  GOOD",IF(M515&gt;=0.07,"★  FAIR",IF(M515&gt;=0.025,"⚠  MARGINAL","✗  AVOID"))))</f>
        <v>⚠  MARGINAL</v>
      </c>
    </row>
    <row r="516" customFormat="false" ht="15" hidden="false" customHeight="true" outlineLevel="0" collapsed="false">
      <c r="A516" s="218" t="n">
        <v>55.9</v>
      </c>
      <c r="B516" s="219" t="n">
        <f aca="false">IF(Calculator!$E$12="YES",IF(A516&lt;Calculator!$G$12,0,MIN(MIN(MOD(A516/Calculator!$F$12,1),1-MOD(A516/Calculator!$F$12,1)),ABS(MOD(A516/Calculator!$F$12,1)-0.5))),1)</f>
        <v>1</v>
      </c>
      <c r="C516" s="219" t="n">
        <f aca="false">IF(Calculator!$E$13="YES",IF(A516&lt;Calculator!$G$13,0,MIN(MIN(MOD(A516/Calculator!$F$13,1),1-MOD(A516/Calculator!$F$13,1)),ABS(MOD(A516/Calculator!$F$13,1)-0.5))),1)</f>
        <v>1</v>
      </c>
      <c r="D516" s="219" t="n">
        <f aca="false">IF(Calculator!$E$14="YES",IF(A516&lt;Calculator!$G$14,0,MIN(MIN(MOD(A516/Calculator!$F$14,1),1-MOD(A516/Calculator!$F$14,1)),ABS(MOD(A516/Calculator!$F$14,1)-0.5))),1)</f>
        <v>1</v>
      </c>
      <c r="E516" s="219" t="n">
        <f aca="false">IF(Calculator!$E$15="YES",IF(A516&lt;Calculator!$G$15,0,MIN(MIN(MOD(A516/Calculator!$F$15,1),1-MOD(A516/Calculator!$F$15,1)),ABS(MOD(A516/Calculator!$F$15,1)-0.5))),1)</f>
        <v>0.19519298245614</v>
      </c>
      <c r="F516" s="219" t="n">
        <f aca="false">IF(Calculator!$E$16="YES",IF(A516&lt;Calculator!$G$16,0,MIN(MIN(MOD(A516/Calculator!$F$16,1),1-MOD(A516/Calculator!$F$16,1)),ABS(MOD(A516/Calculator!$F$16,1)-0.5))),1)</f>
        <v>1</v>
      </c>
      <c r="G516" s="219" t="n">
        <f aca="false">IF(Calculator!$E$17="YES",IF(A516&lt;Calculator!$G$17,0,MIN(MIN(MOD(A516/Calculator!$F$17,1),1-MOD(A516/Calculator!$F$17,1)),ABS(MOD(A516/Calculator!$F$17,1)-0.5))),1)</f>
        <v>0.0605789473684215</v>
      </c>
      <c r="H516" s="219" t="n">
        <f aca="false">IF(Calculator!$E$18="YES",IF(A516&lt;Calculator!$G$18,0,MIN(MIN(MOD(A516/Calculator!$F$18,1),1-MOD(A516/Calculator!$F$18,1)),ABS(MOD(A516/Calculator!$F$18,1)-0.5))),1)</f>
        <v>1</v>
      </c>
      <c r="I516" s="219" t="n">
        <f aca="false">IF(Calculator!$E$19="YES",IF(A516&lt;Calculator!$G$19,0,MIN(MIN(MOD(A516/Calculator!$F$19,1),1-MOD(A516/Calculator!$F$19,1)),ABS(MOD(A516/Calculator!$F$19,1)-0.5))),1)</f>
        <v>1</v>
      </c>
      <c r="J516" s="219" t="n">
        <f aca="false">IF(Calculator!$E$20="YES",IF(A516&lt;Calculator!$G$20,0,MIN(MIN(MOD(A516/Calculator!$F$20,1),1-MOD(A516/Calculator!$F$20,1)),ABS(MOD(A516/Calculator!$F$20,1)-0.5))),1)</f>
        <v>1</v>
      </c>
      <c r="K516" s="219" t="n">
        <f aca="false">IF(Calculator!$E$21="YES",IF(A516&lt;Calculator!$G$21,0,MIN(MIN(MOD(A516/Calculator!$F$21,1),1-MOD(A516/Calculator!$F$21,1)),ABS(MOD(A516/Calculator!$F$21,1)-0.5))),1)</f>
        <v>0.182701754385965</v>
      </c>
      <c r="L516" s="219" t="n">
        <f aca="false">IF(Calculator!$E$22="YES",IF(A516&lt;Calculator!$G$22,0,MIN(MIN(MOD(A516/Calculator!$F$22,1),1-MOD(A516/Calculator!$F$22,1)),ABS(MOD(A516/Calculator!$F$22,1)-0.5))),1)</f>
        <v>1</v>
      </c>
      <c r="M516" s="219" t="n">
        <f aca="false">MIN(B516:L516)</f>
        <v>0.0605789473684215</v>
      </c>
      <c r="N516" s="219" t="n">
        <f aca="false">SUMPRODUCT(($M$7:$M$557&gt;M516)*1)+SUMPRODUCT(($M$7:$M$557=M516)*(ROW($M$7:$M$557)&lt;ROW(M516)))+1</f>
        <v>241</v>
      </c>
      <c r="O516" s="219" t="str">
        <f aca="false">IF(M516&gt;=0.2,"★★★ EXCELLENT",IF(M516&gt;=0.12,"★★  GOOD",IF(M516&gt;=0.07,"★  FAIR",IF(M516&gt;=0.025,"⚠  MARGINAL","✗  AVOID"))))</f>
        <v>⚠  MARGINAL</v>
      </c>
    </row>
    <row r="517" customFormat="false" ht="15" hidden="false" customHeight="true" outlineLevel="0" collapsed="false">
      <c r="A517" s="216" t="n">
        <v>56</v>
      </c>
      <c r="B517" s="217" t="n">
        <f aca="false">IF(Calculator!$E$12="YES",IF(A517&lt;Calculator!$G$12,0,MIN(MIN(MOD(A517/Calculator!$F$12,1),1-MOD(A517/Calculator!$F$12,1)),ABS(MOD(A517/Calculator!$F$12,1)-0.5))),1)</f>
        <v>1</v>
      </c>
      <c r="C517" s="217" t="n">
        <f aca="false">IF(Calculator!$E$13="YES",IF(A517&lt;Calculator!$G$13,0,MIN(MIN(MOD(A517/Calculator!$F$13,1),1-MOD(A517/Calculator!$F$13,1)),ABS(MOD(A517/Calculator!$F$13,1)-0.5))),1)</f>
        <v>1</v>
      </c>
      <c r="D517" s="217" t="n">
        <f aca="false">IF(Calculator!$E$14="YES",IF(A517&lt;Calculator!$G$14,0,MIN(MIN(MOD(A517/Calculator!$F$14,1),1-MOD(A517/Calculator!$F$14,1)),ABS(MOD(A517/Calculator!$F$14,1)-0.5))),1)</f>
        <v>1</v>
      </c>
      <c r="E517" s="217" t="n">
        <f aca="false">IF(Calculator!$E$15="YES",IF(A517&lt;Calculator!$G$15,0,MIN(MIN(MOD(A517/Calculator!$F$15,1),1-MOD(A517/Calculator!$F$15,1)),ABS(MOD(A517/Calculator!$F$15,1)-0.5))),1)</f>
        <v>0.190175438596491</v>
      </c>
      <c r="F517" s="217" t="n">
        <f aca="false">IF(Calculator!$E$16="YES",IF(A517&lt;Calculator!$G$16,0,MIN(MIN(MOD(A517/Calculator!$F$16,1),1-MOD(A517/Calculator!$F$16,1)),ABS(MOD(A517/Calculator!$F$16,1)-0.5))),1)</f>
        <v>1</v>
      </c>
      <c r="G517" s="217" t="n">
        <f aca="false">IF(Calculator!$E$17="YES",IF(A517&lt;Calculator!$G$17,0,MIN(MIN(MOD(A517/Calculator!$F$17,1),1-MOD(A517/Calculator!$F$17,1)),ABS(MOD(A517/Calculator!$F$17,1)-0.5))),1)</f>
        <v>0.0705263157894738</v>
      </c>
      <c r="H517" s="217" t="n">
        <f aca="false">IF(Calculator!$E$18="YES",IF(A517&lt;Calculator!$G$18,0,MIN(MIN(MOD(A517/Calculator!$F$18,1),1-MOD(A517/Calculator!$F$18,1)),ABS(MOD(A517/Calculator!$F$18,1)-0.5))),1)</f>
        <v>1</v>
      </c>
      <c r="I517" s="217" t="n">
        <f aca="false">IF(Calculator!$E$19="YES",IF(A517&lt;Calculator!$G$19,0,MIN(MIN(MOD(A517/Calculator!$F$19,1),1-MOD(A517/Calculator!$F$19,1)),ABS(MOD(A517/Calculator!$F$19,1)-0.5))),1)</f>
        <v>1</v>
      </c>
      <c r="J517" s="217" t="n">
        <f aca="false">IF(Calculator!$E$20="YES",IF(A517&lt;Calculator!$G$20,0,MIN(MIN(MOD(A517/Calculator!$F$20,1),1-MOD(A517/Calculator!$F$20,1)),ABS(MOD(A517/Calculator!$F$20,1)-0.5))),1)</f>
        <v>1</v>
      </c>
      <c r="K517" s="217" t="n">
        <f aca="false">IF(Calculator!$E$21="YES",IF(A517&lt;Calculator!$G$21,0,MIN(MIN(MOD(A517/Calculator!$F$21,1),1-MOD(A517/Calculator!$F$21,1)),ABS(MOD(A517/Calculator!$F$21,1)-0.5))),1)</f>
        <v>0.162456140350878</v>
      </c>
      <c r="L517" s="217" t="n">
        <f aca="false">IF(Calculator!$E$22="YES",IF(A517&lt;Calculator!$G$22,0,MIN(MIN(MOD(A517/Calculator!$F$22,1),1-MOD(A517/Calculator!$F$22,1)),ABS(MOD(A517/Calculator!$F$22,1)-0.5))),1)</f>
        <v>1</v>
      </c>
      <c r="M517" s="217" t="n">
        <f aca="false">MIN(B517:L517)</f>
        <v>0.0705263157894738</v>
      </c>
      <c r="N517" s="217" t="n">
        <f aca="false">SUMPRODUCT(($M$7:$M$557&gt;M517)*1)+SUMPRODUCT(($M$7:$M$557=M517)*(ROW($M$7:$M$557)&lt;ROW(M517)))+1</f>
        <v>205</v>
      </c>
      <c r="O517" s="217" t="str">
        <f aca="false">IF(M517&gt;=0.2,"★★★ EXCELLENT",IF(M517&gt;=0.12,"★★  GOOD",IF(M517&gt;=0.07,"★  FAIR",IF(M517&gt;=0.025,"⚠  MARGINAL","✗  AVOID"))))</f>
        <v>★  FAIR</v>
      </c>
    </row>
    <row r="518" customFormat="false" ht="15" hidden="false" customHeight="true" outlineLevel="0" collapsed="false">
      <c r="A518" s="218" t="n">
        <v>56.1</v>
      </c>
      <c r="B518" s="219" t="n">
        <f aca="false">IF(Calculator!$E$12="YES",IF(A518&lt;Calculator!$G$12,0,MIN(MIN(MOD(A518/Calculator!$F$12,1),1-MOD(A518/Calculator!$F$12,1)),ABS(MOD(A518/Calculator!$F$12,1)-0.5))),1)</f>
        <v>1</v>
      </c>
      <c r="C518" s="219" t="n">
        <f aca="false">IF(Calculator!$E$13="YES",IF(A518&lt;Calculator!$G$13,0,MIN(MIN(MOD(A518/Calculator!$F$13,1),1-MOD(A518/Calculator!$F$13,1)),ABS(MOD(A518/Calculator!$F$13,1)-0.5))),1)</f>
        <v>1</v>
      </c>
      <c r="D518" s="219" t="n">
        <f aca="false">IF(Calculator!$E$14="YES",IF(A518&lt;Calculator!$G$14,0,MIN(MIN(MOD(A518/Calculator!$F$14,1),1-MOD(A518/Calculator!$F$14,1)),ABS(MOD(A518/Calculator!$F$14,1)-0.5))),1)</f>
        <v>1</v>
      </c>
      <c r="E518" s="219" t="n">
        <f aca="false">IF(Calculator!$E$15="YES",IF(A518&lt;Calculator!$G$15,0,MIN(MIN(MOD(A518/Calculator!$F$15,1),1-MOD(A518/Calculator!$F$15,1)),ABS(MOD(A518/Calculator!$F$15,1)-0.5))),1)</f>
        <v>0.185157894736842</v>
      </c>
      <c r="F518" s="219" t="n">
        <f aca="false">IF(Calculator!$E$16="YES",IF(A518&lt;Calculator!$G$16,0,MIN(MIN(MOD(A518/Calculator!$F$16,1),1-MOD(A518/Calculator!$F$16,1)),ABS(MOD(A518/Calculator!$F$16,1)-0.5))),1)</f>
        <v>1</v>
      </c>
      <c r="G518" s="219" t="n">
        <f aca="false">IF(Calculator!$E$17="YES",IF(A518&lt;Calculator!$G$17,0,MIN(MIN(MOD(A518/Calculator!$F$17,1),1-MOD(A518/Calculator!$F$17,1)),ABS(MOD(A518/Calculator!$F$17,1)-0.5))),1)</f>
        <v>0.0804736842105269</v>
      </c>
      <c r="H518" s="219" t="n">
        <f aca="false">IF(Calculator!$E$18="YES",IF(A518&lt;Calculator!$G$18,0,MIN(MIN(MOD(A518/Calculator!$F$18,1),1-MOD(A518/Calculator!$F$18,1)),ABS(MOD(A518/Calculator!$F$18,1)-0.5))),1)</f>
        <v>1</v>
      </c>
      <c r="I518" s="219" t="n">
        <f aca="false">IF(Calculator!$E$19="YES",IF(A518&lt;Calculator!$G$19,0,MIN(MIN(MOD(A518/Calculator!$F$19,1),1-MOD(A518/Calculator!$F$19,1)),ABS(MOD(A518/Calculator!$F$19,1)-0.5))),1)</f>
        <v>1</v>
      </c>
      <c r="J518" s="219" t="n">
        <f aca="false">IF(Calculator!$E$20="YES",IF(A518&lt;Calculator!$G$20,0,MIN(MIN(MOD(A518/Calculator!$F$20,1),1-MOD(A518/Calculator!$F$20,1)),ABS(MOD(A518/Calculator!$F$20,1)-0.5))),1)</f>
        <v>1</v>
      </c>
      <c r="K518" s="219" t="n">
        <f aca="false">IF(Calculator!$E$21="YES",IF(A518&lt;Calculator!$G$21,0,MIN(MIN(MOD(A518/Calculator!$F$21,1),1-MOD(A518/Calculator!$F$21,1)),ABS(MOD(A518/Calculator!$F$21,1)-0.5))),1)</f>
        <v>0.14221052631579</v>
      </c>
      <c r="L518" s="219" t="n">
        <f aca="false">IF(Calculator!$E$22="YES",IF(A518&lt;Calculator!$G$22,0,MIN(MIN(MOD(A518/Calculator!$F$22,1),1-MOD(A518/Calculator!$F$22,1)),ABS(MOD(A518/Calculator!$F$22,1)-0.5))),1)</f>
        <v>1</v>
      </c>
      <c r="M518" s="219" t="n">
        <f aca="false">MIN(B518:L518)</f>
        <v>0.0804736842105269</v>
      </c>
      <c r="N518" s="219" t="n">
        <f aca="false">SUMPRODUCT(($M$7:$M$557&gt;M518)*1)+SUMPRODUCT(($M$7:$M$557=M518)*(ROW($M$7:$M$557)&lt;ROW(M518)))+1</f>
        <v>167</v>
      </c>
      <c r="O518" s="219" t="str">
        <f aca="false">IF(M518&gt;=0.2,"★★★ EXCELLENT",IF(M518&gt;=0.12,"★★  GOOD",IF(M518&gt;=0.07,"★  FAIR",IF(M518&gt;=0.025,"⚠  MARGINAL","✗  AVOID"))))</f>
        <v>★  FAIR</v>
      </c>
    </row>
    <row r="519" customFormat="false" ht="15" hidden="false" customHeight="true" outlineLevel="0" collapsed="false">
      <c r="A519" s="216" t="n">
        <v>56.2</v>
      </c>
      <c r="B519" s="217" t="n">
        <f aca="false">IF(Calculator!$E$12="YES",IF(A519&lt;Calculator!$G$12,0,MIN(MIN(MOD(A519/Calculator!$F$12,1),1-MOD(A519/Calculator!$F$12,1)),ABS(MOD(A519/Calculator!$F$12,1)-0.5))),1)</f>
        <v>1</v>
      </c>
      <c r="C519" s="217" t="n">
        <f aca="false">IF(Calculator!$E$13="YES",IF(A519&lt;Calculator!$G$13,0,MIN(MIN(MOD(A519/Calculator!$F$13,1),1-MOD(A519/Calculator!$F$13,1)),ABS(MOD(A519/Calculator!$F$13,1)-0.5))),1)</f>
        <v>1</v>
      </c>
      <c r="D519" s="217" t="n">
        <f aca="false">IF(Calculator!$E$14="YES",IF(A519&lt;Calculator!$G$14,0,MIN(MIN(MOD(A519/Calculator!$F$14,1),1-MOD(A519/Calculator!$F$14,1)),ABS(MOD(A519/Calculator!$F$14,1)-0.5))),1)</f>
        <v>1</v>
      </c>
      <c r="E519" s="217" t="n">
        <f aca="false">IF(Calculator!$E$15="YES",IF(A519&lt;Calculator!$G$15,0,MIN(MIN(MOD(A519/Calculator!$F$15,1),1-MOD(A519/Calculator!$F$15,1)),ABS(MOD(A519/Calculator!$F$15,1)-0.5))),1)</f>
        <v>0.180140350877193</v>
      </c>
      <c r="F519" s="217" t="n">
        <f aca="false">IF(Calculator!$E$16="YES",IF(A519&lt;Calculator!$G$16,0,MIN(MIN(MOD(A519/Calculator!$F$16,1),1-MOD(A519/Calculator!$F$16,1)),ABS(MOD(A519/Calculator!$F$16,1)-0.5))),1)</f>
        <v>1</v>
      </c>
      <c r="G519" s="217" t="n">
        <f aca="false">IF(Calculator!$E$17="YES",IF(A519&lt;Calculator!$G$17,0,MIN(MIN(MOD(A519/Calculator!$F$17,1),1-MOD(A519/Calculator!$F$17,1)),ABS(MOD(A519/Calculator!$F$17,1)-0.5))),1)</f>
        <v>0.0904210526315801</v>
      </c>
      <c r="H519" s="217" t="n">
        <f aca="false">IF(Calculator!$E$18="YES",IF(A519&lt;Calculator!$G$18,0,MIN(MIN(MOD(A519/Calculator!$F$18,1),1-MOD(A519/Calculator!$F$18,1)),ABS(MOD(A519/Calculator!$F$18,1)-0.5))),1)</f>
        <v>1</v>
      </c>
      <c r="I519" s="217" t="n">
        <f aca="false">IF(Calculator!$E$19="YES",IF(A519&lt;Calculator!$G$19,0,MIN(MIN(MOD(A519/Calculator!$F$19,1),1-MOD(A519/Calculator!$F$19,1)),ABS(MOD(A519/Calculator!$F$19,1)-0.5))),1)</f>
        <v>1</v>
      </c>
      <c r="J519" s="217" t="n">
        <f aca="false">IF(Calculator!$E$20="YES",IF(A519&lt;Calculator!$G$20,0,MIN(MIN(MOD(A519/Calculator!$F$20,1),1-MOD(A519/Calculator!$F$20,1)),ABS(MOD(A519/Calculator!$F$20,1)-0.5))),1)</f>
        <v>1</v>
      </c>
      <c r="K519" s="217" t="n">
        <f aca="false">IF(Calculator!$E$21="YES",IF(A519&lt;Calculator!$G$21,0,MIN(MIN(MOD(A519/Calculator!$F$21,1),1-MOD(A519/Calculator!$F$21,1)),ABS(MOD(A519/Calculator!$F$21,1)-0.5))),1)</f>
        <v>0.121964912280701</v>
      </c>
      <c r="L519" s="217" t="n">
        <f aca="false">IF(Calculator!$E$22="YES",IF(A519&lt;Calculator!$G$22,0,MIN(MIN(MOD(A519/Calculator!$F$22,1),1-MOD(A519/Calculator!$F$22,1)),ABS(MOD(A519/Calculator!$F$22,1)-0.5))),1)</f>
        <v>1</v>
      </c>
      <c r="M519" s="217" t="n">
        <f aca="false">MIN(B519:L519)</f>
        <v>0.0904210526315801</v>
      </c>
      <c r="N519" s="217" t="n">
        <f aca="false">SUMPRODUCT(($M$7:$M$557&gt;M519)*1)+SUMPRODUCT(($M$7:$M$557=M519)*(ROW($M$7:$M$557)&lt;ROW(M519)))+1</f>
        <v>133</v>
      </c>
      <c r="O519" s="217" t="str">
        <f aca="false">IF(M519&gt;=0.2,"★★★ EXCELLENT",IF(M519&gt;=0.12,"★★  GOOD",IF(M519&gt;=0.07,"★  FAIR",IF(M519&gt;=0.025,"⚠  MARGINAL","✗  AVOID"))))</f>
        <v>★  FAIR</v>
      </c>
    </row>
    <row r="520" customFormat="false" ht="15" hidden="false" customHeight="true" outlineLevel="0" collapsed="false">
      <c r="A520" s="218" t="n">
        <v>56.3</v>
      </c>
      <c r="B520" s="219" t="n">
        <f aca="false">IF(Calculator!$E$12="YES",IF(A520&lt;Calculator!$G$12,0,MIN(MIN(MOD(A520/Calculator!$F$12,1),1-MOD(A520/Calculator!$F$12,1)),ABS(MOD(A520/Calculator!$F$12,1)-0.5))),1)</f>
        <v>1</v>
      </c>
      <c r="C520" s="219" t="n">
        <f aca="false">IF(Calculator!$E$13="YES",IF(A520&lt;Calculator!$G$13,0,MIN(MIN(MOD(A520/Calculator!$F$13,1),1-MOD(A520/Calculator!$F$13,1)),ABS(MOD(A520/Calculator!$F$13,1)-0.5))),1)</f>
        <v>1</v>
      </c>
      <c r="D520" s="219" t="n">
        <f aca="false">IF(Calculator!$E$14="YES",IF(A520&lt;Calculator!$G$14,0,MIN(MIN(MOD(A520/Calculator!$F$14,1),1-MOD(A520/Calculator!$F$14,1)),ABS(MOD(A520/Calculator!$F$14,1)-0.5))),1)</f>
        <v>1</v>
      </c>
      <c r="E520" s="219" t="n">
        <f aca="false">IF(Calculator!$E$15="YES",IF(A520&lt;Calculator!$G$15,0,MIN(MIN(MOD(A520/Calculator!$F$15,1),1-MOD(A520/Calculator!$F$15,1)),ABS(MOD(A520/Calculator!$F$15,1)-0.5))),1)</f>
        <v>0.175122807017544</v>
      </c>
      <c r="F520" s="219" t="n">
        <f aca="false">IF(Calculator!$E$16="YES",IF(A520&lt;Calculator!$G$16,0,MIN(MIN(MOD(A520/Calculator!$F$16,1),1-MOD(A520/Calculator!$F$16,1)),ABS(MOD(A520/Calculator!$F$16,1)-0.5))),1)</f>
        <v>1</v>
      </c>
      <c r="G520" s="219" t="n">
        <f aca="false">IF(Calculator!$E$17="YES",IF(A520&lt;Calculator!$G$17,0,MIN(MIN(MOD(A520/Calculator!$F$17,1),1-MOD(A520/Calculator!$F$17,1)),ABS(MOD(A520/Calculator!$F$17,1)-0.5))),1)</f>
        <v>0.100368421052631</v>
      </c>
      <c r="H520" s="219" t="n">
        <f aca="false">IF(Calculator!$E$18="YES",IF(A520&lt;Calculator!$G$18,0,MIN(MIN(MOD(A520/Calculator!$F$18,1),1-MOD(A520/Calculator!$F$18,1)),ABS(MOD(A520/Calculator!$F$18,1)-0.5))),1)</f>
        <v>1</v>
      </c>
      <c r="I520" s="219" t="n">
        <f aca="false">IF(Calculator!$E$19="YES",IF(A520&lt;Calculator!$G$19,0,MIN(MIN(MOD(A520/Calculator!$F$19,1),1-MOD(A520/Calculator!$F$19,1)),ABS(MOD(A520/Calculator!$F$19,1)-0.5))),1)</f>
        <v>1</v>
      </c>
      <c r="J520" s="219" t="n">
        <f aca="false">IF(Calculator!$E$20="YES",IF(A520&lt;Calculator!$G$20,0,MIN(MIN(MOD(A520/Calculator!$F$20,1),1-MOD(A520/Calculator!$F$20,1)),ABS(MOD(A520/Calculator!$F$20,1)-0.5))),1)</f>
        <v>1</v>
      </c>
      <c r="K520" s="219" t="n">
        <f aca="false">IF(Calculator!$E$21="YES",IF(A520&lt;Calculator!$G$21,0,MIN(MIN(MOD(A520/Calculator!$F$21,1),1-MOD(A520/Calculator!$F$21,1)),ABS(MOD(A520/Calculator!$F$21,1)-0.5))),1)</f>
        <v>0.101719298245614</v>
      </c>
      <c r="L520" s="219" t="n">
        <f aca="false">IF(Calculator!$E$22="YES",IF(A520&lt;Calculator!$G$22,0,MIN(MIN(MOD(A520/Calculator!$F$22,1),1-MOD(A520/Calculator!$F$22,1)),ABS(MOD(A520/Calculator!$F$22,1)-0.5))),1)</f>
        <v>1</v>
      </c>
      <c r="M520" s="219" t="n">
        <f aca="false">MIN(B520:L520)</f>
        <v>0.100368421052631</v>
      </c>
      <c r="N520" s="219" t="n">
        <f aca="false">SUMPRODUCT(($M$7:$M$557&gt;M520)*1)+SUMPRODUCT(($M$7:$M$557=M520)*(ROW($M$7:$M$557)&lt;ROW(M520)))+1</f>
        <v>105</v>
      </c>
      <c r="O520" s="219" t="str">
        <f aca="false">IF(M520&gt;=0.2,"★★★ EXCELLENT",IF(M520&gt;=0.12,"★★  GOOD",IF(M520&gt;=0.07,"★  FAIR",IF(M520&gt;=0.025,"⚠  MARGINAL","✗  AVOID"))))</f>
        <v>★  FAIR</v>
      </c>
    </row>
    <row r="521" customFormat="false" ht="15" hidden="false" customHeight="true" outlineLevel="0" collapsed="false">
      <c r="A521" s="216" t="n">
        <v>56.4</v>
      </c>
      <c r="B521" s="217" t="n">
        <f aca="false">IF(Calculator!$E$12="YES",IF(A521&lt;Calculator!$G$12,0,MIN(MIN(MOD(A521/Calculator!$F$12,1),1-MOD(A521/Calculator!$F$12,1)),ABS(MOD(A521/Calculator!$F$12,1)-0.5))),1)</f>
        <v>1</v>
      </c>
      <c r="C521" s="217" t="n">
        <f aca="false">IF(Calculator!$E$13="YES",IF(A521&lt;Calculator!$G$13,0,MIN(MIN(MOD(A521/Calculator!$F$13,1),1-MOD(A521/Calculator!$F$13,1)),ABS(MOD(A521/Calculator!$F$13,1)-0.5))),1)</f>
        <v>1</v>
      </c>
      <c r="D521" s="217" t="n">
        <f aca="false">IF(Calculator!$E$14="YES",IF(A521&lt;Calculator!$G$14,0,MIN(MIN(MOD(A521/Calculator!$F$14,1),1-MOD(A521/Calculator!$F$14,1)),ABS(MOD(A521/Calculator!$F$14,1)-0.5))),1)</f>
        <v>1</v>
      </c>
      <c r="E521" s="217" t="n">
        <f aca="false">IF(Calculator!$E$15="YES",IF(A521&lt;Calculator!$G$15,0,MIN(MIN(MOD(A521/Calculator!$F$15,1),1-MOD(A521/Calculator!$F$15,1)),ABS(MOD(A521/Calculator!$F$15,1)-0.5))),1)</f>
        <v>0.170105263157895</v>
      </c>
      <c r="F521" s="217" t="n">
        <f aca="false">IF(Calculator!$E$16="YES",IF(A521&lt;Calculator!$G$16,0,MIN(MIN(MOD(A521/Calculator!$F$16,1),1-MOD(A521/Calculator!$F$16,1)),ABS(MOD(A521/Calculator!$F$16,1)-0.5))),1)</f>
        <v>1</v>
      </c>
      <c r="G521" s="217" t="n">
        <f aca="false">IF(Calculator!$E$17="YES",IF(A521&lt;Calculator!$G$17,0,MIN(MIN(MOD(A521/Calculator!$F$17,1),1-MOD(A521/Calculator!$F$17,1)),ABS(MOD(A521/Calculator!$F$17,1)-0.5))),1)</f>
        <v>0.110315789473685</v>
      </c>
      <c r="H521" s="217" t="n">
        <f aca="false">IF(Calculator!$E$18="YES",IF(A521&lt;Calculator!$G$18,0,MIN(MIN(MOD(A521/Calculator!$F$18,1),1-MOD(A521/Calculator!$F$18,1)),ABS(MOD(A521/Calculator!$F$18,1)-0.5))),1)</f>
        <v>1</v>
      </c>
      <c r="I521" s="217" t="n">
        <f aca="false">IF(Calculator!$E$19="YES",IF(A521&lt;Calculator!$G$19,0,MIN(MIN(MOD(A521/Calculator!$F$19,1),1-MOD(A521/Calculator!$F$19,1)),ABS(MOD(A521/Calculator!$F$19,1)-0.5))),1)</f>
        <v>1</v>
      </c>
      <c r="J521" s="217" t="n">
        <f aca="false">IF(Calculator!$E$20="YES",IF(A521&lt;Calculator!$G$20,0,MIN(MIN(MOD(A521/Calculator!$F$20,1),1-MOD(A521/Calculator!$F$20,1)),ABS(MOD(A521/Calculator!$F$20,1)-0.5))),1)</f>
        <v>1</v>
      </c>
      <c r="K521" s="217" t="n">
        <f aca="false">IF(Calculator!$E$21="YES",IF(A521&lt;Calculator!$G$21,0,MIN(MIN(MOD(A521/Calculator!$F$21,1),1-MOD(A521/Calculator!$F$21,1)),ABS(MOD(A521/Calculator!$F$21,1)-0.5))),1)</f>
        <v>0.0814736842105273</v>
      </c>
      <c r="L521" s="217" t="n">
        <f aca="false">IF(Calculator!$E$22="YES",IF(A521&lt;Calculator!$G$22,0,MIN(MIN(MOD(A521/Calculator!$F$22,1),1-MOD(A521/Calculator!$F$22,1)),ABS(MOD(A521/Calculator!$F$22,1)-0.5))),1)</f>
        <v>1</v>
      </c>
      <c r="M521" s="217" t="n">
        <f aca="false">MIN(B521:L521)</f>
        <v>0.0814736842105273</v>
      </c>
      <c r="N521" s="217" t="n">
        <f aca="false">SUMPRODUCT(($M$7:$M$557&gt;M521)*1)+SUMPRODUCT(($M$7:$M$557=M521)*(ROW($M$7:$M$557)&lt;ROW(M521)))+1</f>
        <v>163</v>
      </c>
      <c r="O521" s="217" t="str">
        <f aca="false">IF(M521&gt;=0.2,"★★★ EXCELLENT",IF(M521&gt;=0.12,"★★  GOOD",IF(M521&gt;=0.07,"★  FAIR",IF(M521&gt;=0.025,"⚠  MARGINAL","✗  AVOID"))))</f>
        <v>★  FAIR</v>
      </c>
    </row>
    <row r="522" customFormat="false" ht="15" hidden="false" customHeight="true" outlineLevel="0" collapsed="false">
      <c r="A522" s="218" t="n">
        <v>56.5</v>
      </c>
      <c r="B522" s="219" t="n">
        <f aca="false">IF(Calculator!$E$12="YES",IF(A522&lt;Calculator!$G$12,0,MIN(MIN(MOD(A522/Calculator!$F$12,1),1-MOD(A522/Calculator!$F$12,1)),ABS(MOD(A522/Calculator!$F$12,1)-0.5))),1)</f>
        <v>1</v>
      </c>
      <c r="C522" s="219" t="n">
        <f aca="false">IF(Calculator!$E$13="YES",IF(A522&lt;Calculator!$G$13,0,MIN(MIN(MOD(A522/Calculator!$F$13,1),1-MOD(A522/Calculator!$F$13,1)),ABS(MOD(A522/Calculator!$F$13,1)-0.5))),1)</f>
        <v>1</v>
      </c>
      <c r="D522" s="219" t="n">
        <f aca="false">IF(Calculator!$E$14="YES",IF(A522&lt;Calculator!$G$14,0,MIN(MIN(MOD(A522/Calculator!$F$14,1),1-MOD(A522/Calculator!$F$14,1)),ABS(MOD(A522/Calculator!$F$14,1)-0.5))),1)</f>
        <v>1</v>
      </c>
      <c r="E522" s="219" t="n">
        <f aca="false">IF(Calculator!$E$15="YES",IF(A522&lt;Calculator!$G$15,0,MIN(MIN(MOD(A522/Calculator!$F$15,1),1-MOD(A522/Calculator!$F$15,1)),ABS(MOD(A522/Calculator!$F$15,1)-0.5))),1)</f>
        <v>0.165087719298246</v>
      </c>
      <c r="F522" s="219" t="n">
        <f aca="false">IF(Calculator!$E$16="YES",IF(A522&lt;Calculator!$G$16,0,MIN(MIN(MOD(A522/Calculator!$F$16,1),1-MOD(A522/Calculator!$F$16,1)),ABS(MOD(A522/Calculator!$F$16,1)-0.5))),1)</f>
        <v>1</v>
      </c>
      <c r="G522" s="219" t="n">
        <f aca="false">IF(Calculator!$E$17="YES",IF(A522&lt;Calculator!$G$17,0,MIN(MIN(MOD(A522/Calculator!$F$17,1),1-MOD(A522/Calculator!$F$17,1)),ABS(MOD(A522/Calculator!$F$17,1)-0.5))),1)</f>
        <v>0.120263157894737</v>
      </c>
      <c r="H522" s="219" t="n">
        <f aca="false">IF(Calculator!$E$18="YES",IF(A522&lt;Calculator!$G$18,0,MIN(MIN(MOD(A522/Calculator!$F$18,1),1-MOD(A522/Calculator!$F$18,1)),ABS(MOD(A522/Calculator!$F$18,1)-0.5))),1)</f>
        <v>1</v>
      </c>
      <c r="I522" s="219" t="n">
        <f aca="false">IF(Calculator!$E$19="YES",IF(A522&lt;Calculator!$G$19,0,MIN(MIN(MOD(A522/Calculator!$F$19,1),1-MOD(A522/Calculator!$F$19,1)),ABS(MOD(A522/Calculator!$F$19,1)-0.5))),1)</f>
        <v>1</v>
      </c>
      <c r="J522" s="219" t="n">
        <f aca="false">IF(Calculator!$E$20="YES",IF(A522&lt;Calculator!$G$20,0,MIN(MIN(MOD(A522/Calculator!$F$20,1),1-MOD(A522/Calculator!$F$20,1)),ABS(MOD(A522/Calculator!$F$20,1)-0.5))),1)</f>
        <v>1</v>
      </c>
      <c r="K522" s="219" t="n">
        <f aca="false">IF(Calculator!$E$21="YES",IF(A522&lt;Calculator!$G$21,0,MIN(MIN(MOD(A522/Calculator!$F$21,1),1-MOD(A522/Calculator!$F$21,1)),ABS(MOD(A522/Calculator!$F$21,1)-0.5))),1)</f>
        <v>0.0612280701754386</v>
      </c>
      <c r="L522" s="219" t="n">
        <f aca="false">IF(Calculator!$E$22="YES",IF(A522&lt;Calculator!$G$22,0,MIN(MIN(MOD(A522/Calculator!$F$22,1),1-MOD(A522/Calculator!$F$22,1)),ABS(MOD(A522/Calculator!$F$22,1)-0.5))),1)</f>
        <v>1</v>
      </c>
      <c r="M522" s="219" t="n">
        <f aca="false">MIN(B522:L522)</f>
        <v>0.0612280701754386</v>
      </c>
      <c r="N522" s="219" t="n">
        <f aca="false">SUMPRODUCT(($M$7:$M$557&gt;M522)*1)+SUMPRODUCT(($M$7:$M$557=M522)*(ROW($M$7:$M$557)&lt;ROW(M522)))+1</f>
        <v>239</v>
      </c>
      <c r="O522" s="219" t="str">
        <f aca="false">IF(M522&gt;=0.2,"★★★ EXCELLENT",IF(M522&gt;=0.12,"★★  GOOD",IF(M522&gt;=0.07,"★  FAIR",IF(M522&gt;=0.025,"⚠  MARGINAL","✗  AVOID"))))</f>
        <v>⚠  MARGINAL</v>
      </c>
    </row>
    <row r="523" customFormat="false" ht="15" hidden="false" customHeight="true" outlineLevel="0" collapsed="false">
      <c r="A523" s="216" t="n">
        <v>56.6</v>
      </c>
      <c r="B523" s="217" t="n">
        <f aca="false">IF(Calculator!$E$12="YES",IF(A523&lt;Calculator!$G$12,0,MIN(MIN(MOD(A523/Calculator!$F$12,1),1-MOD(A523/Calculator!$F$12,1)),ABS(MOD(A523/Calculator!$F$12,1)-0.5))),1)</f>
        <v>1</v>
      </c>
      <c r="C523" s="217" t="n">
        <f aca="false">IF(Calculator!$E$13="YES",IF(A523&lt;Calculator!$G$13,0,MIN(MIN(MOD(A523/Calculator!$F$13,1),1-MOD(A523/Calculator!$F$13,1)),ABS(MOD(A523/Calculator!$F$13,1)-0.5))),1)</f>
        <v>1</v>
      </c>
      <c r="D523" s="217" t="n">
        <f aca="false">IF(Calculator!$E$14="YES",IF(A523&lt;Calculator!$G$14,0,MIN(MIN(MOD(A523/Calculator!$F$14,1),1-MOD(A523/Calculator!$F$14,1)),ABS(MOD(A523/Calculator!$F$14,1)-0.5))),1)</f>
        <v>1</v>
      </c>
      <c r="E523" s="217" t="n">
        <f aca="false">IF(Calculator!$E$15="YES",IF(A523&lt;Calculator!$G$15,0,MIN(MIN(MOD(A523/Calculator!$F$15,1),1-MOD(A523/Calculator!$F$15,1)),ABS(MOD(A523/Calculator!$F$15,1)-0.5))),1)</f>
        <v>0.160070175438596</v>
      </c>
      <c r="F523" s="217" t="n">
        <f aca="false">IF(Calculator!$E$16="YES",IF(A523&lt;Calculator!$G$16,0,MIN(MIN(MOD(A523/Calculator!$F$16,1),1-MOD(A523/Calculator!$F$16,1)),ABS(MOD(A523/Calculator!$F$16,1)-0.5))),1)</f>
        <v>1</v>
      </c>
      <c r="G523" s="217" t="n">
        <f aca="false">IF(Calculator!$E$17="YES",IF(A523&lt;Calculator!$G$17,0,MIN(MIN(MOD(A523/Calculator!$F$17,1),1-MOD(A523/Calculator!$F$17,1)),ABS(MOD(A523/Calculator!$F$17,1)-0.5))),1)</f>
        <v>0.13021052631579</v>
      </c>
      <c r="H523" s="217" t="n">
        <f aca="false">IF(Calculator!$E$18="YES",IF(A523&lt;Calculator!$G$18,0,MIN(MIN(MOD(A523/Calculator!$F$18,1),1-MOD(A523/Calculator!$F$18,1)),ABS(MOD(A523/Calculator!$F$18,1)-0.5))),1)</f>
        <v>1</v>
      </c>
      <c r="I523" s="217" t="n">
        <f aca="false">IF(Calculator!$E$19="YES",IF(A523&lt;Calculator!$G$19,0,MIN(MIN(MOD(A523/Calculator!$F$19,1),1-MOD(A523/Calculator!$F$19,1)),ABS(MOD(A523/Calculator!$F$19,1)-0.5))),1)</f>
        <v>1</v>
      </c>
      <c r="J523" s="217" t="n">
        <f aca="false">IF(Calculator!$E$20="YES",IF(A523&lt;Calculator!$G$20,0,MIN(MIN(MOD(A523/Calculator!$F$20,1),1-MOD(A523/Calculator!$F$20,1)),ABS(MOD(A523/Calculator!$F$20,1)-0.5))),1)</f>
        <v>1</v>
      </c>
      <c r="K523" s="217" t="n">
        <f aca="false">IF(Calculator!$E$21="YES",IF(A523&lt;Calculator!$G$21,0,MIN(MIN(MOD(A523/Calculator!$F$21,1),1-MOD(A523/Calculator!$F$21,1)),ABS(MOD(A523/Calculator!$F$21,1)-0.5))),1)</f>
        <v>0.04098245614035</v>
      </c>
      <c r="L523" s="217" t="n">
        <f aca="false">IF(Calculator!$E$22="YES",IF(A523&lt;Calculator!$G$22,0,MIN(MIN(MOD(A523/Calculator!$F$22,1),1-MOD(A523/Calculator!$F$22,1)),ABS(MOD(A523/Calculator!$F$22,1)-0.5))),1)</f>
        <v>1</v>
      </c>
      <c r="M523" s="217" t="n">
        <f aca="false">MIN(B523:L523)</f>
        <v>0.04098245614035</v>
      </c>
      <c r="N523" s="217" t="n">
        <f aca="false">SUMPRODUCT(($M$7:$M$557&gt;M523)*1)+SUMPRODUCT(($M$7:$M$557=M523)*(ROW($M$7:$M$557)&lt;ROW(M523)))+1</f>
        <v>321</v>
      </c>
      <c r="O523" s="217" t="str">
        <f aca="false">IF(M523&gt;=0.2,"★★★ EXCELLENT",IF(M523&gt;=0.12,"★★  GOOD",IF(M523&gt;=0.07,"★  FAIR",IF(M523&gt;=0.025,"⚠  MARGINAL","✗  AVOID"))))</f>
        <v>⚠  MARGINAL</v>
      </c>
    </row>
    <row r="524" customFormat="false" ht="15" hidden="false" customHeight="true" outlineLevel="0" collapsed="false">
      <c r="A524" s="218" t="n">
        <v>56.7</v>
      </c>
      <c r="B524" s="219" t="n">
        <f aca="false">IF(Calculator!$E$12="YES",IF(A524&lt;Calculator!$G$12,0,MIN(MIN(MOD(A524/Calculator!$F$12,1),1-MOD(A524/Calculator!$F$12,1)),ABS(MOD(A524/Calculator!$F$12,1)-0.5))),1)</f>
        <v>1</v>
      </c>
      <c r="C524" s="219" t="n">
        <f aca="false">IF(Calculator!$E$13="YES",IF(A524&lt;Calculator!$G$13,0,MIN(MIN(MOD(A524/Calculator!$F$13,1),1-MOD(A524/Calculator!$F$13,1)),ABS(MOD(A524/Calculator!$F$13,1)-0.5))),1)</f>
        <v>1</v>
      </c>
      <c r="D524" s="219" t="n">
        <f aca="false">IF(Calculator!$E$14="YES",IF(A524&lt;Calculator!$G$14,0,MIN(MIN(MOD(A524/Calculator!$F$14,1),1-MOD(A524/Calculator!$F$14,1)),ABS(MOD(A524/Calculator!$F$14,1)-0.5))),1)</f>
        <v>1</v>
      </c>
      <c r="E524" s="219" t="n">
        <f aca="false">IF(Calculator!$E$15="YES",IF(A524&lt;Calculator!$G$15,0,MIN(MIN(MOD(A524/Calculator!$F$15,1),1-MOD(A524/Calculator!$F$15,1)),ABS(MOD(A524/Calculator!$F$15,1)-0.5))),1)</f>
        <v>0.155052631578947</v>
      </c>
      <c r="F524" s="219" t="n">
        <f aca="false">IF(Calculator!$E$16="YES",IF(A524&lt;Calculator!$G$16,0,MIN(MIN(MOD(A524/Calculator!$F$16,1),1-MOD(A524/Calculator!$F$16,1)),ABS(MOD(A524/Calculator!$F$16,1)-0.5))),1)</f>
        <v>1</v>
      </c>
      <c r="G524" s="219" t="n">
        <f aca="false">IF(Calculator!$E$17="YES",IF(A524&lt;Calculator!$G$17,0,MIN(MIN(MOD(A524/Calculator!$F$17,1),1-MOD(A524/Calculator!$F$17,1)),ABS(MOD(A524/Calculator!$F$17,1)-0.5))),1)</f>
        <v>0.140157894736843</v>
      </c>
      <c r="H524" s="219" t="n">
        <f aca="false">IF(Calculator!$E$18="YES",IF(A524&lt;Calculator!$G$18,0,MIN(MIN(MOD(A524/Calculator!$F$18,1),1-MOD(A524/Calculator!$F$18,1)),ABS(MOD(A524/Calculator!$F$18,1)-0.5))),1)</f>
        <v>1</v>
      </c>
      <c r="I524" s="219" t="n">
        <f aca="false">IF(Calculator!$E$19="YES",IF(A524&lt;Calculator!$G$19,0,MIN(MIN(MOD(A524/Calculator!$F$19,1),1-MOD(A524/Calculator!$F$19,1)),ABS(MOD(A524/Calculator!$F$19,1)-0.5))),1)</f>
        <v>1</v>
      </c>
      <c r="J524" s="219" t="n">
        <f aca="false">IF(Calculator!$E$20="YES",IF(A524&lt;Calculator!$G$20,0,MIN(MIN(MOD(A524/Calculator!$F$20,1),1-MOD(A524/Calculator!$F$20,1)),ABS(MOD(A524/Calculator!$F$20,1)-0.5))),1)</f>
        <v>1</v>
      </c>
      <c r="K524" s="219" t="n">
        <f aca="false">IF(Calculator!$E$21="YES",IF(A524&lt;Calculator!$G$21,0,MIN(MIN(MOD(A524/Calculator!$F$21,1),1-MOD(A524/Calculator!$F$21,1)),ABS(MOD(A524/Calculator!$F$21,1)-0.5))),1)</f>
        <v>0.0207368421052632</v>
      </c>
      <c r="L524" s="219" t="n">
        <f aca="false">IF(Calculator!$E$22="YES",IF(A524&lt;Calculator!$G$22,0,MIN(MIN(MOD(A524/Calculator!$F$22,1),1-MOD(A524/Calculator!$F$22,1)),ABS(MOD(A524/Calculator!$F$22,1)-0.5))),1)</f>
        <v>1</v>
      </c>
      <c r="M524" s="219" t="n">
        <f aca="false">MIN(B524:L524)</f>
        <v>0.0207368421052632</v>
      </c>
      <c r="N524" s="219" t="n">
        <f aca="false">SUMPRODUCT(($M$7:$M$557&gt;M524)*1)+SUMPRODUCT(($M$7:$M$557=M524)*(ROW($M$7:$M$557)&lt;ROW(M524)))+1</f>
        <v>400</v>
      </c>
      <c r="O524" s="219" t="str">
        <f aca="false">IF(M524&gt;=0.2,"★★★ EXCELLENT",IF(M524&gt;=0.12,"★★  GOOD",IF(M524&gt;=0.07,"★  FAIR",IF(M524&gt;=0.025,"⚠  MARGINAL","✗  AVOID"))))</f>
        <v>✗  AVOID</v>
      </c>
    </row>
    <row r="525" customFormat="false" ht="15" hidden="false" customHeight="true" outlineLevel="0" collapsed="false">
      <c r="A525" s="216" t="n">
        <v>56.8</v>
      </c>
      <c r="B525" s="217" t="n">
        <f aca="false">IF(Calculator!$E$12="YES",IF(A525&lt;Calculator!$G$12,0,MIN(MIN(MOD(A525/Calculator!$F$12,1),1-MOD(A525/Calculator!$F$12,1)),ABS(MOD(A525/Calculator!$F$12,1)-0.5))),1)</f>
        <v>1</v>
      </c>
      <c r="C525" s="217" t="n">
        <f aca="false">IF(Calculator!$E$13="YES",IF(A525&lt;Calculator!$G$13,0,MIN(MIN(MOD(A525/Calculator!$F$13,1),1-MOD(A525/Calculator!$F$13,1)),ABS(MOD(A525/Calculator!$F$13,1)-0.5))),1)</f>
        <v>1</v>
      </c>
      <c r="D525" s="217" t="n">
        <f aca="false">IF(Calculator!$E$14="YES",IF(A525&lt;Calculator!$G$14,0,MIN(MIN(MOD(A525/Calculator!$F$14,1),1-MOD(A525/Calculator!$F$14,1)),ABS(MOD(A525/Calculator!$F$14,1)-0.5))),1)</f>
        <v>1</v>
      </c>
      <c r="E525" s="217" t="n">
        <f aca="false">IF(Calculator!$E$15="YES",IF(A525&lt;Calculator!$G$15,0,MIN(MIN(MOD(A525/Calculator!$F$15,1),1-MOD(A525/Calculator!$F$15,1)),ABS(MOD(A525/Calculator!$F$15,1)-0.5))),1)</f>
        <v>0.150035087719298</v>
      </c>
      <c r="F525" s="217" t="n">
        <f aca="false">IF(Calculator!$E$16="YES",IF(A525&lt;Calculator!$G$16,0,MIN(MIN(MOD(A525/Calculator!$F$16,1),1-MOD(A525/Calculator!$F$16,1)),ABS(MOD(A525/Calculator!$F$16,1)-0.5))),1)</f>
        <v>1</v>
      </c>
      <c r="G525" s="217" t="n">
        <f aca="false">IF(Calculator!$E$17="YES",IF(A525&lt;Calculator!$G$17,0,MIN(MIN(MOD(A525/Calculator!$F$17,1),1-MOD(A525/Calculator!$F$17,1)),ABS(MOD(A525/Calculator!$F$17,1)-0.5))),1)</f>
        <v>0.150105263157895</v>
      </c>
      <c r="H525" s="217" t="n">
        <f aca="false">IF(Calculator!$E$18="YES",IF(A525&lt;Calculator!$G$18,0,MIN(MIN(MOD(A525/Calculator!$F$18,1),1-MOD(A525/Calculator!$F$18,1)),ABS(MOD(A525/Calculator!$F$18,1)-0.5))),1)</f>
        <v>1</v>
      </c>
      <c r="I525" s="217" t="n">
        <f aca="false">IF(Calculator!$E$19="YES",IF(A525&lt;Calculator!$G$19,0,MIN(MIN(MOD(A525/Calculator!$F$19,1),1-MOD(A525/Calculator!$F$19,1)),ABS(MOD(A525/Calculator!$F$19,1)-0.5))),1)</f>
        <v>1</v>
      </c>
      <c r="J525" s="217" t="n">
        <f aca="false">IF(Calculator!$E$20="YES",IF(A525&lt;Calculator!$G$20,0,MIN(MIN(MOD(A525/Calculator!$F$20,1),1-MOD(A525/Calculator!$F$20,1)),ABS(MOD(A525/Calculator!$F$20,1)-0.5))),1)</f>
        <v>1</v>
      </c>
      <c r="K525" s="217" t="n">
        <f aca="false">IF(Calculator!$E$21="YES",IF(A525&lt;Calculator!$G$21,0,MIN(MIN(MOD(A525/Calculator!$F$21,1),1-MOD(A525/Calculator!$F$21,1)),ABS(MOD(A525/Calculator!$F$21,1)-0.5))),1)</f>
        <v>0.000491228070176319</v>
      </c>
      <c r="L525" s="217" t="n">
        <f aca="false">IF(Calculator!$E$22="YES",IF(A525&lt;Calculator!$G$22,0,MIN(MIN(MOD(A525/Calculator!$F$22,1),1-MOD(A525/Calculator!$F$22,1)),ABS(MOD(A525/Calculator!$F$22,1)-0.5))),1)</f>
        <v>1</v>
      </c>
      <c r="M525" s="217" t="n">
        <f aca="false">MIN(B525:L525)</f>
        <v>0.000491228070176319</v>
      </c>
      <c r="N525" s="217" t="n">
        <f aca="false">SUMPRODUCT(($M$7:$M$557&gt;M525)*1)+SUMPRODUCT(($M$7:$M$557=M525)*(ROW($M$7:$M$557)&lt;ROW(M525)))+1</f>
        <v>499</v>
      </c>
      <c r="O525" s="217" t="str">
        <f aca="false">IF(M525&gt;=0.2,"★★★ EXCELLENT",IF(M525&gt;=0.12,"★★  GOOD",IF(M525&gt;=0.07,"★  FAIR",IF(M525&gt;=0.025,"⚠  MARGINAL","✗  AVOID"))))</f>
        <v>✗  AVOID</v>
      </c>
    </row>
    <row r="526" customFormat="false" ht="15" hidden="false" customHeight="true" outlineLevel="0" collapsed="false">
      <c r="A526" s="218" t="n">
        <v>56.9</v>
      </c>
      <c r="B526" s="219" t="n">
        <f aca="false">IF(Calculator!$E$12="YES",IF(A526&lt;Calculator!$G$12,0,MIN(MIN(MOD(A526/Calculator!$F$12,1),1-MOD(A526/Calculator!$F$12,1)),ABS(MOD(A526/Calculator!$F$12,1)-0.5))),1)</f>
        <v>1</v>
      </c>
      <c r="C526" s="219" t="n">
        <f aca="false">IF(Calculator!$E$13="YES",IF(A526&lt;Calculator!$G$13,0,MIN(MIN(MOD(A526/Calculator!$F$13,1),1-MOD(A526/Calculator!$F$13,1)),ABS(MOD(A526/Calculator!$F$13,1)-0.5))),1)</f>
        <v>1</v>
      </c>
      <c r="D526" s="219" t="n">
        <f aca="false">IF(Calculator!$E$14="YES",IF(A526&lt;Calculator!$G$14,0,MIN(MIN(MOD(A526/Calculator!$F$14,1),1-MOD(A526/Calculator!$F$14,1)),ABS(MOD(A526/Calculator!$F$14,1)-0.5))),1)</f>
        <v>1</v>
      </c>
      <c r="E526" s="219" t="n">
        <f aca="false">IF(Calculator!$E$15="YES",IF(A526&lt;Calculator!$G$15,0,MIN(MIN(MOD(A526/Calculator!$F$15,1),1-MOD(A526/Calculator!$F$15,1)),ABS(MOD(A526/Calculator!$F$15,1)-0.5))),1)</f>
        <v>0.145017543859649</v>
      </c>
      <c r="F526" s="219" t="n">
        <f aca="false">IF(Calculator!$E$16="YES",IF(A526&lt;Calculator!$G$16,0,MIN(MIN(MOD(A526/Calculator!$F$16,1),1-MOD(A526/Calculator!$F$16,1)),ABS(MOD(A526/Calculator!$F$16,1)-0.5))),1)</f>
        <v>1</v>
      </c>
      <c r="G526" s="219" t="n">
        <f aca="false">IF(Calculator!$E$17="YES",IF(A526&lt;Calculator!$G$17,0,MIN(MIN(MOD(A526/Calculator!$F$17,1),1-MOD(A526/Calculator!$F$17,1)),ABS(MOD(A526/Calculator!$F$17,1)-0.5))),1)</f>
        <v>0.160052631578948</v>
      </c>
      <c r="H526" s="219" t="n">
        <f aca="false">IF(Calculator!$E$18="YES",IF(A526&lt;Calculator!$G$18,0,MIN(MIN(MOD(A526/Calculator!$F$18,1),1-MOD(A526/Calculator!$F$18,1)),ABS(MOD(A526/Calculator!$F$18,1)-0.5))),1)</f>
        <v>1</v>
      </c>
      <c r="I526" s="219" t="n">
        <f aca="false">IF(Calculator!$E$19="YES",IF(A526&lt;Calculator!$G$19,0,MIN(MIN(MOD(A526/Calculator!$F$19,1),1-MOD(A526/Calculator!$F$19,1)),ABS(MOD(A526/Calculator!$F$19,1)-0.5))),1)</f>
        <v>1</v>
      </c>
      <c r="J526" s="219" t="n">
        <f aca="false">IF(Calculator!$E$20="YES",IF(A526&lt;Calculator!$G$20,0,MIN(MIN(MOD(A526/Calculator!$F$20,1),1-MOD(A526/Calculator!$F$20,1)),ABS(MOD(A526/Calculator!$F$20,1)-0.5))),1)</f>
        <v>1</v>
      </c>
      <c r="K526" s="219" t="n">
        <f aca="false">IF(Calculator!$E$21="YES",IF(A526&lt;Calculator!$G$21,0,MIN(MIN(MOD(A526/Calculator!$F$21,1),1-MOD(A526/Calculator!$F$21,1)),ABS(MOD(A526/Calculator!$F$21,1)-0.5))),1)</f>
        <v>0.0197543859649123</v>
      </c>
      <c r="L526" s="219" t="n">
        <f aca="false">IF(Calculator!$E$22="YES",IF(A526&lt;Calculator!$G$22,0,MIN(MIN(MOD(A526/Calculator!$F$22,1),1-MOD(A526/Calculator!$F$22,1)),ABS(MOD(A526/Calculator!$F$22,1)-0.5))),1)</f>
        <v>1</v>
      </c>
      <c r="M526" s="219" t="n">
        <f aca="false">MIN(B526:L526)</f>
        <v>0.0197543859649123</v>
      </c>
      <c r="N526" s="219" t="n">
        <f aca="false">SUMPRODUCT(($M$7:$M$557&gt;M526)*1)+SUMPRODUCT(($M$7:$M$557=M526)*(ROW($M$7:$M$557)&lt;ROW(M526)))+1</f>
        <v>402</v>
      </c>
      <c r="O526" s="219" t="str">
        <f aca="false">IF(M526&gt;=0.2,"★★★ EXCELLENT",IF(M526&gt;=0.12,"★★  GOOD",IF(M526&gt;=0.07,"★  FAIR",IF(M526&gt;=0.025,"⚠  MARGINAL","✗  AVOID"))))</f>
        <v>✗  AVOID</v>
      </c>
    </row>
    <row r="527" customFormat="false" ht="15" hidden="false" customHeight="true" outlineLevel="0" collapsed="false">
      <c r="A527" s="216" t="n">
        <v>57</v>
      </c>
      <c r="B527" s="217" t="n">
        <f aca="false">IF(Calculator!$E$12="YES",IF(A527&lt;Calculator!$G$12,0,MIN(MIN(MOD(A527/Calculator!$F$12,1),1-MOD(A527/Calculator!$F$12,1)),ABS(MOD(A527/Calculator!$F$12,1)-0.5))),1)</f>
        <v>1</v>
      </c>
      <c r="C527" s="217" t="n">
        <f aca="false">IF(Calculator!$E$13="YES",IF(A527&lt;Calculator!$G$13,0,MIN(MIN(MOD(A527/Calculator!$F$13,1),1-MOD(A527/Calculator!$F$13,1)),ABS(MOD(A527/Calculator!$F$13,1)-0.5))),1)</f>
        <v>1</v>
      </c>
      <c r="D527" s="217" t="n">
        <f aca="false">IF(Calculator!$E$14="YES",IF(A527&lt;Calculator!$G$14,0,MIN(MIN(MOD(A527/Calculator!$F$14,1),1-MOD(A527/Calculator!$F$14,1)),ABS(MOD(A527/Calculator!$F$14,1)-0.5))),1)</f>
        <v>1</v>
      </c>
      <c r="E527" s="217" t="n">
        <f aca="false">IF(Calculator!$E$15="YES",IF(A527&lt;Calculator!$G$15,0,MIN(MIN(MOD(A527/Calculator!$F$15,1),1-MOD(A527/Calculator!$F$15,1)),ABS(MOD(A527/Calculator!$F$15,1)-0.5))),1)</f>
        <v>0.14</v>
      </c>
      <c r="F527" s="217" t="n">
        <f aca="false">IF(Calculator!$E$16="YES",IF(A527&lt;Calculator!$G$16,0,MIN(MIN(MOD(A527/Calculator!$F$16,1),1-MOD(A527/Calculator!$F$16,1)),ABS(MOD(A527/Calculator!$F$16,1)-0.5))),1)</f>
        <v>1</v>
      </c>
      <c r="G527" s="217" t="n">
        <f aca="false">IF(Calculator!$E$17="YES",IF(A527&lt;Calculator!$G$17,0,MIN(MIN(MOD(A527/Calculator!$F$17,1),1-MOD(A527/Calculator!$F$17,1)),ABS(MOD(A527/Calculator!$F$17,1)-0.5))),1)</f>
        <v>0.170000000000001</v>
      </c>
      <c r="H527" s="217" t="n">
        <f aca="false">IF(Calculator!$E$18="YES",IF(A527&lt;Calculator!$G$18,0,MIN(MIN(MOD(A527/Calculator!$F$18,1),1-MOD(A527/Calculator!$F$18,1)),ABS(MOD(A527/Calculator!$F$18,1)-0.5))),1)</f>
        <v>1</v>
      </c>
      <c r="I527" s="217" t="n">
        <f aca="false">IF(Calculator!$E$19="YES",IF(A527&lt;Calculator!$G$19,0,MIN(MIN(MOD(A527/Calculator!$F$19,1),1-MOD(A527/Calculator!$F$19,1)),ABS(MOD(A527/Calculator!$F$19,1)-0.5))),1)</f>
        <v>1</v>
      </c>
      <c r="J527" s="217" t="n">
        <f aca="false">IF(Calculator!$E$20="YES",IF(A527&lt;Calculator!$G$20,0,MIN(MIN(MOD(A527/Calculator!$F$20,1),1-MOD(A527/Calculator!$F$20,1)),ABS(MOD(A527/Calculator!$F$20,1)-0.5))),1)</f>
        <v>1</v>
      </c>
      <c r="K527" s="217" t="n">
        <f aca="false">IF(Calculator!$E$21="YES",IF(A527&lt;Calculator!$G$21,0,MIN(MIN(MOD(A527/Calculator!$F$21,1),1-MOD(A527/Calculator!$F$21,1)),ABS(MOD(A527/Calculator!$F$21,1)-0.5))),1)</f>
        <v>0.0399999999999992</v>
      </c>
      <c r="L527" s="217" t="n">
        <f aca="false">IF(Calculator!$E$22="YES",IF(A527&lt;Calculator!$G$22,0,MIN(MIN(MOD(A527/Calculator!$F$22,1),1-MOD(A527/Calculator!$F$22,1)),ABS(MOD(A527/Calculator!$F$22,1)-0.5))),1)</f>
        <v>1</v>
      </c>
      <c r="M527" s="217" t="n">
        <f aca="false">MIN(B527:L527)</f>
        <v>0.0399999999999992</v>
      </c>
      <c r="N527" s="217" t="n">
        <f aca="false">SUMPRODUCT(($M$7:$M$557&gt;M527)*1)+SUMPRODUCT(($M$7:$M$557=M527)*(ROW($M$7:$M$557)&lt;ROW(M527)))+1</f>
        <v>324</v>
      </c>
      <c r="O527" s="217" t="str">
        <f aca="false">IF(M527&gt;=0.2,"★★★ EXCELLENT",IF(M527&gt;=0.12,"★★  GOOD",IF(M527&gt;=0.07,"★  FAIR",IF(M527&gt;=0.025,"⚠  MARGINAL","✗  AVOID"))))</f>
        <v>⚠  MARGINAL</v>
      </c>
    </row>
    <row r="528" customFormat="false" ht="15" hidden="false" customHeight="true" outlineLevel="0" collapsed="false">
      <c r="A528" s="218" t="n">
        <v>57.1</v>
      </c>
      <c r="B528" s="219" t="n">
        <f aca="false">IF(Calculator!$E$12="YES",IF(A528&lt;Calculator!$G$12,0,MIN(MIN(MOD(A528/Calculator!$F$12,1),1-MOD(A528/Calculator!$F$12,1)),ABS(MOD(A528/Calculator!$F$12,1)-0.5))),1)</f>
        <v>1</v>
      </c>
      <c r="C528" s="219" t="n">
        <f aca="false">IF(Calculator!$E$13="YES",IF(A528&lt;Calculator!$G$13,0,MIN(MIN(MOD(A528/Calculator!$F$13,1),1-MOD(A528/Calculator!$F$13,1)),ABS(MOD(A528/Calculator!$F$13,1)-0.5))),1)</f>
        <v>1</v>
      </c>
      <c r="D528" s="219" t="n">
        <f aca="false">IF(Calculator!$E$14="YES",IF(A528&lt;Calculator!$G$14,0,MIN(MIN(MOD(A528/Calculator!$F$14,1),1-MOD(A528/Calculator!$F$14,1)),ABS(MOD(A528/Calculator!$F$14,1)-0.5))),1)</f>
        <v>1</v>
      </c>
      <c r="E528" s="219" t="n">
        <f aca="false">IF(Calculator!$E$15="YES",IF(A528&lt;Calculator!$G$15,0,MIN(MIN(MOD(A528/Calculator!$F$15,1),1-MOD(A528/Calculator!$F$15,1)),ABS(MOD(A528/Calculator!$F$15,1)-0.5))),1)</f>
        <v>0.134982456140351</v>
      </c>
      <c r="F528" s="219" t="n">
        <f aca="false">IF(Calculator!$E$16="YES",IF(A528&lt;Calculator!$G$16,0,MIN(MIN(MOD(A528/Calculator!$F$16,1),1-MOD(A528/Calculator!$F$16,1)),ABS(MOD(A528/Calculator!$F$16,1)-0.5))),1)</f>
        <v>1</v>
      </c>
      <c r="G528" s="219" t="n">
        <f aca="false">IF(Calculator!$E$17="YES",IF(A528&lt;Calculator!$G$17,0,MIN(MIN(MOD(A528/Calculator!$F$17,1),1-MOD(A528/Calculator!$F$17,1)),ABS(MOD(A528/Calculator!$F$17,1)-0.5))),1)</f>
        <v>0.179947368421053</v>
      </c>
      <c r="H528" s="219" t="n">
        <f aca="false">IF(Calculator!$E$18="YES",IF(A528&lt;Calculator!$G$18,0,MIN(MIN(MOD(A528/Calculator!$F$18,1),1-MOD(A528/Calculator!$F$18,1)),ABS(MOD(A528/Calculator!$F$18,1)-0.5))),1)</f>
        <v>1</v>
      </c>
      <c r="I528" s="219" t="n">
        <f aca="false">IF(Calculator!$E$19="YES",IF(A528&lt;Calculator!$G$19,0,MIN(MIN(MOD(A528/Calculator!$F$19,1),1-MOD(A528/Calculator!$F$19,1)),ABS(MOD(A528/Calculator!$F$19,1)-0.5))),1)</f>
        <v>1</v>
      </c>
      <c r="J528" s="219" t="n">
        <f aca="false">IF(Calculator!$E$20="YES",IF(A528&lt;Calculator!$G$20,0,MIN(MIN(MOD(A528/Calculator!$F$20,1),1-MOD(A528/Calculator!$F$20,1)),ABS(MOD(A528/Calculator!$F$20,1)-0.5))),1)</f>
        <v>1</v>
      </c>
      <c r="K528" s="219" t="n">
        <f aca="false">IF(Calculator!$E$21="YES",IF(A528&lt;Calculator!$G$21,0,MIN(MIN(MOD(A528/Calculator!$F$21,1),1-MOD(A528/Calculator!$F$21,1)),ABS(MOD(A528/Calculator!$F$21,1)-0.5))),1)</f>
        <v>0.0602456140350878</v>
      </c>
      <c r="L528" s="219" t="n">
        <f aca="false">IF(Calculator!$E$22="YES",IF(A528&lt;Calculator!$G$22,0,MIN(MIN(MOD(A528/Calculator!$F$22,1),1-MOD(A528/Calculator!$F$22,1)),ABS(MOD(A528/Calculator!$F$22,1)-0.5))),1)</f>
        <v>1</v>
      </c>
      <c r="M528" s="219" t="n">
        <f aca="false">MIN(B528:L528)</f>
        <v>0.0602456140350878</v>
      </c>
      <c r="N528" s="219" t="n">
        <f aca="false">SUMPRODUCT(($M$7:$M$557&gt;M528)*1)+SUMPRODUCT(($M$7:$M$557=M528)*(ROW($M$7:$M$557)&lt;ROW(M528)))+1</f>
        <v>243</v>
      </c>
      <c r="O528" s="219" t="str">
        <f aca="false">IF(M528&gt;=0.2,"★★★ EXCELLENT",IF(M528&gt;=0.12,"★★  GOOD",IF(M528&gt;=0.07,"★  FAIR",IF(M528&gt;=0.025,"⚠  MARGINAL","✗  AVOID"))))</f>
        <v>⚠  MARGINAL</v>
      </c>
    </row>
    <row r="529" customFormat="false" ht="15" hidden="false" customHeight="true" outlineLevel="0" collapsed="false">
      <c r="A529" s="216" t="n">
        <v>57.2</v>
      </c>
      <c r="B529" s="217" t="n">
        <f aca="false">IF(Calculator!$E$12="YES",IF(A529&lt;Calculator!$G$12,0,MIN(MIN(MOD(A529/Calculator!$F$12,1),1-MOD(A529/Calculator!$F$12,1)),ABS(MOD(A529/Calculator!$F$12,1)-0.5))),1)</f>
        <v>1</v>
      </c>
      <c r="C529" s="217" t="n">
        <f aca="false">IF(Calculator!$E$13="YES",IF(A529&lt;Calculator!$G$13,0,MIN(MIN(MOD(A529/Calculator!$F$13,1),1-MOD(A529/Calculator!$F$13,1)),ABS(MOD(A529/Calculator!$F$13,1)-0.5))),1)</f>
        <v>1</v>
      </c>
      <c r="D529" s="217" t="n">
        <f aca="false">IF(Calculator!$E$14="YES",IF(A529&lt;Calculator!$G$14,0,MIN(MIN(MOD(A529/Calculator!$F$14,1),1-MOD(A529/Calculator!$F$14,1)),ABS(MOD(A529/Calculator!$F$14,1)-0.5))),1)</f>
        <v>1</v>
      </c>
      <c r="E529" s="217" t="n">
        <f aca="false">IF(Calculator!$E$15="YES",IF(A529&lt;Calculator!$G$15,0,MIN(MIN(MOD(A529/Calculator!$F$15,1),1-MOD(A529/Calculator!$F$15,1)),ABS(MOD(A529/Calculator!$F$15,1)-0.5))),1)</f>
        <v>0.129964912280701</v>
      </c>
      <c r="F529" s="217" t="n">
        <f aca="false">IF(Calculator!$E$16="YES",IF(A529&lt;Calculator!$G$16,0,MIN(MIN(MOD(A529/Calculator!$F$16,1),1-MOD(A529/Calculator!$F$16,1)),ABS(MOD(A529/Calculator!$F$16,1)-0.5))),1)</f>
        <v>1</v>
      </c>
      <c r="G529" s="217" t="n">
        <f aca="false">IF(Calculator!$E$17="YES",IF(A529&lt;Calculator!$G$17,0,MIN(MIN(MOD(A529/Calculator!$F$17,1),1-MOD(A529/Calculator!$F$17,1)),ABS(MOD(A529/Calculator!$F$17,1)-0.5))),1)</f>
        <v>0.189894736842106</v>
      </c>
      <c r="H529" s="217" t="n">
        <f aca="false">IF(Calculator!$E$18="YES",IF(A529&lt;Calculator!$G$18,0,MIN(MIN(MOD(A529/Calculator!$F$18,1),1-MOD(A529/Calculator!$F$18,1)),ABS(MOD(A529/Calculator!$F$18,1)-0.5))),1)</f>
        <v>1</v>
      </c>
      <c r="I529" s="217" t="n">
        <f aca="false">IF(Calculator!$E$19="YES",IF(A529&lt;Calculator!$G$19,0,MIN(MIN(MOD(A529/Calculator!$F$19,1),1-MOD(A529/Calculator!$F$19,1)),ABS(MOD(A529/Calculator!$F$19,1)-0.5))),1)</f>
        <v>1</v>
      </c>
      <c r="J529" s="217" t="n">
        <f aca="false">IF(Calculator!$E$20="YES",IF(A529&lt;Calculator!$G$20,0,MIN(MIN(MOD(A529/Calculator!$F$20,1),1-MOD(A529/Calculator!$F$20,1)),ABS(MOD(A529/Calculator!$F$20,1)-0.5))),1)</f>
        <v>1</v>
      </c>
      <c r="K529" s="217" t="n">
        <f aca="false">IF(Calculator!$E$21="YES",IF(A529&lt;Calculator!$G$21,0,MIN(MIN(MOD(A529/Calculator!$F$21,1),1-MOD(A529/Calculator!$F$21,1)),ABS(MOD(A529/Calculator!$F$21,1)-0.5))),1)</f>
        <v>0.0804912280701764</v>
      </c>
      <c r="L529" s="217" t="n">
        <f aca="false">IF(Calculator!$E$22="YES",IF(A529&lt;Calculator!$G$22,0,MIN(MIN(MOD(A529/Calculator!$F$22,1),1-MOD(A529/Calculator!$F$22,1)),ABS(MOD(A529/Calculator!$F$22,1)-0.5))),1)</f>
        <v>1</v>
      </c>
      <c r="M529" s="217" t="n">
        <f aca="false">MIN(B529:L529)</f>
        <v>0.0804912280701764</v>
      </c>
      <c r="N529" s="217" t="n">
        <f aca="false">SUMPRODUCT(($M$7:$M$557&gt;M529)*1)+SUMPRODUCT(($M$7:$M$557=M529)*(ROW($M$7:$M$557)&lt;ROW(M529)))+1</f>
        <v>166</v>
      </c>
      <c r="O529" s="217" t="str">
        <f aca="false">IF(M529&gt;=0.2,"★★★ EXCELLENT",IF(M529&gt;=0.12,"★★  GOOD",IF(M529&gt;=0.07,"★  FAIR",IF(M529&gt;=0.025,"⚠  MARGINAL","✗  AVOID"))))</f>
        <v>★  FAIR</v>
      </c>
    </row>
    <row r="530" customFormat="false" ht="15" hidden="false" customHeight="true" outlineLevel="0" collapsed="false">
      <c r="A530" s="218" t="n">
        <v>57.3</v>
      </c>
      <c r="B530" s="219" t="n">
        <f aca="false">IF(Calculator!$E$12="YES",IF(A530&lt;Calculator!$G$12,0,MIN(MIN(MOD(A530/Calculator!$F$12,1),1-MOD(A530/Calculator!$F$12,1)),ABS(MOD(A530/Calculator!$F$12,1)-0.5))),1)</f>
        <v>1</v>
      </c>
      <c r="C530" s="219" t="n">
        <f aca="false">IF(Calculator!$E$13="YES",IF(A530&lt;Calculator!$G$13,0,MIN(MIN(MOD(A530/Calculator!$F$13,1),1-MOD(A530/Calculator!$F$13,1)),ABS(MOD(A530/Calculator!$F$13,1)-0.5))),1)</f>
        <v>1</v>
      </c>
      <c r="D530" s="219" t="n">
        <f aca="false">IF(Calculator!$E$14="YES",IF(A530&lt;Calculator!$G$14,0,MIN(MIN(MOD(A530/Calculator!$F$14,1),1-MOD(A530/Calculator!$F$14,1)),ABS(MOD(A530/Calculator!$F$14,1)-0.5))),1)</f>
        <v>1</v>
      </c>
      <c r="E530" s="219" t="n">
        <f aca="false">IF(Calculator!$E$15="YES",IF(A530&lt;Calculator!$G$15,0,MIN(MIN(MOD(A530/Calculator!$F$15,1),1-MOD(A530/Calculator!$F$15,1)),ABS(MOD(A530/Calculator!$F$15,1)-0.5))),1)</f>
        <v>0.124947368421053</v>
      </c>
      <c r="F530" s="219" t="n">
        <f aca="false">IF(Calculator!$E$16="YES",IF(A530&lt;Calculator!$G$16,0,MIN(MIN(MOD(A530/Calculator!$F$16,1),1-MOD(A530/Calculator!$F$16,1)),ABS(MOD(A530/Calculator!$F$16,1)-0.5))),1)</f>
        <v>1</v>
      </c>
      <c r="G530" s="219" t="n">
        <f aca="false">IF(Calculator!$E$17="YES",IF(A530&lt;Calculator!$G$17,0,MIN(MIN(MOD(A530/Calculator!$F$17,1),1-MOD(A530/Calculator!$F$17,1)),ABS(MOD(A530/Calculator!$F$17,1)-0.5))),1)</f>
        <v>0.199842105263159</v>
      </c>
      <c r="H530" s="219" t="n">
        <f aca="false">IF(Calculator!$E$18="YES",IF(A530&lt;Calculator!$G$18,0,MIN(MIN(MOD(A530/Calculator!$F$18,1),1-MOD(A530/Calculator!$F$18,1)),ABS(MOD(A530/Calculator!$F$18,1)-0.5))),1)</f>
        <v>1</v>
      </c>
      <c r="I530" s="219" t="n">
        <f aca="false">IF(Calculator!$E$19="YES",IF(A530&lt;Calculator!$G$19,0,MIN(MIN(MOD(A530/Calculator!$F$19,1),1-MOD(A530/Calculator!$F$19,1)),ABS(MOD(A530/Calculator!$F$19,1)-0.5))),1)</f>
        <v>1</v>
      </c>
      <c r="J530" s="219" t="n">
        <f aca="false">IF(Calculator!$E$20="YES",IF(A530&lt;Calculator!$G$20,0,MIN(MIN(MOD(A530/Calculator!$F$20,1),1-MOD(A530/Calculator!$F$20,1)),ABS(MOD(A530/Calculator!$F$20,1)-0.5))),1)</f>
        <v>1</v>
      </c>
      <c r="K530" s="219" t="n">
        <f aca="false">IF(Calculator!$E$21="YES",IF(A530&lt;Calculator!$G$21,0,MIN(MIN(MOD(A530/Calculator!$F$21,1),1-MOD(A530/Calculator!$F$21,1)),ABS(MOD(A530/Calculator!$F$21,1)-0.5))),1)</f>
        <v>0.100736842105263</v>
      </c>
      <c r="L530" s="219" t="n">
        <f aca="false">IF(Calculator!$E$22="YES",IF(A530&lt;Calculator!$G$22,0,MIN(MIN(MOD(A530/Calculator!$F$22,1),1-MOD(A530/Calculator!$F$22,1)),ABS(MOD(A530/Calculator!$F$22,1)-0.5))),1)</f>
        <v>1</v>
      </c>
      <c r="M530" s="219" t="n">
        <f aca="false">MIN(B530:L530)</f>
        <v>0.100736842105263</v>
      </c>
      <c r="N530" s="219" t="n">
        <f aca="false">SUMPRODUCT(($M$7:$M$557&gt;M530)*1)+SUMPRODUCT(($M$7:$M$557=M530)*(ROW($M$7:$M$557)&lt;ROW(M530)))+1</f>
        <v>104</v>
      </c>
      <c r="O530" s="219" t="str">
        <f aca="false">IF(M530&gt;=0.2,"★★★ EXCELLENT",IF(M530&gt;=0.12,"★★  GOOD",IF(M530&gt;=0.07,"★  FAIR",IF(M530&gt;=0.025,"⚠  MARGINAL","✗  AVOID"))))</f>
        <v>★  FAIR</v>
      </c>
    </row>
    <row r="531" customFormat="false" ht="15" hidden="false" customHeight="true" outlineLevel="0" collapsed="false">
      <c r="A531" s="216" t="n">
        <v>57.4</v>
      </c>
      <c r="B531" s="217" t="n">
        <f aca="false">IF(Calculator!$E$12="YES",IF(A531&lt;Calculator!$G$12,0,MIN(MIN(MOD(A531/Calculator!$F$12,1),1-MOD(A531/Calculator!$F$12,1)),ABS(MOD(A531/Calculator!$F$12,1)-0.5))),1)</f>
        <v>1</v>
      </c>
      <c r="C531" s="217" t="n">
        <f aca="false">IF(Calculator!$E$13="YES",IF(A531&lt;Calculator!$G$13,0,MIN(MIN(MOD(A531/Calculator!$F$13,1),1-MOD(A531/Calculator!$F$13,1)),ABS(MOD(A531/Calculator!$F$13,1)-0.5))),1)</f>
        <v>1</v>
      </c>
      <c r="D531" s="217" t="n">
        <f aca="false">IF(Calculator!$E$14="YES",IF(A531&lt;Calculator!$G$14,0,MIN(MIN(MOD(A531/Calculator!$F$14,1),1-MOD(A531/Calculator!$F$14,1)),ABS(MOD(A531/Calculator!$F$14,1)-0.5))),1)</f>
        <v>1</v>
      </c>
      <c r="E531" s="217" t="n">
        <f aca="false">IF(Calculator!$E$15="YES",IF(A531&lt;Calculator!$G$15,0,MIN(MIN(MOD(A531/Calculator!$F$15,1),1-MOD(A531/Calculator!$F$15,1)),ABS(MOD(A531/Calculator!$F$15,1)-0.5))),1)</f>
        <v>0.119929824561404</v>
      </c>
      <c r="F531" s="217" t="n">
        <f aca="false">IF(Calculator!$E$16="YES",IF(A531&lt;Calculator!$G$16,0,MIN(MIN(MOD(A531/Calculator!$F$16,1),1-MOD(A531/Calculator!$F$16,1)),ABS(MOD(A531/Calculator!$F$16,1)-0.5))),1)</f>
        <v>1</v>
      </c>
      <c r="G531" s="217" t="n">
        <f aca="false">IF(Calculator!$E$17="YES",IF(A531&lt;Calculator!$G$17,0,MIN(MIN(MOD(A531/Calculator!$F$17,1),1-MOD(A531/Calculator!$F$17,1)),ABS(MOD(A531/Calculator!$F$17,1)-0.5))),1)</f>
        <v>0.209789473684211</v>
      </c>
      <c r="H531" s="217" t="n">
        <f aca="false">IF(Calculator!$E$18="YES",IF(A531&lt;Calculator!$G$18,0,MIN(MIN(MOD(A531/Calculator!$F$18,1),1-MOD(A531/Calculator!$F$18,1)),ABS(MOD(A531/Calculator!$F$18,1)-0.5))),1)</f>
        <v>1</v>
      </c>
      <c r="I531" s="217" t="n">
        <f aca="false">IF(Calculator!$E$19="YES",IF(A531&lt;Calculator!$G$19,0,MIN(MIN(MOD(A531/Calculator!$F$19,1),1-MOD(A531/Calculator!$F$19,1)),ABS(MOD(A531/Calculator!$F$19,1)-0.5))),1)</f>
        <v>1</v>
      </c>
      <c r="J531" s="217" t="n">
        <f aca="false">IF(Calculator!$E$20="YES",IF(A531&lt;Calculator!$G$20,0,MIN(MIN(MOD(A531/Calculator!$F$20,1),1-MOD(A531/Calculator!$F$20,1)),ABS(MOD(A531/Calculator!$F$20,1)-0.5))),1)</f>
        <v>1</v>
      </c>
      <c r="K531" s="217" t="n">
        <f aca="false">IF(Calculator!$E$21="YES",IF(A531&lt;Calculator!$G$21,0,MIN(MIN(MOD(A531/Calculator!$F$21,1),1-MOD(A531/Calculator!$F$21,1)),ABS(MOD(A531/Calculator!$F$21,1)-0.5))),1)</f>
        <v>0.12098245614035</v>
      </c>
      <c r="L531" s="217" t="n">
        <f aca="false">IF(Calculator!$E$22="YES",IF(A531&lt;Calculator!$G$22,0,MIN(MIN(MOD(A531/Calculator!$F$22,1),1-MOD(A531/Calculator!$F$22,1)),ABS(MOD(A531/Calculator!$F$22,1)-0.5))),1)</f>
        <v>1</v>
      </c>
      <c r="M531" s="217" t="n">
        <f aca="false">MIN(B531:L531)</f>
        <v>0.119929824561404</v>
      </c>
      <c r="N531" s="217" t="n">
        <f aca="false">SUMPRODUCT(($M$7:$M$557&gt;M531)*1)+SUMPRODUCT(($M$7:$M$557=M531)*(ROW($M$7:$M$557)&lt;ROW(M531)))+1</f>
        <v>67</v>
      </c>
      <c r="O531" s="217" t="str">
        <f aca="false">IF(M531&gt;=0.2,"★★★ EXCELLENT",IF(M531&gt;=0.12,"★★  GOOD",IF(M531&gt;=0.07,"★  FAIR",IF(M531&gt;=0.025,"⚠  MARGINAL","✗  AVOID"))))</f>
        <v>★  FAIR</v>
      </c>
    </row>
    <row r="532" customFormat="false" ht="15" hidden="false" customHeight="true" outlineLevel="0" collapsed="false">
      <c r="A532" s="218" t="n">
        <v>57.5</v>
      </c>
      <c r="B532" s="219" t="n">
        <f aca="false">IF(Calculator!$E$12="YES",IF(A532&lt;Calculator!$G$12,0,MIN(MIN(MOD(A532/Calculator!$F$12,1),1-MOD(A532/Calculator!$F$12,1)),ABS(MOD(A532/Calculator!$F$12,1)-0.5))),1)</f>
        <v>1</v>
      </c>
      <c r="C532" s="219" t="n">
        <f aca="false">IF(Calculator!$E$13="YES",IF(A532&lt;Calculator!$G$13,0,MIN(MIN(MOD(A532/Calculator!$F$13,1),1-MOD(A532/Calculator!$F$13,1)),ABS(MOD(A532/Calculator!$F$13,1)-0.5))),1)</f>
        <v>1</v>
      </c>
      <c r="D532" s="219" t="n">
        <f aca="false">IF(Calculator!$E$14="YES",IF(A532&lt;Calculator!$G$14,0,MIN(MIN(MOD(A532/Calculator!$F$14,1),1-MOD(A532/Calculator!$F$14,1)),ABS(MOD(A532/Calculator!$F$14,1)-0.5))),1)</f>
        <v>1</v>
      </c>
      <c r="E532" s="219" t="n">
        <f aca="false">IF(Calculator!$E$15="YES",IF(A532&lt;Calculator!$G$15,0,MIN(MIN(MOD(A532/Calculator!$F$15,1),1-MOD(A532/Calculator!$F$15,1)),ABS(MOD(A532/Calculator!$F$15,1)-0.5))),1)</f>
        <v>0.114912280701754</v>
      </c>
      <c r="F532" s="219" t="n">
        <f aca="false">IF(Calculator!$E$16="YES",IF(A532&lt;Calculator!$G$16,0,MIN(MIN(MOD(A532/Calculator!$F$16,1),1-MOD(A532/Calculator!$F$16,1)),ABS(MOD(A532/Calculator!$F$16,1)-0.5))),1)</f>
        <v>1</v>
      </c>
      <c r="G532" s="219" t="n">
        <f aca="false">IF(Calculator!$E$17="YES",IF(A532&lt;Calculator!$G$17,0,MIN(MIN(MOD(A532/Calculator!$F$17,1),1-MOD(A532/Calculator!$F$17,1)),ABS(MOD(A532/Calculator!$F$17,1)-0.5))),1)</f>
        <v>0.219736842105264</v>
      </c>
      <c r="H532" s="219" t="n">
        <f aca="false">IF(Calculator!$E$18="YES",IF(A532&lt;Calculator!$G$18,0,MIN(MIN(MOD(A532/Calculator!$F$18,1),1-MOD(A532/Calculator!$F$18,1)),ABS(MOD(A532/Calculator!$F$18,1)-0.5))),1)</f>
        <v>1</v>
      </c>
      <c r="I532" s="219" t="n">
        <f aca="false">IF(Calculator!$E$19="YES",IF(A532&lt;Calculator!$G$19,0,MIN(MIN(MOD(A532/Calculator!$F$19,1),1-MOD(A532/Calculator!$F$19,1)),ABS(MOD(A532/Calculator!$F$19,1)-0.5))),1)</f>
        <v>1</v>
      </c>
      <c r="J532" s="219" t="n">
        <f aca="false">IF(Calculator!$E$20="YES",IF(A532&lt;Calculator!$G$20,0,MIN(MIN(MOD(A532/Calculator!$F$20,1),1-MOD(A532/Calculator!$F$20,1)),ABS(MOD(A532/Calculator!$F$20,1)-0.5))),1)</f>
        <v>1</v>
      </c>
      <c r="K532" s="219" t="n">
        <f aca="false">IF(Calculator!$E$21="YES",IF(A532&lt;Calculator!$G$21,0,MIN(MIN(MOD(A532/Calculator!$F$21,1),1-MOD(A532/Calculator!$F$21,1)),ABS(MOD(A532/Calculator!$F$21,1)-0.5))),1)</f>
        <v>0.141228070175439</v>
      </c>
      <c r="L532" s="219" t="n">
        <f aca="false">IF(Calculator!$E$22="YES",IF(A532&lt;Calculator!$G$22,0,MIN(MIN(MOD(A532/Calculator!$F$22,1),1-MOD(A532/Calculator!$F$22,1)),ABS(MOD(A532/Calculator!$F$22,1)-0.5))),1)</f>
        <v>1</v>
      </c>
      <c r="M532" s="219" t="n">
        <f aca="false">MIN(B532:L532)</f>
        <v>0.114912280701754</v>
      </c>
      <c r="N532" s="219" t="n">
        <f aca="false">SUMPRODUCT(($M$7:$M$557&gt;M532)*1)+SUMPRODUCT(($M$7:$M$557=M532)*(ROW($M$7:$M$557)&lt;ROW(M532)))+1</f>
        <v>74</v>
      </c>
      <c r="O532" s="219" t="str">
        <f aca="false">IF(M532&gt;=0.2,"★★★ EXCELLENT",IF(M532&gt;=0.12,"★★  GOOD",IF(M532&gt;=0.07,"★  FAIR",IF(M532&gt;=0.025,"⚠  MARGINAL","✗  AVOID"))))</f>
        <v>★  FAIR</v>
      </c>
    </row>
    <row r="533" customFormat="false" ht="15" hidden="false" customHeight="true" outlineLevel="0" collapsed="false">
      <c r="A533" s="216" t="n">
        <v>57.6</v>
      </c>
      <c r="B533" s="217" t="n">
        <f aca="false">IF(Calculator!$E$12="YES",IF(A533&lt;Calculator!$G$12,0,MIN(MIN(MOD(A533/Calculator!$F$12,1),1-MOD(A533/Calculator!$F$12,1)),ABS(MOD(A533/Calculator!$F$12,1)-0.5))),1)</f>
        <v>1</v>
      </c>
      <c r="C533" s="217" t="n">
        <f aca="false">IF(Calculator!$E$13="YES",IF(A533&lt;Calculator!$G$13,0,MIN(MIN(MOD(A533/Calculator!$F$13,1),1-MOD(A533/Calculator!$F$13,1)),ABS(MOD(A533/Calculator!$F$13,1)-0.5))),1)</f>
        <v>1</v>
      </c>
      <c r="D533" s="217" t="n">
        <f aca="false">IF(Calculator!$E$14="YES",IF(A533&lt;Calculator!$G$14,0,MIN(MIN(MOD(A533/Calculator!$F$14,1),1-MOD(A533/Calculator!$F$14,1)),ABS(MOD(A533/Calculator!$F$14,1)-0.5))),1)</f>
        <v>1</v>
      </c>
      <c r="E533" s="217" t="n">
        <f aca="false">IF(Calculator!$E$15="YES",IF(A533&lt;Calculator!$G$15,0,MIN(MIN(MOD(A533/Calculator!$F$15,1),1-MOD(A533/Calculator!$F$15,1)),ABS(MOD(A533/Calculator!$F$15,1)-0.5))),1)</f>
        <v>0.109894736842105</v>
      </c>
      <c r="F533" s="217" t="n">
        <f aca="false">IF(Calculator!$E$16="YES",IF(A533&lt;Calculator!$G$16,0,MIN(MIN(MOD(A533/Calculator!$F$16,1),1-MOD(A533/Calculator!$F$16,1)),ABS(MOD(A533/Calculator!$F$16,1)-0.5))),1)</f>
        <v>1</v>
      </c>
      <c r="G533" s="217" t="n">
        <f aca="false">IF(Calculator!$E$17="YES",IF(A533&lt;Calculator!$G$17,0,MIN(MIN(MOD(A533/Calculator!$F$17,1),1-MOD(A533/Calculator!$F$17,1)),ABS(MOD(A533/Calculator!$F$17,1)-0.5))),1)</f>
        <v>0.229684210526316</v>
      </c>
      <c r="H533" s="217" t="n">
        <f aca="false">IF(Calculator!$E$18="YES",IF(A533&lt;Calculator!$G$18,0,MIN(MIN(MOD(A533/Calculator!$F$18,1),1-MOD(A533/Calculator!$F$18,1)),ABS(MOD(A533/Calculator!$F$18,1)-0.5))),1)</f>
        <v>1</v>
      </c>
      <c r="I533" s="217" t="n">
        <f aca="false">IF(Calculator!$E$19="YES",IF(A533&lt;Calculator!$G$19,0,MIN(MIN(MOD(A533/Calculator!$F$19,1),1-MOD(A533/Calculator!$F$19,1)),ABS(MOD(A533/Calculator!$F$19,1)-0.5))),1)</f>
        <v>1</v>
      </c>
      <c r="J533" s="217" t="n">
        <f aca="false">IF(Calculator!$E$20="YES",IF(A533&lt;Calculator!$G$20,0,MIN(MIN(MOD(A533/Calculator!$F$20,1),1-MOD(A533/Calculator!$F$20,1)),ABS(MOD(A533/Calculator!$F$20,1)-0.5))),1)</f>
        <v>1</v>
      </c>
      <c r="K533" s="217" t="n">
        <f aca="false">IF(Calculator!$E$21="YES",IF(A533&lt;Calculator!$G$21,0,MIN(MIN(MOD(A533/Calculator!$F$21,1),1-MOD(A533/Calculator!$F$21,1)),ABS(MOD(A533/Calculator!$F$21,1)-0.5))),1)</f>
        <v>0.161473684210527</v>
      </c>
      <c r="L533" s="217" t="n">
        <f aca="false">IF(Calculator!$E$22="YES",IF(A533&lt;Calculator!$G$22,0,MIN(MIN(MOD(A533/Calculator!$F$22,1),1-MOD(A533/Calculator!$F$22,1)),ABS(MOD(A533/Calculator!$F$22,1)-0.5))),1)</f>
        <v>1</v>
      </c>
      <c r="M533" s="217" t="n">
        <f aca="false">MIN(B533:L533)</f>
        <v>0.109894736842105</v>
      </c>
      <c r="N533" s="217" t="n">
        <f aca="false">SUMPRODUCT(($M$7:$M$557&gt;M533)*1)+SUMPRODUCT(($M$7:$M$557=M533)*(ROW($M$7:$M$557)&lt;ROW(M533)))+1</f>
        <v>84</v>
      </c>
      <c r="O533" s="217" t="str">
        <f aca="false">IF(M533&gt;=0.2,"★★★ EXCELLENT",IF(M533&gt;=0.12,"★★  GOOD",IF(M533&gt;=0.07,"★  FAIR",IF(M533&gt;=0.025,"⚠  MARGINAL","✗  AVOID"))))</f>
        <v>★  FAIR</v>
      </c>
    </row>
    <row r="534" customFormat="false" ht="15" hidden="false" customHeight="true" outlineLevel="0" collapsed="false">
      <c r="A534" s="218" t="n">
        <v>57.7</v>
      </c>
      <c r="B534" s="219" t="n">
        <f aca="false">IF(Calculator!$E$12="YES",IF(A534&lt;Calculator!$G$12,0,MIN(MIN(MOD(A534/Calculator!$F$12,1),1-MOD(A534/Calculator!$F$12,1)),ABS(MOD(A534/Calculator!$F$12,1)-0.5))),1)</f>
        <v>1</v>
      </c>
      <c r="C534" s="219" t="n">
        <f aca="false">IF(Calculator!$E$13="YES",IF(A534&lt;Calculator!$G$13,0,MIN(MIN(MOD(A534/Calculator!$F$13,1),1-MOD(A534/Calculator!$F$13,1)),ABS(MOD(A534/Calculator!$F$13,1)-0.5))),1)</f>
        <v>1</v>
      </c>
      <c r="D534" s="219" t="n">
        <f aca="false">IF(Calculator!$E$14="YES",IF(A534&lt;Calculator!$G$14,0,MIN(MIN(MOD(A534/Calculator!$F$14,1),1-MOD(A534/Calculator!$F$14,1)),ABS(MOD(A534/Calculator!$F$14,1)-0.5))),1)</f>
        <v>1</v>
      </c>
      <c r="E534" s="219" t="n">
        <f aca="false">IF(Calculator!$E$15="YES",IF(A534&lt;Calculator!$G$15,0,MIN(MIN(MOD(A534/Calculator!$F$15,1),1-MOD(A534/Calculator!$F$15,1)),ABS(MOD(A534/Calculator!$F$15,1)-0.5))),1)</f>
        <v>0.104877192982456</v>
      </c>
      <c r="F534" s="219" t="n">
        <f aca="false">IF(Calculator!$E$16="YES",IF(A534&lt;Calculator!$G$16,0,MIN(MIN(MOD(A534/Calculator!$F$16,1),1-MOD(A534/Calculator!$F$16,1)),ABS(MOD(A534/Calculator!$F$16,1)-0.5))),1)</f>
        <v>1</v>
      </c>
      <c r="G534" s="219" t="n">
        <f aca="false">IF(Calculator!$E$17="YES",IF(A534&lt;Calculator!$G$17,0,MIN(MIN(MOD(A534/Calculator!$F$17,1),1-MOD(A534/Calculator!$F$17,1)),ABS(MOD(A534/Calculator!$F$17,1)-0.5))),1)</f>
        <v>0.239631578947369</v>
      </c>
      <c r="H534" s="219" t="n">
        <f aca="false">IF(Calculator!$E$18="YES",IF(A534&lt;Calculator!$G$18,0,MIN(MIN(MOD(A534/Calculator!$F$18,1),1-MOD(A534/Calculator!$F$18,1)),ABS(MOD(A534/Calculator!$F$18,1)-0.5))),1)</f>
        <v>1</v>
      </c>
      <c r="I534" s="219" t="n">
        <f aca="false">IF(Calculator!$E$19="YES",IF(A534&lt;Calculator!$G$19,0,MIN(MIN(MOD(A534/Calculator!$F$19,1),1-MOD(A534/Calculator!$F$19,1)),ABS(MOD(A534/Calculator!$F$19,1)-0.5))),1)</f>
        <v>1</v>
      </c>
      <c r="J534" s="219" t="n">
        <f aca="false">IF(Calculator!$E$20="YES",IF(A534&lt;Calculator!$G$20,0,MIN(MIN(MOD(A534/Calculator!$F$20,1),1-MOD(A534/Calculator!$F$20,1)),ABS(MOD(A534/Calculator!$F$20,1)-0.5))),1)</f>
        <v>1</v>
      </c>
      <c r="K534" s="219" t="n">
        <f aca="false">IF(Calculator!$E$21="YES",IF(A534&lt;Calculator!$G$21,0,MIN(MIN(MOD(A534/Calculator!$F$21,1),1-MOD(A534/Calculator!$F$21,1)),ABS(MOD(A534/Calculator!$F$21,1)-0.5))),1)</f>
        <v>0.181719298245614</v>
      </c>
      <c r="L534" s="219" t="n">
        <f aca="false">IF(Calculator!$E$22="YES",IF(A534&lt;Calculator!$G$22,0,MIN(MIN(MOD(A534/Calculator!$F$22,1),1-MOD(A534/Calculator!$F$22,1)),ABS(MOD(A534/Calculator!$F$22,1)-0.5))),1)</f>
        <v>1</v>
      </c>
      <c r="M534" s="219" t="n">
        <f aca="false">MIN(B534:L534)</f>
        <v>0.104877192982456</v>
      </c>
      <c r="N534" s="219" t="n">
        <f aca="false">SUMPRODUCT(($M$7:$M$557&gt;M534)*1)+SUMPRODUCT(($M$7:$M$557=M534)*(ROW($M$7:$M$557)&lt;ROW(M534)))+1</f>
        <v>95</v>
      </c>
      <c r="O534" s="219" t="str">
        <f aca="false">IF(M534&gt;=0.2,"★★★ EXCELLENT",IF(M534&gt;=0.12,"★★  GOOD",IF(M534&gt;=0.07,"★  FAIR",IF(M534&gt;=0.025,"⚠  MARGINAL","✗  AVOID"))))</f>
        <v>★  FAIR</v>
      </c>
    </row>
    <row r="535" customFormat="false" ht="15" hidden="false" customHeight="true" outlineLevel="0" collapsed="false">
      <c r="A535" s="216" t="n">
        <v>57.8</v>
      </c>
      <c r="B535" s="217" t="n">
        <f aca="false">IF(Calculator!$E$12="YES",IF(A535&lt;Calculator!$G$12,0,MIN(MIN(MOD(A535/Calculator!$F$12,1),1-MOD(A535/Calculator!$F$12,1)),ABS(MOD(A535/Calculator!$F$12,1)-0.5))),1)</f>
        <v>1</v>
      </c>
      <c r="C535" s="217" t="n">
        <f aca="false">IF(Calculator!$E$13="YES",IF(A535&lt;Calculator!$G$13,0,MIN(MIN(MOD(A535/Calculator!$F$13,1),1-MOD(A535/Calculator!$F$13,1)),ABS(MOD(A535/Calculator!$F$13,1)-0.5))),1)</f>
        <v>1</v>
      </c>
      <c r="D535" s="217" t="n">
        <f aca="false">IF(Calculator!$E$14="YES",IF(A535&lt;Calculator!$G$14,0,MIN(MIN(MOD(A535/Calculator!$F$14,1),1-MOD(A535/Calculator!$F$14,1)),ABS(MOD(A535/Calculator!$F$14,1)-0.5))),1)</f>
        <v>1</v>
      </c>
      <c r="E535" s="217" t="n">
        <f aca="false">IF(Calculator!$E$15="YES",IF(A535&lt;Calculator!$G$15,0,MIN(MIN(MOD(A535/Calculator!$F$15,1),1-MOD(A535/Calculator!$F$15,1)),ABS(MOD(A535/Calculator!$F$15,1)-0.5))),1)</f>
        <v>0.099859649122807</v>
      </c>
      <c r="F535" s="217" t="n">
        <f aca="false">IF(Calculator!$E$16="YES",IF(A535&lt;Calculator!$G$16,0,MIN(MIN(MOD(A535/Calculator!$F$16,1),1-MOD(A535/Calculator!$F$16,1)),ABS(MOD(A535/Calculator!$F$16,1)-0.5))),1)</f>
        <v>1</v>
      </c>
      <c r="G535" s="217" t="n">
        <f aca="false">IF(Calculator!$E$17="YES",IF(A535&lt;Calculator!$G$17,0,MIN(MIN(MOD(A535/Calculator!$F$17,1),1-MOD(A535/Calculator!$F$17,1)),ABS(MOD(A535/Calculator!$F$17,1)-0.5))),1)</f>
        <v>0.249578947368422</v>
      </c>
      <c r="H535" s="217" t="n">
        <f aca="false">IF(Calculator!$E$18="YES",IF(A535&lt;Calculator!$G$18,0,MIN(MIN(MOD(A535/Calculator!$F$18,1),1-MOD(A535/Calculator!$F$18,1)),ABS(MOD(A535/Calculator!$F$18,1)-0.5))),1)</f>
        <v>1</v>
      </c>
      <c r="I535" s="217" t="n">
        <f aca="false">IF(Calculator!$E$19="YES",IF(A535&lt;Calculator!$G$19,0,MIN(MIN(MOD(A535/Calculator!$F$19,1),1-MOD(A535/Calculator!$F$19,1)),ABS(MOD(A535/Calculator!$F$19,1)-0.5))),1)</f>
        <v>1</v>
      </c>
      <c r="J535" s="217" t="n">
        <f aca="false">IF(Calculator!$E$20="YES",IF(A535&lt;Calculator!$G$20,0,MIN(MIN(MOD(A535/Calculator!$F$20,1),1-MOD(A535/Calculator!$F$20,1)),ABS(MOD(A535/Calculator!$F$20,1)-0.5))),1)</f>
        <v>1</v>
      </c>
      <c r="K535" s="217" t="n">
        <f aca="false">IF(Calculator!$E$21="YES",IF(A535&lt;Calculator!$G$21,0,MIN(MIN(MOD(A535/Calculator!$F$21,1),1-MOD(A535/Calculator!$F$21,1)),ABS(MOD(A535/Calculator!$F$21,1)-0.5))),1)</f>
        <v>0.201964912280701</v>
      </c>
      <c r="L535" s="217" t="n">
        <f aca="false">IF(Calculator!$E$22="YES",IF(A535&lt;Calculator!$G$22,0,MIN(MIN(MOD(A535/Calculator!$F$22,1),1-MOD(A535/Calculator!$F$22,1)),ABS(MOD(A535/Calculator!$F$22,1)-0.5))),1)</f>
        <v>1</v>
      </c>
      <c r="M535" s="217" t="n">
        <f aca="false">MIN(B535:L535)</f>
        <v>0.099859649122807</v>
      </c>
      <c r="N535" s="217" t="n">
        <f aca="false">SUMPRODUCT(($M$7:$M$557&gt;M535)*1)+SUMPRODUCT(($M$7:$M$557=M535)*(ROW($M$7:$M$557)&lt;ROW(M535)))+1</f>
        <v>108</v>
      </c>
      <c r="O535" s="217" t="str">
        <f aca="false">IF(M535&gt;=0.2,"★★★ EXCELLENT",IF(M535&gt;=0.12,"★★  GOOD",IF(M535&gt;=0.07,"★  FAIR",IF(M535&gt;=0.025,"⚠  MARGINAL","✗  AVOID"))))</f>
        <v>★  FAIR</v>
      </c>
    </row>
    <row r="536" customFormat="false" ht="15" hidden="false" customHeight="true" outlineLevel="0" collapsed="false">
      <c r="A536" s="218" t="n">
        <v>57.9</v>
      </c>
      <c r="B536" s="219" t="n">
        <f aca="false">IF(Calculator!$E$12="YES",IF(A536&lt;Calculator!$G$12,0,MIN(MIN(MOD(A536/Calculator!$F$12,1),1-MOD(A536/Calculator!$F$12,1)),ABS(MOD(A536/Calculator!$F$12,1)-0.5))),1)</f>
        <v>1</v>
      </c>
      <c r="C536" s="219" t="n">
        <f aca="false">IF(Calculator!$E$13="YES",IF(A536&lt;Calculator!$G$13,0,MIN(MIN(MOD(A536/Calculator!$F$13,1),1-MOD(A536/Calculator!$F$13,1)),ABS(MOD(A536/Calculator!$F$13,1)-0.5))),1)</f>
        <v>1</v>
      </c>
      <c r="D536" s="219" t="n">
        <f aca="false">IF(Calculator!$E$14="YES",IF(A536&lt;Calculator!$G$14,0,MIN(MIN(MOD(A536/Calculator!$F$14,1),1-MOD(A536/Calculator!$F$14,1)),ABS(MOD(A536/Calculator!$F$14,1)-0.5))),1)</f>
        <v>1</v>
      </c>
      <c r="E536" s="219" t="n">
        <f aca="false">IF(Calculator!$E$15="YES",IF(A536&lt;Calculator!$G$15,0,MIN(MIN(MOD(A536/Calculator!$F$15,1),1-MOD(A536/Calculator!$F$15,1)),ABS(MOD(A536/Calculator!$F$15,1)-0.5))),1)</f>
        <v>0.0948421052631581</v>
      </c>
      <c r="F536" s="219" t="n">
        <f aca="false">IF(Calculator!$E$16="YES",IF(A536&lt;Calculator!$G$16,0,MIN(MIN(MOD(A536/Calculator!$F$16,1),1-MOD(A536/Calculator!$F$16,1)),ABS(MOD(A536/Calculator!$F$16,1)-0.5))),1)</f>
        <v>1</v>
      </c>
      <c r="G536" s="219" t="n">
        <f aca="false">IF(Calculator!$E$17="YES",IF(A536&lt;Calculator!$G$17,0,MIN(MIN(MOD(A536/Calculator!$F$17,1),1-MOD(A536/Calculator!$F$17,1)),ABS(MOD(A536/Calculator!$F$17,1)-0.5))),1)</f>
        <v>0.240473684210526</v>
      </c>
      <c r="H536" s="219" t="n">
        <f aca="false">IF(Calculator!$E$18="YES",IF(A536&lt;Calculator!$G$18,0,MIN(MIN(MOD(A536/Calculator!$F$18,1),1-MOD(A536/Calculator!$F$18,1)),ABS(MOD(A536/Calculator!$F$18,1)-0.5))),1)</f>
        <v>1</v>
      </c>
      <c r="I536" s="219" t="n">
        <f aca="false">IF(Calculator!$E$19="YES",IF(A536&lt;Calculator!$G$19,0,MIN(MIN(MOD(A536/Calculator!$F$19,1),1-MOD(A536/Calculator!$F$19,1)),ABS(MOD(A536/Calculator!$F$19,1)-0.5))),1)</f>
        <v>1</v>
      </c>
      <c r="J536" s="219" t="n">
        <f aca="false">IF(Calculator!$E$20="YES",IF(A536&lt;Calculator!$G$20,0,MIN(MIN(MOD(A536/Calculator!$F$20,1),1-MOD(A536/Calculator!$F$20,1)),ABS(MOD(A536/Calculator!$F$20,1)-0.5))),1)</f>
        <v>1</v>
      </c>
      <c r="K536" s="219" t="n">
        <f aca="false">IF(Calculator!$E$21="YES",IF(A536&lt;Calculator!$G$21,0,MIN(MIN(MOD(A536/Calculator!$F$21,1),1-MOD(A536/Calculator!$F$21,1)),ABS(MOD(A536/Calculator!$F$21,1)-0.5))),1)</f>
        <v>0.22221052631579</v>
      </c>
      <c r="L536" s="219" t="n">
        <f aca="false">IF(Calculator!$E$22="YES",IF(A536&lt;Calculator!$G$22,0,MIN(MIN(MOD(A536/Calculator!$F$22,1),1-MOD(A536/Calculator!$F$22,1)),ABS(MOD(A536/Calculator!$F$22,1)-0.5))),1)</f>
        <v>1</v>
      </c>
      <c r="M536" s="219" t="n">
        <f aca="false">MIN(B536:L536)</f>
        <v>0.0948421052631581</v>
      </c>
      <c r="N536" s="219" t="n">
        <f aca="false">SUMPRODUCT(($M$7:$M$557&gt;M536)*1)+SUMPRODUCT(($M$7:$M$557=M536)*(ROW($M$7:$M$557)&lt;ROW(M536)))+1</f>
        <v>120</v>
      </c>
      <c r="O536" s="219" t="str">
        <f aca="false">IF(M536&gt;=0.2,"★★★ EXCELLENT",IF(M536&gt;=0.12,"★★  GOOD",IF(M536&gt;=0.07,"★  FAIR",IF(M536&gt;=0.025,"⚠  MARGINAL","✗  AVOID"))))</f>
        <v>★  FAIR</v>
      </c>
    </row>
    <row r="537" customFormat="false" ht="15" hidden="false" customHeight="true" outlineLevel="0" collapsed="false">
      <c r="A537" s="216" t="n">
        <v>58</v>
      </c>
      <c r="B537" s="217" t="n">
        <f aca="false">IF(Calculator!$E$12="YES",IF(A537&lt;Calculator!$G$12,0,MIN(MIN(MOD(A537/Calculator!$F$12,1),1-MOD(A537/Calculator!$F$12,1)),ABS(MOD(A537/Calculator!$F$12,1)-0.5))),1)</f>
        <v>1</v>
      </c>
      <c r="C537" s="217" t="n">
        <f aca="false">IF(Calculator!$E$13="YES",IF(A537&lt;Calculator!$G$13,0,MIN(MIN(MOD(A537/Calculator!$F$13,1),1-MOD(A537/Calculator!$F$13,1)),ABS(MOD(A537/Calculator!$F$13,1)-0.5))),1)</f>
        <v>1</v>
      </c>
      <c r="D537" s="217" t="n">
        <f aca="false">IF(Calculator!$E$14="YES",IF(A537&lt;Calculator!$G$14,0,MIN(MIN(MOD(A537/Calculator!$F$14,1),1-MOD(A537/Calculator!$F$14,1)),ABS(MOD(A537/Calculator!$F$14,1)-0.5))),1)</f>
        <v>1</v>
      </c>
      <c r="E537" s="217" t="n">
        <f aca="false">IF(Calculator!$E$15="YES",IF(A537&lt;Calculator!$G$15,0,MIN(MIN(MOD(A537/Calculator!$F$15,1),1-MOD(A537/Calculator!$F$15,1)),ABS(MOD(A537/Calculator!$F$15,1)-0.5))),1)</f>
        <v>0.0898245614035087</v>
      </c>
      <c r="F537" s="217" t="n">
        <f aca="false">IF(Calculator!$E$16="YES",IF(A537&lt;Calculator!$G$16,0,MIN(MIN(MOD(A537/Calculator!$F$16,1),1-MOD(A537/Calculator!$F$16,1)),ABS(MOD(A537/Calculator!$F$16,1)-0.5))),1)</f>
        <v>1</v>
      </c>
      <c r="G537" s="217" t="n">
        <f aca="false">IF(Calculator!$E$17="YES",IF(A537&lt;Calculator!$G$17,0,MIN(MIN(MOD(A537/Calculator!$F$17,1),1-MOD(A537/Calculator!$F$17,1)),ABS(MOD(A537/Calculator!$F$17,1)-0.5))),1)</f>
        <v>0.230526315789473</v>
      </c>
      <c r="H537" s="217" t="n">
        <f aca="false">IF(Calculator!$E$18="YES",IF(A537&lt;Calculator!$G$18,0,MIN(MIN(MOD(A537/Calculator!$F$18,1),1-MOD(A537/Calculator!$F$18,1)),ABS(MOD(A537/Calculator!$F$18,1)-0.5))),1)</f>
        <v>1</v>
      </c>
      <c r="I537" s="217" t="n">
        <f aca="false">IF(Calculator!$E$19="YES",IF(A537&lt;Calculator!$G$19,0,MIN(MIN(MOD(A537/Calculator!$F$19,1),1-MOD(A537/Calculator!$F$19,1)),ABS(MOD(A537/Calculator!$F$19,1)-0.5))),1)</f>
        <v>1</v>
      </c>
      <c r="J537" s="217" t="n">
        <f aca="false">IF(Calculator!$E$20="YES",IF(A537&lt;Calculator!$G$20,0,MIN(MIN(MOD(A537/Calculator!$F$20,1),1-MOD(A537/Calculator!$F$20,1)),ABS(MOD(A537/Calculator!$F$20,1)-0.5))),1)</f>
        <v>1</v>
      </c>
      <c r="K537" s="217" t="n">
        <f aca="false">IF(Calculator!$E$21="YES",IF(A537&lt;Calculator!$G$21,0,MIN(MIN(MOD(A537/Calculator!$F$21,1),1-MOD(A537/Calculator!$F$21,1)),ABS(MOD(A537/Calculator!$F$21,1)-0.5))),1)</f>
        <v>0.242456140350876</v>
      </c>
      <c r="L537" s="217" t="n">
        <f aca="false">IF(Calculator!$E$22="YES",IF(A537&lt;Calculator!$G$22,0,MIN(MIN(MOD(A537/Calculator!$F$22,1),1-MOD(A537/Calculator!$F$22,1)),ABS(MOD(A537/Calculator!$F$22,1)-0.5))),1)</f>
        <v>1</v>
      </c>
      <c r="M537" s="217" t="n">
        <f aca="false">MIN(B537:L537)</f>
        <v>0.0898245614035087</v>
      </c>
      <c r="N537" s="217" t="n">
        <f aca="false">SUMPRODUCT(($M$7:$M$557&gt;M537)*1)+SUMPRODUCT(($M$7:$M$557=M537)*(ROW($M$7:$M$557)&lt;ROW(M537)))+1</f>
        <v>136</v>
      </c>
      <c r="O537" s="217" t="str">
        <f aca="false">IF(M537&gt;=0.2,"★★★ EXCELLENT",IF(M537&gt;=0.12,"★★  GOOD",IF(M537&gt;=0.07,"★  FAIR",IF(M537&gt;=0.025,"⚠  MARGINAL","✗  AVOID"))))</f>
        <v>★  FAIR</v>
      </c>
    </row>
    <row r="538" customFormat="false" ht="15" hidden="false" customHeight="true" outlineLevel="0" collapsed="false">
      <c r="A538" s="218" t="n">
        <v>58.1</v>
      </c>
      <c r="B538" s="219" t="n">
        <f aca="false">IF(Calculator!$E$12="YES",IF(A538&lt;Calculator!$G$12,0,MIN(MIN(MOD(A538/Calculator!$F$12,1),1-MOD(A538/Calculator!$F$12,1)),ABS(MOD(A538/Calculator!$F$12,1)-0.5))),1)</f>
        <v>1</v>
      </c>
      <c r="C538" s="219" t="n">
        <f aca="false">IF(Calculator!$E$13="YES",IF(A538&lt;Calculator!$G$13,0,MIN(MIN(MOD(A538/Calculator!$F$13,1),1-MOD(A538/Calculator!$F$13,1)),ABS(MOD(A538/Calculator!$F$13,1)-0.5))),1)</f>
        <v>1</v>
      </c>
      <c r="D538" s="219" t="n">
        <f aca="false">IF(Calculator!$E$14="YES",IF(A538&lt;Calculator!$G$14,0,MIN(MIN(MOD(A538/Calculator!$F$14,1),1-MOD(A538/Calculator!$F$14,1)),ABS(MOD(A538/Calculator!$F$14,1)-0.5))),1)</f>
        <v>1</v>
      </c>
      <c r="E538" s="219" t="n">
        <f aca="false">IF(Calculator!$E$15="YES",IF(A538&lt;Calculator!$G$15,0,MIN(MIN(MOD(A538/Calculator!$F$15,1),1-MOD(A538/Calculator!$F$15,1)),ABS(MOD(A538/Calculator!$F$15,1)-0.5))),1)</f>
        <v>0.0848070175438598</v>
      </c>
      <c r="F538" s="219" t="n">
        <f aca="false">IF(Calculator!$E$16="YES",IF(A538&lt;Calculator!$G$16,0,MIN(MIN(MOD(A538/Calculator!$F$16,1),1-MOD(A538/Calculator!$F$16,1)),ABS(MOD(A538/Calculator!$F$16,1)-0.5))),1)</f>
        <v>1</v>
      </c>
      <c r="G538" s="219" t="n">
        <f aca="false">IF(Calculator!$E$17="YES",IF(A538&lt;Calculator!$G$17,0,MIN(MIN(MOD(A538/Calculator!$F$17,1),1-MOD(A538/Calculator!$F$17,1)),ABS(MOD(A538/Calculator!$F$17,1)-0.5))),1)</f>
        <v>0.220578947368421</v>
      </c>
      <c r="H538" s="219" t="n">
        <f aca="false">IF(Calculator!$E$18="YES",IF(A538&lt;Calculator!$G$18,0,MIN(MIN(MOD(A538/Calculator!$F$18,1),1-MOD(A538/Calculator!$F$18,1)),ABS(MOD(A538/Calculator!$F$18,1)-0.5))),1)</f>
        <v>1</v>
      </c>
      <c r="I538" s="219" t="n">
        <f aca="false">IF(Calculator!$E$19="YES",IF(A538&lt;Calculator!$G$19,0,MIN(MIN(MOD(A538/Calculator!$F$19,1),1-MOD(A538/Calculator!$F$19,1)),ABS(MOD(A538/Calculator!$F$19,1)-0.5))),1)</f>
        <v>1</v>
      </c>
      <c r="J538" s="219" t="n">
        <f aca="false">IF(Calculator!$E$20="YES",IF(A538&lt;Calculator!$G$20,0,MIN(MIN(MOD(A538/Calculator!$F$20,1),1-MOD(A538/Calculator!$F$20,1)),ABS(MOD(A538/Calculator!$F$20,1)-0.5))),1)</f>
        <v>1</v>
      </c>
      <c r="K538" s="219" t="n">
        <f aca="false">IF(Calculator!$E$21="YES",IF(A538&lt;Calculator!$G$21,0,MIN(MIN(MOD(A538/Calculator!$F$21,1),1-MOD(A538/Calculator!$F$21,1)),ABS(MOD(A538/Calculator!$F$21,1)-0.5))),1)</f>
        <v>0.237298245614035</v>
      </c>
      <c r="L538" s="219" t="n">
        <f aca="false">IF(Calculator!$E$22="YES",IF(A538&lt;Calculator!$G$22,0,MIN(MIN(MOD(A538/Calculator!$F$22,1),1-MOD(A538/Calculator!$F$22,1)),ABS(MOD(A538/Calculator!$F$22,1)-0.5))),1)</f>
        <v>1</v>
      </c>
      <c r="M538" s="219" t="n">
        <f aca="false">MIN(B538:L538)</f>
        <v>0.0848070175438598</v>
      </c>
      <c r="N538" s="219" t="n">
        <f aca="false">SUMPRODUCT(($M$7:$M$557&gt;M538)*1)+SUMPRODUCT(($M$7:$M$557=M538)*(ROW($M$7:$M$557)&lt;ROW(M538)))+1</f>
        <v>152</v>
      </c>
      <c r="O538" s="219" t="str">
        <f aca="false">IF(M538&gt;=0.2,"★★★ EXCELLENT",IF(M538&gt;=0.12,"★★  GOOD",IF(M538&gt;=0.07,"★  FAIR",IF(M538&gt;=0.025,"⚠  MARGINAL","✗  AVOID"))))</f>
        <v>★  FAIR</v>
      </c>
    </row>
    <row r="539" customFormat="false" ht="15" hidden="false" customHeight="true" outlineLevel="0" collapsed="false">
      <c r="A539" s="216" t="n">
        <v>58.2</v>
      </c>
      <c r="B539" s="217" t="n">
        <f aca="false">IF(Calculator!$E$12="YES",IF(A539&lt;Calculator!$G$12,0,MIN(MIN(MOD(A539/Calculator!$F$12,1),1-MOD(A539/Calculator!$F$12,1)),ABS(MOD(A539/Calculator!$F$12,1)-0.5))),1)</f>
        <v>1</v>
      </c>
      <c r="C539" s="217" t="n">
        <f aca="false">IF(Calculator!$E$13="YES",IF(A539&lt;Calculator!$G$13,0,MIN(MIN(MOD(A539/Calculator!$F$13,1),1-MOD(A539/Calculator!$F$13,1)),ABS(MOD(A539/Calculator!$F$13,1)-0.5))),1)</f>
        <v>1</v>
      </c>
      <c r="D539" s="217" t="n">
        <f aca="false">IF(Calculator!$E$14="YES",IF(A539&lt;Calculator!$G$14,0,MIN(MIN(MOD(A539/Calculator!$F$14,1),1-MOD(A539/Calculator!$F$14,1)),ABS(MOD(A539/Calculator!$F$14,1)-0.5))),1)</f>
        <v>1</v>
      </c>
      <c r="E539" s="217" t="n">
        <f aca="false">IF(Calculator!$E$15="YES",IF(A539&lt;Calculator!$G$15,0,MIN(MIN(MOD(A539/Calculator!$F$15,1),1-MOD(A539/Calculator!$F$15,1)),ABS(MOD(A539/Calculator!$F$15,1)-0.5))),1)</f>
        <v>0.0797894736842104</v>
      </c>
      <c r="F539" s="217" t="n">
        <f aca="false">IF(Calculator!$E$16="YES",IF(A539&lt;Calculator!$G$16,0,MIN(MIN(MOD(A539/Calculator!$F$16,1),1-MOD(A539/Calculator!$F$16,1)),ABS(MOD(A539/Calculator!$F$16,1)-0.5))),1)</f>
        <v>1</v>
      </c>
      <c r="G539" s="217" t="n">
        <f aca="false">IF(Calculator!$E$17="YES",IF(A539&lt;Calculator!$G$17,0,MIN(MIN(MOD(A539/Calculator!$F$17,1),1-MOD(A539/Calculator!$F$17,1)),ABS(MOD(A539/Calculator!$F$17,1)-0.5))),1)</f>
        <v>0.210631578947368</v>
      </c>
      <c r="H539" s="217" t="n">
        <f aca="false">IF(Calculator!$E$18="YES",IF(A539&lt;Calculator!$G$18,0,MIN(MIN(MOD(A539/Calculator!$F$18,1),1-MOD(A539/Calculator!$F$18,1)),ABS(MOD(A539/Calculator!$F$18,1)-0.5))),1)</f>
        <v>1</v>
      </c>
      <c r="I539" s="217" t="n">
        <f aca="false">IF(Calculator!$E$19="YES",IF(A539&lt;Calculator!$G$19,0,MIN(MIN(MOD(A539/Calculator!$F$19,1),1-MOD(A539/Calculator!$F$19,1)),ABS(MOD(A539/Calculator!$F$19,1)-0.5))),1)</f>
        <v>1</v>
      </c>
      <c r="J539" s="217" t="n">
        <f aca="false">IF(Calculator!$E$20="YES",IF(A539&lt;Calculator!$G$20,0,MIN(MIN(MOD(A539/Calculator!$F$20,1),1-MOD(A539/Calculator!$F$20,1)),ABS(MOD(A539/Calculator!$F$20,1)-0.5))),1)</f>
        <v>1</v>
      </c>
      <c r="K539" s="217" t="n">
        <f aca="false">IF(Calculator!$E$21="YES",IF(A539&lt;Calculator!$G$21,0,MIN(MIN(MOD(A539/Calculator!$F$21,1),1-MOD(A539/Calculator!$F$21,1)),ABS(MOD(A539/Calculator!$F$21,1)-0.5))),1)</f>
        <v>0.217052631578946</v>
      </c>
      <c r="L539" s="217" t="n">
        <f aca="false">IF(Calculator!$E$22="YES",IF(A539&lt;Calculator!$G$22,0,MIN(MIN(MOD(A539/Calculator!$F$22,1),1-MOD(A539/Calculator!$F$22,1)),ABS(MOD(A539/Calculator!$F$22,1)-0.5))),1)</f>
        <v>1</v>
      </c>
      <c r="M539" s="217" t="n">
        <f aca="false">MIN(B539:L539)</f>
        <v>0.0797894736842104</v>
      </c>
      <c r="N539" s="217" t="n">
        <f aca="false">SUMPRODUCT(($M$7:$M$557&gt;M539)*1)+SUMPRODUCT(($M$7:$M$557=M539)*(ROW($M$7:$M$557)&lt;ROW(M539)))+1</f>
        <v>171</v>
      </c>
      <c r="O539" s="217" t="str">
        <f aca="false">IF(M539&gt;=0.2,"★★★ EXCELLENT",IF(M539&gt;=0.12,"★★  GOOD",IF(M539&gt;=0.07,"★  FAIR",IF(M539&gt;=0.025,"⚠  MARGINAL","✗  AVOID"))))</f>
        <v>★  FAIR</v>
      </c>
    </row>
    <row r="540" customFormat="false" ht="15" hidden="false" customHeight="true" outlineLevel="0" collapsed="false">
      <c r="A540" s="218" t="n">
        <v>58.3</v>
      </c>
      <c r="B540" s="219" t="n">
        <f aca="false">IF(Calculator!$E$12="YES",IF(A540&lt;Calculator!$G$12,0,MIN(MIN(MOD(A540/Calculator!$F$12,1),1-MOD(A540/Calculator!$F$12,1)),ABS(MOD(A540/Calculator!$F$12,1)-0.5))),1)</f>
        <v>1</v>
      </c>
      <c r="C540" s="219" t="n">
        <f aca="false">IF(Calculator!$E$13="YES",IF(A540&lt;Calculator!$G$13,0,MIN(MIN(MOD(A540/Calculator!$F$13,1),1-MOD(A540/Calculator!$F$13,1)),ABS(MOD(A540/Calculator!$F$13,1)-0.5))),1)</f>
        <v>1</v>
      </c>
      <c r="D540" s="219" t="n">
        <f aca="false">IF(Calculator!$E$14="YES",IF(A540&lt;Calculator!$G$14,0,MIN(MIN(MOD(A540/Calculator!$F$14,1),1-MOD(A540/Calculator!$F$14,1)),ABS(MOD(A540/Calculator!$F$14,1)-0.5))),1)</f>
        <v>1</v>
      </c>
      <c r="E540" s="219" t="n">
        <f aca="false">IF(Calculator!$E$15="YES",IF(A540&lt;Calculator!$G$15,0,MIN(MIN(MOD(A540/Calculator!$F$15,1),1-MOD(A540/Calculator!$F$15,1)),ABS(MOD(A540/Calculator!$F$15,1)-0.5))),1)</f>
        <v>0.0747719298245615</v>
      </c>
      <c r="F540" s="219" t="n">
        <f aca="false">IF(Calculator!$E$16="YES",IF(A540&lt;Calculator!$G$16,0,MIN(MIN(MOD(A540/Calculator!$F$16,1),1-MOD(A540/Calculator!$F$16,1)),ABS(MOD(A540/Calculator!$F$16,1)-0.5))),1)</f>
        <v>1</v>
      </c>
      <c r="G540" s="219" t="n">
        <f aca="false">IF(Calculator!$E$17="YES",IF(A540&lt;Calculator!$G$17,0,MIN(MIN(MOD(A540/Calculator!$F$17,1),1-MOD(A540/Calculator!$F$17,1)),ABS(MOD(A540/Calculator!$F$17,1)-0.5))),1)</f>
        <v>0.200684210526315</v>
      </c>
      <c r="H540" s="219" t="n">
        <f aca="false">IF(Calculator!$E$18="YES",IF(A540&lt;Calculator!$G$18,0,MIN(MIN(MOD(A540/Calculator!$F$18,1),1-MOD(A540/Calculator!$F$18,1)),ABS(MOD(A540/Calculator!$F$18,1)-0.5))),1)</f>
        <v>1</v>
      </c>
      <c r="I540" s="219" t="n">
        <f aca="false">IF(Calculator!$E$19="YES",IF(A540&lt;Calculator!$G$19,0,MIN(MIN(MOD(A540/Calculator!$F$19,1),1-MOD(A540/Calculator!$F$19,1)),ABS(MOD(A540/Calculator!$F$19,1)-0.5))),1)</f>
        <v>1</v>
      </c>
      <c r="J540" s="219" t="n">
        <f aca="false">IF(Calculator!$E$20="YES",IF(A540&lt;Calculator!$G$20,0,MIN(MIN(MOD(A540/Calculator!$F$20,1),1-MOD(A540/Calculator!$F$20,1)),ABS(MOD(A540/Calculator!$F$20,1)-0.5))),1)</f>
        <v>1</v>
      </c>
      <c r="K540" s="219" t="n">
        <f aca="false">IF(Calculator!$E$21="YES",IF(A540&lt;Calculator!$G$21,0,MIN(MIN(MOD(A540/Calculator!$F$21,1),1-MOD(A540/Calculator!$F$21,1)),ABS(MOD(A540/Calculator!$F$21,1)-0.5))),1)</f>
        <v>0.196807017543861</v>
      </c>
      <c r="L540" s="219" t="n">
        <f aca="false">IF(Calculator!$E$22="YES",IF(A540&lt;Calculator!$G$22,0,MIN(MIN(MOD(A540/Calculator!$F$22,1),1-MOD(A540/Calculator!$F$22,1)),ABS(MOD(A540/Calculator!$F$22,1)-0.5))),1)</f>
        <v>1</v>
      </c>
      <c r="M540" s="219" t="n">
        <f aca="false">MIN(B540:L540)</f>
        <v>0.0747719298245615</v>
      </c>
      <c r="N540" s="219" t="n">
        <f aca="false">SUMPRODUCT(($M$7:$M$557&gt;M540)*1)+SUMPRODUCT(($M$7:$M$557=M540)*(ROW($M$7:$M$557)&lt;ROW(M540)))+1</f>
        <v>189</v>
      </c>
      <c r="O540" s="219" t="str">
        <f aca="false">IF(M540&gt;=0.2,"★★★ EXCELLENT",IF(M540&gt;=0.12,"★★  GOOD",IF(M540&gt;=0.07,"★  FAIR",IF(M540&gt;=0.025,"⚠  MARGINAL","✗  AVOID"))))</f>
        <v>★  FAIR</v>
      </c>
    </row>
    <row r="541" customFormat="false" ht="15" hidden="false" customHeight="true" outlineLevel="0" collapsed="false">
      <c r="A541" s="216" t="n">
        <v>58.4</v>
      </c>
      <c r="B541" s="217" t="n">
        <f aca="false">IF(Calculator!$E$12="YES",IF(A541&lt;Calculator!$G$12,0,MIN(MIN(MOD(A541/Calculator!$F$12,1),1-MOD(A541/Calculator!$F$12,1)),ABS(MOD(A541/Calculator!$F$12,1)-0.5))),1)</f>
        <v>1</v>
      </c>
      <c r="C541" s="217" t="n">
        <f aca="false">IF(Calculator!$E$13="YES",IF(A541&lt;Calculator!$G$13,0,MIN(MIN(MOD(A541/Calculator!$F$13,1),1-MOD(A541/Calculator!$F$13,1)),ABS(MOD(A541/Calculator!$F$13,1)-0.5))),1)</f>
        <v>1</v>
      </c>
      <c r="D541" s="217" t="n">
        <f aca="false">IF(Calculator!$E$14="YES",IF(A541&lt;Calculator!$G$14,0,MIN(MIN(MOD(A541/Calculator!$F$14,1),1-MOD(A541/Calculator!$F$14,1)),ABS(MOD(A541/Calculator!$F$14,1)-0.5))),1)</f>
        <v>1</v>
      </c>
      <c r="E541" s="217" t="n">
        <f aca="false">IF(Calculator!$E$15="YES",IF(A541&lt;Calculator!$G$15,0,MIN(MIN(MOD(A541/Calculator!$F$15,1),1-MOD(A541/Calculator!$F$15,1)),ABS(MOD(A541/Calculator!$F$15,1)-0.5))),1)</f>
        <v>0.0697543859649121</v>
      </c>
      <c r="F541" s="217" t="n">
        <f aca="false">IF(Calculator!$E$16="YES",IF(A541&lt;Calculator!$G$16,0,MIN(MIN(MOD(A541/Calculator!$F$16,1),1-MOD(A541/Calculator!$F$16,1)),ABS(MOD(A541/Calculator!$F$16,1)-0.5))),1)</f>
        <v>1</v>
      </c>
      <c r="G541" s="217" t="n">
        <f aca="false">IF(Calculator!$E$17="YES",IF(A541&lt;Calculator!$G$17,0,MIN(MIN(MOD(A541/Calculator!$F$17,1),1-MOD(A541/Calculator!$F$17,1)),ABS(MOD(A541/Calculator!$F$17,1)-0.5))),1)</f>
        <v>0.190736842105263</v>
      </c>
      <c r="H541" s="217" t="n">
        <f aca="false">IF(Calculator!$E$18="YES",IF(A541&lt;Calculator!$G$18,0,MIN(MIN(MOD(A541/Calculator!$F$18,1),1-MOD(A541/Calculator!$F$18,1)),ABS(MOD(A541/Calculator!$F$18,1)-0.5))),1)</f>
        <v>1</v>
      </c>
      <c r="I541" s="217" t="n">
        <f aca="false">IF(Calculator!$E$19="YES",IF(A541&lt;Calculator!$G$19,0,MIN(MIN(MOD(A541/Calculator!$F$19,1),1-MOD(A541/Calculator!$F$19,1)),ABS(MOD(A541/Calculator!$F$19,1)-0.5))),1)</f>
        <v>1</v>
      </c>
      <c r="J541" s="217" t="n">
        <f aca="false">IF(Calculator!$E$20="YES",IF(A541&lt;Calculator!$G$20,0,MIN(MIN(MOD(A541/Calculator!$F$20,1),1-MOD(A541/Calculator!$F$20,1)),ABS(MOD(A541/Calculator!$F$20,1)-0.5))),1)</f>
        <v>1</v>
      </c>
      <c r="K541" s="217" t="n">
        <f aca="false">IF(Calculator!$E$21="YES",IF(A541&lt;Calculator!$G$21,0,MIN(MIN(MOD(A541/Calculator!$F$21,1),1-MOD(A541/Calculator!$F$21,1)),ABS(MOD(A541/Calculator!$F$21,1)-0.5))),1)</f>
        <v>0.176561403508773</v>
      </c>
      <c r="L541" s="217" t="n">
        <f aca="false">IF(Calculator!$E$22="YES",IF(A541&lt;Calculator!$G$22,0,MIN(MIN(MOD(A541/Calculator!$F$22,1),1-MOD(A541/Calculator!$F$22,1)),ABS(MOD(A541/Calculator!$F$22,1)-0.5))),1)</f>
        <v>1</v>
      </c>
      <c r="M541" s="217" t="n">
        <f aca="false">MIN(B541:L541)</f>
        <v>0.0697543859649121</v>
      </c>
      <c r="N541" s="217" t="n">
        <f aca="false">SUMPRODUCT(($M$7:$M$557&gt;M541)*1)+SUMPRODUCT(($M$7:$M$557=M541)*(ROW($M$7:$M$557)&lt;ROW(M541)))+1</f>
        <v>209</v>
      </c>
      <c r="O541" s="217" t="str">
        <f aca="false">IF(M541&gt;=0.2,"★★★ EXCELLENT",IF(M541&gt;=0.12,"★★  GOOD",IF(M541&gt;=0.07,"★  FAIR",IF(M541&gt;=0.025,"⚠  MARGINAL","✗  AVOID"))))</f>
        <v>⚠  MARGINAL</v>
      </c>
    </row>
    <row r="542" customFormat="false" ht="15" hidden="false" customHeight="true" outlineLevel="0" collapsed="false">
      <c r="A542" s="218" t="n">
        <v>58.5</v>
      </c>
      <c r="B542" s="219" t="n">
        <f aca="false">IF(Calculator!$E$12="YES",IF(A542&lt;Calculator!$G$12,0,MIN(MIN(MOD(A542/Calculator!$F$12,1),1-MOD(A542/Calculator!$F$12,1)),ABS(MOD(A542/Calculator!$F$12,1)-0.5))),1)</f>
        <v>1</v>
      </c>
      <c r="C542" s="219" t="n">
        <f aca="false">IF(Calculator!$E$13="YES",IF(A542&lt;Calculator!$G$13,0,MIN(MIN(MOD(A542/Calculator!$F$13,1),1-MOD(A542/Calculator!$F$13,1)),ABS(MOD(A542/Calculator!$F$13,1)-0.5))),1)</f>
        <v>1</v>
      </c>
      <c r="D542" s="219" t="n">
        <f aca="false">IF(Calculator!$E$14="YES",IF(A542&lt;Calculator!$G$14,0,MIN(MIN(MOD(A542/Calculator!$F$14,1),1-MOD(A542/Calculator!$F$14,1)),ABS(MOD(A542/Calculator!$F$14,1)-0.5))),1)</f>
        <v>1</v>
      </c>
      <c r="E542" s="219" t="n">
        <f aca="false">IF(Calculator!$E$15="YES",IF(A542&lt;Calculator!$G$15,0,MIN(MIN(MOD(A542/Calculator!$F$15,1),1-MOD(A542/Calculator!$F$15,1)),ABS(MOD(A542/Calculator!$F$15,1)-0.5))),1)</f>
        <v>0.0647368421052632</v>
      </c>
      <c r="F542" s="219" t="n">
        <f aca="false">IF(Calculator!$E$16="YES",IF(A542&lt;Calculator!$G$16,0,MIN(MIN(MOD(A542/Calculator!$F$16,1),1-MOD(A542/Calculator!$F$16,1)),ABS(MOD(A542/Calculator!$F$16,1)-0.5))),1)</f>
        <v>1</v>
      </c>
      <c r="G542" s="219" t="n">
        <f aca="false">IF(Calculator!$E$17="YES",IF(A542&lt;Calculator!$G$17,0,MIN(MIN(MOD(A542/Calculator!$F$17,1),1-MOD(A542/Calculator!$F$17,1)),ABS(MOD(A542/Calculator!$F$17,1)-0.5))),1)</f>
        <v>0.18078947368421</v>
      </c>
      <c r="H542" s="219" t="n">
        <f aca="false">IF(Calculator!$E$18="YES",IF(A542&lt;Calculator!$G$18,0,MIN(MIN(MOD(A542/Calculator!$F$18,1),1-MOD(A542/Calculator!$F$18,1)),ABS(MOD(A542/Calculator!$F$18,1)-0.5))),1)</f>
        <v>1</v>
      </c>
      <c r="I542" s="219" t="n">
        <f aca="false">IF(Calculator!$E$19="YES",IF(A542&lt;Calculator!$G$19,0,MIN(MIN(MOD(A542/Calculator!$F$19,1),1-MOD(A542/Calculator!$F$19,1)),ABS(MOD(A542/Calculator!$F$19,1)-0.5))),1)</f>
        <v>1</v>
      </c>
      <c r="J542" s="219" t="n">
        <f aca="false">IF(Calculator!$E$20="YES",IF(A542&lt;Calculator!$G$20,0,MIN(MIN(MOD(A542/Calculator!$F$20,1),1-MOD(A542/Calculator!$F$20,1)),ABS(MOD(A542/Calculator!$F$20,1)-0.5))),1)</f>
        <v>1</v>
      </c>
      <c r="K542" s="219" t="n">
        <f aca="false">IF(Calculator!$E$21="YES",IF(A542&lt;Calculator!$G$21,0,MIN(MIN(MOD(A542/Calculator!$F$21,1),1-MOD(A542/Calculator!$F$21,1)),ABS(MOD(A542/Calculator!$F$21,1)-0.5))),1)</f>
        <v>0.156315789473684</v>
      </c>
      <c r="L542" s="219" t="n">
        <f aca="false">IF(Calculator!$E$22="YES",IF(A542&lt;Calculator!$G$22,0,MIN(MIN(MOD(A542/Calculator!$F$22,1),1-MOD(A542/Calculator!$F$22,1)),ABS(MOD(A542/Calculator!$F$22,1)-0.5))),1)</f>
        <v>1</v>
      </c>
      <c r="M542" s="219" t="n">
        <f aca="false">MIN(B542:L542)</f>
        <v>0.0647368421052632</v>
      </c>
      <c r="N542" s="219" t="n">
        <f aca="false">SUMPRODUCT(($M$7:$M$557&gt;M542)*1)+SUMPRODUCT(($M$7:$M$557=M542)*(ROW($M$7:$M$557)&lt;ROW(M542)))+1</f>
        <v>227</v>
      </c>
      <c r="O542" s="219" t="str">
        <f aca="false">IF(M542&gt;=0.2,"★★★ EXCELLENT",IF(M542&gt;=0.12,"★★  GOOD",IF(M542&gt;=0.07,"★  FAIR",IF(M542&gt;=0.025,"⚠  MARGINAL","✗  AVOID"))))</f>
        <v>⚠  MARGINAL</v>
      </c>
    </row>
    <row r="543" customFormat="false" ht="15" hidden="false" customHeight="true" outlineLevel="0" collapsed="false">
      <c r="A543" s="216" t="n">
        <v>58.6</v>
      </c>
      <c r="B543" s="217" t="n">
        <f aca="false">IF(Calculator!$E$12="YES",IF(A543&lt;Calculator!$G$12,0,MIN(MIN(MOD(A543/Calculator!$F$12,1),1-MOD(A543/Calculator!$F$12,1)),ABS(MOD(A543/Calculator!$F$12,1)-0.5))),1)</f>
        <v>1</v>
      </c>
      <c r="C543" s="217" t="n">
        <f aca="false">IF(Calculator!$E$13="YES",IF(A543&lt;Calculator!$G$13,0,MIN(MIN(MOD(A543/Calculator!$F$13,1),1-MOD(A543/Calculator!$F$13,1)),ABS(MOD(A543/Calculator!$F$13,1)-0.5))),1)</f>
        <v>1</v>
      </c>
      <c r="D543" s="217" t="n">
        <f aca="false">IF(Calculator!$E$14="YES",IF(A543&lt;Calculator!$G$14,0,MIN(MIN(MOD(A543/Calculator!$F$14,1),1-MOD(A543/Calculator!$F$14,1)),ABS(MOD(A543/Calculator!$F$14,1)-0.5))),1)</f>
        <v>1</v>
      </c>
      <c r="E543" s="217" t="n">
        <f aca="false">IF(Calculator!$E$15="YES",IF(A543&lt;Calculator!$G$15,0,MIN(MIN(MOD(A543/Calculator!$F$15,1),1-MOD(A543/Calculator!$F$15,1)),ABS(MOD(A543/Calculator!$F$15,1)-0.5))),1)</f>
        <v>0.0597192982456138</v>
      </c>
      <c r="F543" s="217" t="n">
        <f aca="false">IF(Calculator!$E$16="YES",IF(A543&lt;Calculator!$G$16,0,MIN(MIN(MOD(A543/Calculator!$F$16,1),1-MOD(A543/Calculator!$F$16,1)),ABS(MOD(A543/Calculator!$F$16,1)-0.5))),1)</f>
        <v>1</v>
      </c>
      <c r="G543" s="217" t="n">
        <f aca="false">IF(Calculator!$E$17="YES",IF(A543&lt;Calculator!$G$17,0,MIN(MIN(MOD(A543/Calculator!$F$17,1),1-MOD(A543/Calculator!$F$17,1)),ABS(MOD(A543/Calculator!$F$17,1)-0.5))),1)</f>
        <v>0.170842105263158</v>
      </c>
      <c r="H543" s="217" t="n">
        <f aca="false">IF(Calculator!$E$18="YES",IF(A543&lt;Calculator!$G$18,0,MIN(MIN(MOD(A543/Calculator!$F$18,1),1-MOD(A543/Calculator!$F$18,1)),ABS(MOD(A543/Calculator!$F$18,1)-0.5))),1)</f>
        <v>1</v>
      </c>
      <c r="I543" s="217" t="n">
        <f aca="false">IF(Calculator!$E$19="YES",IF(A543&lt;Calculator!$G$19,0,MIN(MIN(MOD(A543/Calculator!$F$19,1),1-MOD(A543/Calculator!$F$19,1)),ABS(MOD(A543/Calculator!$F$19,1)-0.5))),1)</f>
        <v>1</v>
      </c>
      <c r="J543" s="217" t="n">
        <f aca="false">IF(Calculator!$E$20="YES",IF(A543&lt;Calculator!$G$20,0,MIN(MIN(MOD(A543/Calculator!$F$20,1),1-MOD(A543/Calculator!$F$20,1)),ABS(MOD(A543/Calculator!$F$20,1)-0.5))),1)</f>
        <v>1</v>
      </c>
      <c r="K543" s="217" t="n">
        <f aca="false">IF(Calculator!$E$21="YES",IF(A543&lt;Calculator!$G$21,0,MIN(MIN(MOD(A543/Calculator!$F$21,1),1-MOD(A543/Calculator!$F$21,1)),ABS(MOD(A543/Calculator!$F$21,1)-0.5))),1)</f>
        <v>0.136070175438597</v>
      </c>
      <c r="L543" s="217" t="n">
        <f aca="false">IF(Calculator!$E$22="YES",IF(A543&lt;Calculator!$G$22,0,MIN(MIN(MOD(A543/Calculator!$F$22,1),1-MOD(A543/Calculator!$F$22,1)),ABS(MOD(A543/Calculator!$F$22,1)-0.5))),1)</f>
        <v>1</v>
      </c>
      <c r="M543" s="217" t="n">
        <f aca="false">MIN(B543:L543)</f>
        <v>0.0597192982456138</v>
      </c>
      <c r="N543" s="217" t="n">
        <f aca="false">SUMPRODUCT(($M$7:$M$557&gt;M543)*1)+SUMPRODUCT(($M$7:$M$557=M543)*(ROW($M$7:$M$557)&lt;ROW(M543)))+1</f>
        <v>246</v>
      </c>
      <c r="O543" s="217" t="str">
        <f aca="false">IF(M543&gt;=0.2,"★★★ EXCELLENT",IF(M543&gt;=0.12,"★★  GOOD",IF(M543&gt;=0.07,"★  FAIR",IF(M543&gt;=0.025,"⚠  MARGINAL","✗  AVOID"))))</f>
        <v>⚠  MARGINAL</v>
      </c>
    </row>
    <row r="544" customFormat="false" ht="15" hidden="false" customHeight="true" outlineLevel="0" collapsed="false">
      <c r="A544" s="218" t="n">
        <v>58.7</v>
      </c>
      <c r="B544" s="219" t="n">
        <f aca="false">IF(Calculator!$E$12="YES",IF(A544&lt;Calculator!$G$12,0,MIN(MIN(MOD(A544/Calculator!$F$12,1),1-MOD(A544/Calculator!$F$12,1)),ABS(MOD(A544/Calculator!$F$12,1)-0.5))),1)</f>
        <v>1</v>
      </c>
      <c r="C544" s="219" t="n">
        <f aca="false">IF(Calculator!$E$13="YES",IF(A544&lt;Calculator!$G$13,0,MIN(MIN(MOD(A544/Calculator!$F$13,1),1-MOD(A544/Calculator!$F$13,1)),ABS(MOD(A544/Calculator!$F$13,1)-0.5))),1)</f>
        <v>1</v>
      </c>
      <c r="D544" s="219" t="n">
        <f aca="false">IF(Calculator!$E$14="YES",IF(A544&lt;Calculator!$G$14,0,MIN(MIN(MOD(A544/Calculator!$F$14,1),1-MOD(A544/Calculator!$F$14,1)),ABS(MOD(A544/Calculator!$F$14,1)-0.5))),1)</f>
        <v>1</v>
      </c>
      <c r="E544" s="219" t="n">
        <f aca="false">IF(Calculator!$E$15="YES",IF(A544&lt;Calculator!$G$15,0,MIN(MIN(MOD(A544/Calculator!$F$15,1),1-MOD(A544/Calculator!$F$15,1)),ABS(MOD(A544/Calculator!$F$15,1)-0.5))),1)</f>
        <v>0.0547017543859649</v>
      </c>
      <c r="F544" s="219" t="n">
        <f aca="false">IF(Calculator!$E$16="YES",IF(A544&lt;Calculator!$G$16,0,MIN(MIN(MOD(A544/Calculator!$F$16,1),1-MOD(A544/Calculator!$F$16,1)),ABS(MOD(A544/Calculator!$F$16,1)-0.5))),1)</f>
        <v>1</v>
      </c>
      <c r="G544" s="219" t="n">
        <f aca="false">IF(Calculator!$E$17="YES",IF(A544&lt;Calculator!$G$17,0,MIN(MIN(MOD(A544/Calculator!$F$17,1),1-MOD(A544/Calculator!$F$17,1)),ABS(MOD(A544/Calculator!$F$17,1)-0.5))),1)</f>
        <v>0.160894736842105</v>
      </c>
      <c r="H544" s="219" t="n">
        <f aca="false">IF(Calculator!$E$18="YES",IF(A544&lt;Calculator!$G$18,0,MIN(MIN(MOD(A544/Calculator!$F$18,1),1-MOD(A544/Calculator!$F$18,1)),ABS(MOD(A544/Calculator!$F$18,1)-0.5))),1)</f>
        <v>1</v>
      </c>
      <c r="I544" s="219" t="n">
        <f aca="false">IF(Calculator!$E$19="YES",IF(A544&lt;Calculator!$G$19,0,MIN(MIN(MOD(A544/Calculator!$F$19,1),1-MOD(A544/Calculator!$F$19,1)),ABS(MOD(A544/Calculator!$F$19,1)-0.5))),1)</f>
        <v>1</v>
      </c>
      <c r="J544" s="219" t="n">
        <f aca="false">IF(Calculator!$E$20="YES",IF(A544&lt;Calculator!$G$20,0,MIN(MIN(MOD(A544/Calculator!$F$20,1),1-MOD(A544/Calculator!$F$20,1)),ABS(MOD(A544/Calculator!$F$20,1)-0.5))),1)</f>
        <v>1</v>
      </c>
      <c r="K544" s="219" t="n">
        <f aca="false">IF(Calculator!$E$21="YES",IF(A544&lt;Calculator!$G$21,0,MIN(MIN(MOD(A544/Calculator!$F$21,1),1-MOD(A544/Calculator!$F$21,1)),ABS(MOD(A544/Calculator!$F$21,1)-0.5))),1)</f>
        <v>0.115824561403509</v>
      </c>
      <c r="L544" s="219" t="n">
        <f aca="false">IF(Calculator!$E$22="YES",IF(A544&lt;Calculator!$G$22,0,MIN(MIN(MOD(A544/Calculator!$F$22,1),1-MOD(A544/Calculator!$F$22,1)),ABS(MOD(A544/Calculator!$F$22,1)-0.5))),1)</f>
        <v>1</v>
      </c>
      <c r="M544" s="219" t="n">
        <f aca="false">MIN(B544:L544)</f>
        <v>0.0547017543859649</v>
      </c>
      <c r="N544" s="219" t="n">
        <f aca="false">SUMPRODUCT(($M$7:$M$557&gt;M544)*1)+SUMPRODUCT(($M$7:$M$557=M544)*(ROW($M$7:$M$557)&lt;ROW(M544)))+1</f>
        <v>266</v>
      </c>
      <c r="O544" s="219" t="str">
        <f aca="false">IF(M544&gt;=0.2,"★★★ EXCELLENT",IF(M544&gt;=0.12,"★★  GOOD",IF(M544&gt;=0.07,"★  FAIR",IF(M544&gt;=0.025,"⚠  MARGINAL","✗  AVOID"))))</f>
        <v>⚠  MARGINAL</v>
      </c>
    </row>
    <row r="545" customFormat="false" ht="15" hidden="false" customHeight="true" outlineLevel="0" collapsed="false">
      <c r="A545" s="216" t="n">
        <v>58.8</v>
      </c>
      <c r="B545" s="217" t="n">
        <f aca="false">IF(Calculator!$E$12="YES",IF(A545&lt;Calculator!$G$12,0,MIN(MIN(MOD(A545/Calculator!$F$12,1),1-MOD(A545/Calculator!$F$12,1)),ABS(MOD(A545/Calculator!$F$12,1)-0.5))),1)</f>
        <v>1</v>
      </c>
      <c r="C545" s="217" t="n">
        <f aca="false">IF(Calculator!$E$13="YES",IF(A545&lt;Calculator!$G$13,0,MIN(MIN(MOD(A545/Calculator!$F$13,1),1-MOD(A545/Calculator!$F$13,1)),ABS(MOD(A545/Calculator!$F$13,1)-0.5))),1)</f>
        <v>1</v>
      </c>
      <c r="D545" s="217" t="n">
        <f aca="false">IF(Calculator!$E$14="YES",IF(A545&lt;Calculator!$G$14,0,MIN(MIN(MOD(A545/Calculator!$F$14,1),1-MOD(A545/Calculator!$F$14,1)),ABS(MOD(A545/Calculator!$F$14,1)-0.5))),1)</f>
        <v>1</v>
      </c>
      <c r="E545" s="217" t="n">
        <f aca="false">IF(Calculator!$E$15="YES",IF(A545&lt;Calculator!$G$15,0,MIN(MIN(MOD(A545/Calculator!$F$15,1),1-MOD(A545/Calculator!$F$15,1)),ABS(MOD(A545/Calculator!$F$15,1)-0.5))),1)</f>
        <v>0.049684210526316</v>
      </c>
      <c r="F545" s="217" t="n">
        <f aca="false">IF(Calculator!$E$16="YES",IF(A545&lt;Calculator!$G$16,0,MIN(MIN(MOD(A545/Calculator!$F$16,1),1-MOD(A545/Calculator!$F$16,1)),ABS(MOD(A545/Calculator!$F$16,1)-0.5))),1)</f>
        <v>1</v>
      </c>
      <c r="G545" s="217" t="n">
        <f aca="false">IF(Calculator!$E$17="YES",IF(A545&lt;Calculator!$G$17,0,MIN(MIN(MOD(A545/Calculator!$F$17,1),1-MOD(A545/Calculator!$F$17,1)),ABS(MOD(A545/Calculator!$F$17,1)-0.5))),1)</f>
        <v>0.150947368421052</v>
      </c>
      <c r="H545" s="217" t="n">
        <f aca="false">IF(Calculator!$E$18="YES",IF(A545&lt;Calculator!$G$18,0,MIN(MIN(MOD(A545/Calculator!$F$18,1),1-MOD(A545/Calculator!$F$18,1)),ABS(MOD(A545/Calculator!$F$18,1)-0.5))),1)</f>
        <v>1</v>
      </c>
      <c r="I545" s="217" t="n">
        <f aca="false">IF(Calculator!$E$19="YES",IF(A545&lt;Calculator!$G$19,0,MIN(MIN(MOD(A545/Calculator!$F$19,1),1-MOD(A545/Calculator!$F$19,1)),ABS(MOD(A545/Calculator!$F$19,1)-0.5))),1)</f>
        <v>1</v>
      </c>
      <c r="J545" s="217" t="n">
        <f aca="false">IF(Calculator!$E$20="YES",IF(A545&lt;Calculator!$G$20,0,MIN(MIN(MOD(A545/Calculator!$F$20,1),1-MOD(A545/Calculator!$F$20,1)),ABS(MOD(A545/Calculator!$F$20,1)-0.5))),1)</f>
        <v>1</v>
      </c>
      <c r="K545" s="217" t="n">
        <f aca="false">IF(Calculator!$E$21="YES",IF(A545&lt;Calculator!$G$21,0,MIN(MIN(MOD(A545/Calculator!$F$21,1),1-MOD(A545/Calculator!$F$21,1)),ABS(MOD(A545/Calculator!$F$21,1)-0.5))),1)</f>
        <v>0.0955789473684217</v>
      </c>
      <c r="L545" s="217" t="n">
        <f aca="false">IF(Calculator!$E$22="YES",IF(A545&lt;Calculator!$G$22,0,MIN(MIN(MOD(A545/Calculator!$F$22,1),1-MOD(A545/Calculator!$F$22,1)),ABS(MOD(A545/Calculator!$F$22,1)-0.5))),1)</f>
        <v>1</v>
      </c>
      <c r="M545" s="217" t="n">
        <f aca="false">MIN(B545:L545)</f>
        <v>0.049684210526316</v>
      </c>
      <c r="N545" s="217" t="n">
        <f aca="false">SUMPRODUCT(($M$7:$M$557&gt;M545)*1)+SUMPRODUCT(($M$7:$M$557=M545)*(ROW($M$7:$M$557)&lt;ROW(M545)))+1</f>
        <v>287</v>
      </c>
      <c r="O545" s="217" t="str">
        <f aca="false">IF(M545&gt;=0.2,"★★★ EXCELLENT",IF(M545&gt;=0.12,"★★  GOOD",IF(M545&gt;=0.07,"★  FAIR",IF(M545&gt;=0.025,"⚠  MARGINAL","✗  AVOID"))))</f>
        <v>⚠  MARGINAL</v>
      </c>
    </row>
    <row r="546" customFormat="false" ht="15" hidden="false" customHeight="true" outlineLevel="0" collapsed="false">
      <c r="A546" s="218" t="n">
        <v>58.9</v>
      </c>
      <c r="B546" s="219" t="n">
        <f aca="false">IF(Calculator!$E$12="YES",IF(A546&lt;Calculator!$G$12,0,MIN(MIN(MOD(A546/Calculator!$F$12,1),1-MOD(A546/Calculator!$F$12,1)),ABS(MOD(A546/Calculator!$F$12,1)-0.5))),1)</f>
        <v>1</v>
      </c>
      <c r="C546" s="219" t="n">
        <f aca="false">IF(Calculator!$E$13="YES",IF(A546&lt;Calculator!$G$13,0,MIN(MIN(MOD(A546/Calculator!$F$13,1),1-MOD(A546/Calculator!$F$13,1)),ABS(MOD(A546/Calculator!$F$13,1)-0.5))),1)</f>
        <v>1</v>
      </c>
      <c r="D546" s="219" t="n">
        <f aca="false">IF(Calculator!$E$14="YES",IF(A546&lt;Calculator!$G$14,0,MIN(MIN(MOD(A546/Calculator!$F$14,1),1-MOD(A546/Calculator!$F$14,1)),ABS(MOD(A546/Calculator!$F$14,1)-0.5))),1)</f>
        <v>1</v>
      </c>
      <c r="E546" s="219" t="n">
        <f aca="false">IF(Calculator!$E$15="YES",IF(A546&lt;Calculator!$G$15,0,MIN(MIN(MOD(A546/Calculator!$F$15,1),1-MOD(A546/Calculator!$F$15,1)),ABS(MOD(A546/Calculator!$F$15,1)-0.5))),1)</f>
        <v>0.0446666666666666</v>
      </c>
      <c r="F546" s="219" t="n">
        <f aca="false">IF(Calculator!$E$16="YES",IF(A546&lt;Calculator!$G$16,0,MIN(MIN(MOD(A546/Calculator!$F$16,1),1-MOD(A546/Calculator!$F$16,1)),ABS(MOD(A546/Calculator!$F$16,1)-0.5))),1)</f>
        <v>1</v>
      </c>
      <c r="G546" s="219" t="n">
        <f aca="false">IF(Calculator!$E$17="YES",IF(A546&lt;Calculator!$G$17,0,MIN(MIN(MOD(A546/Calculator!$F$17,1),1-MOD(A546/Calculator!$F$17,1)),ABS(MOD(A546/Calculator!$F$17,1)-0.5))),1)</f>
        <v>0.141</v>
      </c>
      <c r="H546" s="219" t="n">
        <f aca="false">IF(Calculator!$E$18="YES",IF(A546&lt;Calculator!$G$18,0,MIN(MIN(MOD(A546/Calculator!$F$18,1),1-MOD(A546/Calculator!$F$18,1)),ABS(MOD(A546/Calculator!$F$18,1)-0.5))),1)</f>
        <v>1</v>
      </c>
      <c r="I546" s="219" t="n">
        <f aca="false">IF(Calculator!$E$19="YES",IF(A546&lt;Calculator!$G$19,0,MIN(MIN(MOD(A546/Calculator!$F$19,1),1-MOD(A546/Calculator!$F$19,1)),ABS(MOD(A546/Calculator!$F$19,1)-0.5))),1)</f>
        <v>1</v>
      </c>
      <c r="J546" s="219" t="n">
        <f aca="false">IF(Calculator!$E$20="YES",IF(A546&lt;Calculator!$G$20,0,MIN(MIN(MOD(A546/Calculator!$F$20,1),1-MOD(A546/Calculator!$F$20,1)),ABS(MOD(A546/Calculator!$F$20,1)-0.5))),1)</f>
        <v>1</v>
      </c>
      <c r="K546" s="219" t="n">
        <f aca="false">IF(Calculator!$E$21="YES",IF(A546&lt;Calculator!$G$21,0,MIN(MIN(MOD(A546/Calculator!$F$21,1),1-MOD(A546/Calculator!$F$21,1)),ABS(MOD(A546/Calculator!$F$21,1)-0.5))),1)</f>
        <v>0.075333333333333</v>
      </c>
      <c r="L546" s="219" t="n">
        <f aca="false">IF(Calculator!$E$22="YES",IF(A546&lt;Calculator!$G$22,0,MIN(MIN(MOD(A546/Calculator!$F$22,1),1-MOD(A546/Calculator!$F$22,1)),ABS(MOD(A546/Calculator!$F$22,1)-0.5))),1)</f>
        <v>1</v>
      </c>
      <c r="M546" s="219" t="n">
        <f aca="false">MIN(B546:L546)</f>
        <v>0.0446666666666666</v>
      </c>
      <c r="N546" s="219" t="n">
        <f aca="false">SUMPRODUCT(($M$7:$M$557&gt;M546)*1)+SUMPRODUCT(($M$7:$M$557=M546)*(ROW($M$7:$M$557)&lt;ROW(M546)))+1</f>
        <v>306</v>
      </c>
      <c r="O546" s="219" t="str">
        <f aca="false">IF(M546&gt;=0.2,"★★★ EXCELLENT",IF(M546&gt;=0.12,"★★  GOOD",IF(M546&gt;=0.07,"★  FAIR",IF(M546&gt;=0.025,"⚠  MARGINAL","✗  AVOID"))))</f>
        <v>⚠  MARGINAL</v>
      </c>
    </row>
    <row r="547" customFormat="false" ht="15" hidden="false" customHeight="true" outlineLevel="0" collapsed="false">
      <c r="A547" s="216" t="n">
        <v>59</v>
      </c>
      <c r="B547" s="217" t="n">
        <f aca="false">IF(Calculator!$E$12="YES",IF(A547&lt;Calculator!$G$12,0,MIN(MIN(MOD(A547/Calculator!$F$12,1),1-MOD(A547/Calculator!$F$12,1)),ABS(MOD(A547/Calculator!$F$12,1)-0.5))),1)</f>
        <v>1</v>
      </c>
      <c r="C547" s="217" t="n">
        <f aca="false">IF(Calculator!$E$13="YES",IF(A547&lt;Calculator!$G$13,0,MIN(MIN(MOD(A547/Calculator!$F$13,1),1-MOD(A547/Calculator!$F$13,1)),ABS(MOD(A547/Calculator!$F$13,1)-0.5))),1)</f>
        <v>1</v>
      </c>
      <c r="D547" s="217" t="n">
        <f aca="false">IF(Calculator!$E$14="YES",IF(A547&lt;Calculator!$G$14,0,MIN(MIN(MOD(A547/Calculator!$F$14,1),1-MOD(A547/Calculator!$F$14,1)),ABS(MOD(A547/Calculator!$F$14,1)-0.5))),1)</f>
        <v>1</v>
      </c>
      <c r="E547" s="217" t="n">
        <f aca="false">IF(Calculator!$E$15="YES",IF(A547&lt;Calculator!$G$15,0,MIN(MIN(MOD(A547/Calculator!$F$15,1),1-MOD(A547/Calculator!$F$15,1)),ABS(MOD(A547/Calculator!$F$15,1)-0.5))),1)</f>
        <v>0.0396491228070177</v>
      </c>
      <c r="F547" s="217" t="n">
        <f aca="false">IF(Calculator!$E$16="YES",IF(A547&lt;Calculator!$G$16,0,MIN(MIN(MOD(A547/Calculator!$F$16,1),1-MOD(A547/Calculator!$F$16,1)),ABS(MOD(A547/Calculator!$F$16,1)-0.5))),1)</f>
        <v>1</v>
      </c>
      <c r="G547" s="217" t="n">
        <f aca="false">IF(Calculator!$E$17="YES",IF(A547&lt;Calculator!$G$17,0,MIN(MIN(MOD(A547/Calculator!$F$17,1),1-MOD(A547/Calculator!$F$17,1)),ABS(MOD(A547/Calculator!$F$17,1)-0.5))),1)</f>
        <v>0.131052631578947</v>
      </c>
      <c r="H547" s="217" t="n">
        <f aca="false">IF(Calculator!$E$18="YES",IF(A547&lt;Calculator!$G$18,0,MIN(MIN(MOD(A547/Calculator!$F$18,1),1-MOD(A547/Calculator!$F$18,1)),ABS(MOD(A547/Calculator!$F$18,1)-0.5))),1)</f>
        <v>1</v>
      </c>
      <c r="I547" s="217" t="n">
        <f aca="false">IF(Calculator!$E$19="YES",IF(A547&lt;Calculator!$G$19,0,MIN(MIN(MOD(A547/Calculator!$F$19,1),1-MOD(A547/Calculator!$F$19,1)),ABS(MOD(A547/Calculator!$F$19,1)-0.5))),1)</f>
        <v>1</v>
      </c>
      <c r="J547" s="217" t="n">
        <f aca="false">IF(Calculator!$E$20="YES",IF(A547&lt;Calculator!$G$20,0,MIN(MIN(MOD(A547/Calculator!$F$20,1),1-MOD(A547/Calculator!$F$20,1)),ABS(MOD(A547/Calculator!$F$20,1)-0.5))),1)</f>
        <v>1</v>
      </c>
      <c r="K547" s="217" t="n">
        <f aca="false">IF(Calculator!$E$21="YES",IF(A547&lt;Calculator!$G$21,0,MIN(MIN(MOD(A547/Calculator!$F$21,1),1-MOD(A547/Calculator!$F$21,1)),ABS(MOD(A547/Calculator!$F$21,1)-0.5))),1)</f>
        <v>0.0550877192982462</v>
      </c>
      <c r="L547" s="217" t="n">
        <f aca="false">IF(Calculator!$E$22="YES",IF(A547&lt;Calculator!$G$22,0,MIN(MIN(MOD(A547/Calculator!$F$22,1),1-MOD(A547/Calculator!$F$22,1)),ABS(MOD(A547/Calculator!$F$22,1)-0.5))),1)</f>
        <v>1</v>
      </c>
      <c r="M547" s="217" t="n">
        <f aca="false">MIN(B547:L547)</f>
        <v>0.0396491228070177</v>
      </c>
      <c r="N547" s="217" t="n">
        <f aca="false">SUMPRODUCT(($M$7:$M$557&gt;M547)*1)+SUMPRODUCT(($M$7:$M$557=M547)*(ROW($M$7:$M$557)&lt;ROW(M547)))+1</f>
        <v>327</v>
      </c>
      <c r="O547" s="217" t="str">
        <f aca="false">IF(M547&gt;=0.2,"★★★ EXCELLENT",IF(M547&gt;=0.12,"★★  GOOD",IF(M547&gt;=0.07,"★  FAIR",IF(M547&gt;=0.025,"⚠  MARGINAL","✗  AVOID"))))</f>
        <v>⚠  MARGINAL</v>
      </c>
    </row>
    <row r="548" customFormat="false" ht="15" hidden="false" customHeight="true" outlineLevel="0" collapsed="false">
      <c r="A548" s="218" t="n">
        <v>59.1</v>
      </c>
      <c r="B548" s="219" t="n">
        <f aca="false">IF(Calculator!$E$12="YES",IF(A548&lt;Calculator!$G$12,0,MIN(MIN(MOD(A548/Calculator!$F$12,1),1-MOD(A548/Calculator!$F$12,1)),ABS(MOD(A548/Calculator!$F$12,1)-0.5))),1)</f>
        <v>1</v>
      </c>
      <c r="C548" s="219" t="n">
        <f aca="false">IF(Calculator!$E$13="YES",IF(A548&lt;Calculator!$G$13,0,MIN(MIN(MOD(A548/Calculator!$F$13,1),1-MOD(A548/Calculator!$F$13,1)),ABS(MOD(A548/Calculator!$F$13,1)-0.5))),1)</f>
        <v>1</v>
      </c>
      <c r="D548" s="219" t="n">
        <f aca="false">IF(Calculator!$E$14="YES",IF(A548&lt;Calculator!$G$14,0,MIN(MIN(MOD(A548/Calculator!$F$14,1),1-MOD(A548/Calculator!$F$14,1)),ABS(MOD(A548/Calculator!$F$14,1)-0.5))),1)</f>
        <v>1</v>
      </c>
      <c r="E548" s="219" t="n">
        <f aca="false">IF(Calculator!$E$15="YES",IF(A548&lt;Calculator!$G$15,0,MIN(MIN(MOD(A548/Calculator!$F$15,1),1-MOD(A548/Calculator!$F$15,1)),ABS(MOD(A548/Calculator!$F$15,1)-0.5))),1)</f>
        <v>0.0346315789473684</v>
      </c>
      <c r="F548" s="219" t="n">
        <f aca="false">IF(Calculator!$E$16="YES",IF(A548&lt;Calculator!$G$16,0,MIN(MIN(MOD(A548/Calculator!$F$16,1),1-MOD(A548/Calculator!$F$16,1)),ABS(MOD(A548/Calculator!$F$16,1)-0.5))),1)</f>
        <v>1</v>
      </c>
      <c r="G548" s="219" t="n">
        <f aca="false">IF(Calculator!$E$17="YES",IF(A548&lt;Calculator!$G$17,0,MIN(MIN(MOD(A548/Calculator!$F$17,1),1-MOD(A548/Calculator!$F$17,1)),ABS(MOD(A548/Calculator!$F$17,1)-0.5))),1)</f>
        <v>0.121105263157894</v>
      </c>
      <c r="H548" s="219" t="n">
        <f aca="false">IF(Calculator!$E$18="YES",IF(A548&lt;Calculator!$G$18,0,MIN(MIN(MOD(A548/Calculator!$F$18,1),1-MOD(A548/Calculator!$F$18,1)),ABS(MOD(A548/Calculator!$F$18,1)-0.5))),1)</f>
        <v>1</v>
      </c>
      <c r="I548" s="219" t="n">
        <f aca="false">IF(Calculator!$E$19="YES",IF(A548&lt;Calculator!$G$19,0,MIN(MIN(MOD(A548/Calculator!$F$19,1),1-MOD(A548/Calculator!$F$19,1)),ABS(MOD(A548/Calculator!$F$19,1)-0.5))),1)</f>
        <v>1</v>
      </c>
      <c r="J548" s="219" t="n">
        <f aca="false">IF(Calculator!$E$20="YES",IF(A548&lt;Calculator!$G$20,0,MIN(MIN(MOD(A548/Calculator!$F$20,1),1-MOD(A548/Calculator!$F$20,1)),ABS(MOD(A548/Calculator!$F$20,1)-0.5))),1)</f>
        <v>1</v>
      </c>
      <c r="K548" s="219" t="n">
        <f aca="false">IF(Calculator!$E$21="YES",IF(A548&lt;Calculator!$G$21,0,MIN(MIN(MOD(A548/Calculator!$F$21,1),1-MOD(A548/Calculator!$F$21,1)),ABS(MOD(A548/Calculator!$F$21,1)-0.5))),1)</f>
        <v>0.0348421052631576</v>
      </c>
      <c r="L548" s="219" t="n">
        <f aca="false">IF(Calculator!$E$22="YES",IF(A548&lt;Calculator!$G$22,0,MIN(MIN(MOD(A548/Calculator!$F$22,1),1-MOD(A548/Calculator!$F$22,1)),ABS(MOD(A548/Calculator!$F$22,1)-0.5))),1)</f>
        <v>1</v>
      </c>
      <c r="M548" s="219" t="n">
        <f aca="false">MIN(B548:L548)</f>
        <v>0.0346315789473684</v>
      </c>
      <c r="N548" s="219" t="n">
        <f aca="false">SUMPRODUCT(($M$7:$M$557&gt;M548)*1)+SUMPRODUCT(($M$7:$M$557=M548)*(ROW($M$7:$M$557)&lt;ROW(M548)))+1</f>
        <v>346</v>
      </c>
      <c r="O548" s="219" t="str">
        <f aca="false">IF(M548&gt;=0.2,"★★★ EXCELLENT",IF(M548&gt;=0.12,"★★  GOOD",IF(M548&gt;=0.07,"★  FAIR",IF(M548&gt;=0.025,"⚠  MARGINAL","✗  AVOID"))))</f>
        <v>⚠  MARGINAL</v>
      </c>
    </row>
    <row r="549" customFormat="false" ht="15" hidden="false" customHeight="true" outlineLevel="0" collapsed="false">
      <c r="A549" s="216" t="n">
        <v>59.2</v>
      </c>
      <c r="B549" s="217" t="n">
        <f aca="false">IF(Calculator!$E$12="YES",IF(A549&lt;Calculator!$G$12,0,MIN(MIN(MOD(A549/Calculator!$F$12,1),1-MOD(A549/Calculator!$F$12,1)),ABS(MOD(A549/Calculator!$F$12,1)-0.5))),1)</f>
        <v>1</v>
      </c>
      <c r="C549" s="217" t="n">
        <f aca="false">IF(Calculator!$E$13="YES",IF(A549&lt;Calculator!$G$13,0,MIN(MIN(MOD(A549/Calculator!$F$13,1),1-MOD(A549/Calculator!$F$13,1)),ABS(MOD(A549/Calculator!$F$13,1)-0.5))),1)</f>
        <v>1</v>
      </c>
      <c r="D549" s="217" t="n">
        <f aca="false">IF(Calculator!$E$14="YES",IF(A549&lt;Calculator!$G$14,0,MIN(MIN(MOD(A549/Calculator!$F$14,1),1-MOD(A549/Calculator!$F$14,1)),ABS(MOD(A549/Calculator!$F$14,1)-0.5))),1)</f>
        <v>1</v>
      </c>
      <c r="E549" s="217" t="n">
        <f aca="false">IF(Calculator!$E$15="YES",IF(A549&lt;Calculator!$G$15,0,MIN(MIN(MOD(A549/Calculator!$F$15,1),1-MOD(A549/Calculator!$F$15,1)),ABS(MOD(A549/Calculator!$F$15,1)-0.5))),1)</f>
        <v>0.029614035087719</v>
      </c>
      <c r="F549" s="217" t="n">
        <f aca="false">IF(Calculator!$E$16="YES",IF(A549&lt;Calculator!$G$16,0,MIN(MIN(MOD(A549/Calculator!$F$16,1),1-MOD(A549/Calculator!$F$16,1)),ABS(MOD(A549/Calculator!$F$16,1)-0.5))),1)</f>
        <v>1</v>
      </c>
      <c r="G549" s="217" t="n">
        <f aca="false">IF(Calculator!$E$17="YES",IF(A549&lt;Calculator!$G$17,0,MIN(MIN(MOD(A549/Calculator!$F$17,1),1-MOD(A549/Calculator!$F$17,1)),ABS(MOD(A549/Calculator!$F$17,1)-0.5))),1)</f>
        <v>0.111157894736841</v>
      </c>
      <c r="H549" s="217" t="n">
        <f aca="false">IF(Calculator!$E$18="YES",IF(A549&lt;Calculator!$G$18,0,MIN(MIN(MOD(A549/Calculator!$F$18,1),1-MOD(A549/Calculator!$F$18,1)),ABS(MOD(A549/Calculator!$F$18,1)-0.5))),1)</f>
        <v>1</v>
      </c>
      <c r="I549" s="217" t="n">
        <f aca="false">IF(Calculator!$E$19="YES",IF(A549&lt;Calculator!$G$19,0,MIN(MIN(MOD(A549/Calculator!$F$19,1),1-MOD(A549/Calculator!$F$19,1)),ABS(MOD(A549/Calculator!$F$19,1)-0.5))),1)</f>
        <v>1</v>
      </c>
      <c r="J549" s="217" t="n">
        <f aca="false">IF(Calculator!$E$20="YES",IF(A549&lt;Calculator!$G$20,0,MIN(MIN(MOD(A549/Calculator!$F$20,1),1-MOD(A549/Calculator!$F$20,1)),ABS(MOD(A549/Calculator!$F$20,1)-0.5))),1)</f>
        <v>1</v>
      </c>
      <c r="K549" s="217" t="n">
        <f aca="false">IF(Calculator!$E$21="YES",IF(A549&lt;Calculator!$G$21,0,MIN(MIN(MOD(A549/Calculator!$F$21,1),1-MOD(A549/Calculator!$F$21,1)),ABS(MOD(A549/Calculator!$F$21,1)-0.5))),1)</f>
        <v>0.0145964912280689</v>
      </c>
      <c r="L549" s="217" t="n">
        <f aca="false">IF(Calculator!$E$22="YES",IF(A549&lt;Calculator!$G$22,0,MIN(MIN(MOD(A549/Calculator!$F$22,1),1-MOD(A549/Calculator!$F$22,1)),ABS(MOD(A549/Calculator!$F$22,1)-0.5))),1)</f>
        <v>1</v>
      </c>
      <c r="M549" s="217" t="n">
        <f aca="false">MIN(B549:L549)</f>
        <v>0.0145964912280689</v>
      </c>
      <c r="N549" s="217" t="n">
        <f aca="false">SUMPRODUCT(($M$7:$M$557&gt;M549)*1)+SUMPRODUCT(($M$7:$M$557=M549)*(ROW($M$7:$M$557)&lt;ROW(M549)))+1</f>
        <v>422</v>
      </c>
      <c r="O549" s="217" t="str">
        <f aca="false">IF(M549&gt;=0.2,"★★★ EXCELLENT",IF(M549&gt;=0.12,"★★  GOOD",IF(M549&gt;=0.07,"★  FAIR",IF(M549&gt;=0.025,"⚠  MARGINAL","✗  AVOID"))))</f>
        <v>✗  AVOID</v>
      </c>
    </row>
    <row r="550" customFormat="false" ht="15" hidden="false" customHeight="true" outlineLevel="0" collapsed="false">
      <c r="A550" s="218" t="n">
        <v>59.3</v>
      </c>
      <c r="B550" s="219" t="n">
        <f aca="false">IF(Calculator!$E$12="YES",IF(A550&lt;Calculator!$G$12,0,MIN(MIN(MOD(A550/Calculator!$F$12,1),1-MOD(A550/Calculator!$F$12,1)),ABS(MOD(A550/Calculator!$F$12,1)-0.5))),1)</f>
        <v>1</v>
      </c>
      <c r="C550" s="219" t="n">
        <f aca="false">IF(Calculator!$E$13="YES",IF(A550&lt;Calculator!$G$13,0,MIN(MIN(MOD(A550/Calculator!$F$13,1),1-MOD(A550/Calculator!$F$13,1)),ABS(MOD(A550/Calculator!$F$13,1)-0.5))),1)</f>
        <v>1</v>
      </c>
      <c r="D550" s="219" t="n">
        <f aca="false">IF(Calculator!$E$14="YES",IF(A550&lt;Calculator!$G$14,0,MIN(MIN(MOD(A550/Calculator!$F$14,1),1-MOD(A550/Calculator!$F$14,1)),ABS(MOD(A550/Calculator!$F$14,1)-0.5))),1)</f>
        <v>1</v>
      </c>
      <c r="E550" s="219" t="n">
        <f aca="false">IF(Calculator!$E$15="YES",IF(A550&lt;Calculator!$G$15,0,MIN(MIN(MOD(A550/Calculator!$F$15,1),1-MOD(A550/Calculator!$F$15,1)),ABS(MOD(A550/Calculator!$F$15,1)-0.5))),1)</f>
        <v>0.0245964912280705</v>
      </c>
      <c r="F550" s="219" t="n">
        <f aca="false">IF(Calculator!$E$16="YES",IF(A550&lt;Calculator!$G$16,0,MIN(MIN(MOD(A550/Calculator!$F$16,1),1-MOD(A550/Calculator!$F$16,1)),ABS(MOD(A550/Calculator!$F$16,1)-0.5))),1)</f>
        <v>1</v>
      </c>
      <c r="G550" s="219" t="n">
        <f aca="false">IF(Calculator!$E$17="YES",IF(A550&lt;Calculator!$G$17,0,MIN(MIN(MOD(A550/Calculator!$F$17,1),1-MOD(A550/Calculator!$F$17,1)),ABS(MOD(A550/Calculator!$F$17,1)-0.5))),1)</f>
        <v>0.101210526315789</v>
      </c>
      <c r="H550" s="219" t="n">
        <f aca="false">IF(Calculator!$E$18="YES",IF(A550&lt;Calculator!$G$18,0,MIN(MIN(MOD(A550/Calculator!$F$18,1),1-MOD(A550/Calculator!$F$18,1)),ABS(MOD(A550/Calculator!$F$18,1)-0.5))),1)</f>
        <v>1</v>
      </c>
      <c r="I550" s="219" t="n">
        <f aca="false">IF(Calculator!$E$19="YES",IF(A550&lt;Calculator!$G$19,0,MIN(MIN(MOD(A550/Calculator!$F$19,1),1-MOD(A550/Calculator!$F$19,1)),ABS(MOD(A550/Calculator!$F$19,1)-0.5))),1)</f>
        <v>1</v>
      </c>
      <c r="J550" s="219" t="n">
        <f aca="false">IF(Calculator!$E$20="YES",IF(A550&lt;Calculator!$G$20,0,MIN(MIN(MOD(A550/Calculator!$F$20,1),1-MOD(A550/Calculator!$F$20,1)),ABS(MOD(A550/Calculator!$F$20,1)-0.5))),1)</f>
        <v>1</v>
      </c>
      <c r="K550" s="219" t="n">
        <f aca="false">IF(Calculator!$E$21="YES",IF(A550&lt;Calculator!$G$21,0,MIN(MIN(MOD(A550/Calculator!$F$21,1),1-MOD(A550/Calculator!$F$21,1)),ABS(MOD(A550/Calculator!$F$21,1)-0.5))),1)</f>
        <v>0.00564912280701613</v>
      </c>
      <c r="L550" s="219" t="n">
        <f aca="false">IF(Calculator!$E$22="YES",IF(A550&lt;Calculator!$G$22,0,MIN(MIN(MOD(A550/Calculator!$F$22,1),1-MOD(A550/Calculator!$F$22,1)),ABS(MOD(A550/Calculator!$F$22,1)-0.5))),1)</f>
        <v>1</v>
      </c>
      <c r="M550" s="219" t="n">
        <f aca="false">MIN(B550:L550)</f>
        <v>0.00564912280701613</v>
      </c>
      <c r="N550" s="219" t="n">
        <f aca="false">SUMPRODUCT(($M$7:$M$557&gt;M550)*1)+SUMPRODUCT(($M$7:$M$557=M550)*(ROW($M$7:$M$557)&lt;ROW(M550)))+1</f>
        <v>467</v>
      </c>
      <c r="O550" s="219" t="str">
        <f aca="false">IF(M550&gt;=0.2,"★★★ EXCELLENT",IF(M550&gt;=0.12,"★★  GOOD",IF(M550&gt;=0.07,"★  FAIR",IF(M550&gt;=0.025,"⚠  MARGINAL","✗  AVOID"))))</f>
        <v>✗  AVOID</v>
      </c>
    </row>
    <row r="551" customFormat="false" ht="15" hidden="false" customHeight="true" outlineLevel="0" collapsed="false">
      <c r="A551" s="216" t="n">
        <v>59.4</v>
      </c>
      <c r="B551" s="217" t="n">
        <f aca="false">IF(Calculator!$E$12="YES",IF(A551&lt;Calculator!$G$12,0,MIN(MIN(MOD(A551/Calculator!$F$12,1),1-MOD(A551/Calculator!$F$12,1)),ABS(MOD(A551/Calculator!$F$12,1)-0.5))),1)</f>
        <v>1</v>
      </c>
      <c r="C551" s="217" t="n">
        <f aca="false">IF(Calculator!$E$13="YES",IF(A551&lt;Calculator!$G$13,0,MIN(MIN(MOD(A551/Calculator!$F$13,1),1-MOD(A551/Calculator!$F$13,1)),ABS(MOD(A551/Calculator!$F$13,1)-0.5))),1)</f>
        <v>1</v>
      </c>
      <c r="D551" s="217" t="n">
        <f aca="false">IF(Calculator!$E$14="YES",IF(A551&lt;Calculator!$G$14,0,MIN(MIN(MOD(A551/Calculator!$F$14,1),1-MOD(A551/Calculator!$F$14,1)),ABS(MOD(A551/Calculator!$F$14,1)-0.5))),1)</f>
        <v>1</v>
      </c>
      <c r="E551" s="217" t="n">
        <f aca="false">IF(Calculator!$E$15="YES",IF(A551&lt;Calculator!$G$15,0,MIN(MIN(MOD(A551/Calculator!$F$15,1),1-MOD(A551/Calculator!$F$15,1)),ABS(MOD(A551/Calculator!$F$15,1)-0.5))),1)</f>
        <v>0.0195789473684211</v>
      </c>
      <c r="F551" s="217" t="n">
        <f aca="false">IF(Calculator!$E$16="YES",IF(A551&lt;Calculator!$G$16,0,MIN(MIN(MOD(A551/Calculator!$F$16,1),1-MOD(A551/Calculator!$F$16,1)),ABS(MOD(A551/Calculator!$F$16,1)-0.5))),1)</f>
        <v>1</v>
      </c>
      <c r="G551" s="217" t="n">
        <f aca="false">IF(Calculator!$E$17="YES",IF(A551&lt;Calculator!$G$17,0,MIN(MIN(MOD(A551/Calculator!$F$17,1),1-MOD(A551/Calculator!$F$17,1)),ABS(MOD(A551/Calculator!$F$17,1)-0.5))),1)</f>
        <v>0.0912631578947369</v>
      </c>
      <c r="H551" s="217" t="n">
        <f aca="false">IF(Calculator!$E$18="YES",IF(A551&lt;Calculator!$G$18,0,MIN(MIN(MOD(A551/Calculator!$F$18,1),1-MOD(A551/Calculator!$F$18,1)),ABS(MOD(A551/Calculator!$F$18,1)-0.5))),1)</f>
        <v>1</v>
      </c>
      <c r="I551" s="217" t="n">
        <f aca="false">IF(Calculator!$E$19="YES",IF(A551&lt;Calculator!$G$19,0,MIN(MIN(MOD(A551/Calculator!$F$19,1),1-MOD(A551/Calculator!$F$19,1)),ABS(MOD(A551/Calculator!$F$19,1)-0.5))),1)</f>
        <v>1</v>
      </c>
      <c r="J551" s="217" t="n">
        <f aca="false">IF(Calculator!$E$20="YES",IF(A551&lt;Calculator!$G$20,0,MIN(MIN(MOD(A551/Calculator!$F$20,1),1-MOD(A551/Calculator!$F$20,1)),ABS(MOD(A551/Calculator!$F$20,1)-0.5))),1)</f>
        <v>1</v>
      </c>
      <c r="K551" s="217" t="n">
        <f aca="false">IF(Calculator!$E$21="YES",IF(A551&lt;Calculator!$G$21,0,MIN(MIN(MOD(A551/Calculator!$F$21,1),1-MOD(A551/Calculator!$F$21,1)),ABS(MOD(A551/Calculator!$F$21,1)-0.5))),1)</f>
        <v>0.0258947368421048</v>
      </c>
      <c r="L551" s="217" t="n">
        <f aca="false">IF(Calculator!$E$22="YES",IF(A551&lt;Calculator!$G$22,0,MIN(MIN(MOD(A551/Calculator!$F$22,1),1-MOD(A551/Calculator!$F$22,1)),ABS(MOD(A551/Calculator!$F$22,1)-0.5))),1)</f>
        <v>1</v>
      </c>
      <c r="M551" s="217" t="n">
        <f aca="false">MIN(B551:L551)</f>
        <v>0.0195789473684211</v>
      </c>
      <c r="N551" s="217" t="n">
        <f aca="false">SUMPRODUCT(($M$7:$M$557&gt;M551)*1)+SUMPRODUCT(($M$7:$M$557=M551)*(ROW($M$7:$M$557)&lt;ROW(M551)))+1</f>
        <v>404</v>
      </c>
      <c r="O551" s="217" t="str">
        <f aca="false">IF(M551&gt;=0.2,"★★★ EXCELLENT",IF(M551&gt;=0.12,"★★  GOOD",IF(M551&gt;=0.07,"★  FAIR",IF(M551&gt;=0.025,"⚠  MARGINAL","✗  AVOID"))))</f>
        <v>✗  AVOID</v>
      </c>
    </row>
    <row r="552" customFormat="false" ht="15" hidden="false" customHeight="true" outlineLevel="0" collapsed="false">
      <c r="A552" s="218" t="n">
        <v>59.5</v>
      </c>
      <c r="B552" s="219" t="n">
        <f aca="false">IF(Calculator!$E$12="YES",IF(A552&lt;Calculator!$G$12,0,MIN(MIN(MOD(A552/Calculator!$F$12,1),1-MOD(A552/Calculator!$F$12,1)),ABS(MOD(A552/Calculator!$F$12,1)-0.5))),1)</f>
        <v>1</v>
      </c>
      <c r="C552" s="219" t="n">
        <f aca="false">IF(Calculator!$E$13="YES",IF(A552&lt;Calculator!$G$13,0,MIN(MIN(MOD(A552/Calculator!$F$13,1),1-MOD(A552/Calculator!$F$13,1)),ABS(MOD(A552/Calculator!$F$13,1)-0.5))),1)</f>
        <v>1</v>
      </c>
      <c r="D552" s="219" t="n">
        <f aca="false">IF(Calculator!$E$14="YES",IF(A552&lt;Calculator!$G$14,0,MIN(MIN(MOD(A552/Calculator!$F$14,1),1-MOD(A552/Calculator!$F$14,1)),ABS(MOD(A552/Calculator!$F$14,1)-0.5))),1)</f>
        <v>1</v>
      </c>
      <c r="E552" s="219" t="n">
        <f aca="false">IF(Calculator!$E$15="YES",IF(A552&lt;Calculator!$G$15,0,MIN(MIN(MOD(A552/Calculator!$F$15,1),1-MOD(A552/Calculator!$F$15,1)),ABS(MOD(A552/Calculator!$F$15,1)-0.5))),1)</f>
        <v>0.0145614035087718</v>
      </c>
      <c r="F552" s="219" t="n">
        <f aca="false">IF(Calculator!$E$16="YES",IF(A552&lt;Calculator!$G$16,0,MIN(MIN(MOD(A552/Calculator!$F$16,1),1-MOD(A552/Calculator!$F$16,1)),ABS(MOD(A552/Calculator!$F$16,1)-0.5))),1)</f>
        <v>1</v>
      </c>
      <c r="G552" s="219" t="n">
        <f aca="false">IF(Calculator!$E$17="YES",IF(A552&lt;Calculator!$G$17,0,MIN(MIN(MOD(A552/Calculator!$F$17,1),1-MOD(A552/Calculator!$F$17,1)),ABS(MOD(A552/Calculator!$F$17,1)-0.5))),1)</f>
        <v>0.0813157894736838</v>
      </c>
      <c r="H552" s="219" t="n">
        <f aca="false">IF(Calculator!$E$18="YES",IF(A552&lt;Calculator!$G$18,0,MIN(MIN(MOD(A552/Calculator!$F$18,1),1-MOD(A552/Calculator!$F$18,1)),ABS(MOD(A552/Calculator!$F$18,1)-0.5))),1)</f>
        <v>1</v>
      </c>
      <c r="I552" s="219" t="n">
        <f aca="false">IF(Calculator!$E$19="YES",IF(A552&lt;Calculator!$G$19,0,MIN(MIN(MOD(A552/Calculator!$F$19,1),1-MOD(A552/Calculator!$F$19,1)),ABS(MOD(A552/Calculator!$F$19,1)-0.5))),1)</f>
        <v>1</v>
      </c>
      <c r="J552" s="219" t="n">
        <f aca="false">IF(Calculator!$E$20="YES",IF(A552&lt;Calculator!$G$20,0,MIN(MIN(MOD(A552/Calculator!$F$20,1),1-MOD(A552/Calculator!$F$20,1)),ABS(MOD(A552/Calculator!$F$20,1)-0.5))),1)</f>
        <v>1</v>
      </c>
      <c r="K552" s="219" t="n">
        <f aca="false">IF(Calculator!$E$21="YES",IF(A552&lt;Calculator!$G$21,0,MIN(MIN(MOD(A552/Calculator!$F$21,1),1-MOD(A552/Calculator!$F$21,1)),ABS(MOD(A552/Calculator!$F$21,1)-0.5))),1)</f>
        <v>0.0461403508771934</v>
      </c>
      <c r="L552" s="219" t="n">
        <f aca="false">IF(Calculator!$E$22="YES",IF(A552&lt;Calculator!$G$22,0,MIN(MIN(MOD(A552/Calculator!$F$22,1),1-MOD(A552/Calculator!$F$22,1)),ABS(MOD(A552/Calculator!$F$22,1)-0.5))),1)</f>
        <v>1</v>
      </c>
      <c r="M552" s="219" t="n">
        <f aca="false">MIN(B552:L552)</f>
        <v>0.0145614035087718</v>
      </c>
      <c r="N552" s="219" t="n">
        <f aca="false">SUMPRODUCT(($M$7:$M$557&gt;M552)*1)+SUMPRODUCT(($M$7:$M$557=M552)*(ROW($M$7:$M$557)&lt;ROW(M552)))+1</f>
        <v>423</v>
      </c>
      <c r="O552" s="219" t="str">
        <f aca="false">IF(M552&gt;=0.2,"★★★ EXCELLENT",IF(M552&gt;=0.12,"★★  GOOD",IF(M552&gt;=0.07,"★  FAIR",IF(M552&gt;=0.025,"⚠  MARGINAL","✗  AVOID"))))</f>
        <v>✗  AVOID</v>
      </c>
    </row>
    <row r="553" customFormat="false" ht="15" hidden="false" customHeight="true" outlineLevel="0" collapsed="false">
      <c r="A553" s="216" t="n">
        <v>59.6</v>
      </c>
      <c r="B553" s="217" t="n">
        <f aca="false">IF(Calculator!$E$12="YES",IF(A553&lt;Calculator!$G$12,0,MIN(MIN(MOD(A553/Calculator!$F$12,1),1-MOD(A553/Calculator!$F$12,1)),ABS(MOD(A553/Calculator!$F$12,1)-0.5))),1)</f>
        <v>1</v>
      </c>
      <c r="C553" s="217" t="n">
        <f aca="false">IF(Calculator!$E$13="YES",IF(A553&lt;Calculator!$G$13,0,MIN(MIN(MOD(A553/Calculator!$F$13,1),1-MOD(A553/Calculator!$F$13,1)),ABS(MOD(A553/Calculator!$F$13,1)-0.5))),1)</f>
        <v>1</v>
      </c>
      <c r="D553" s="217" t="n">
        <f aca="false">IF(Calculator!$E$14="YES",IF(A553&lt;Calculator!$G$14,0,MIN(MIN(MOD(A553/Calculator!$F$14,1),1-MOD(A553/Calculator!$F$14,1)),ABS(MOD(A553/Calculator!$F$14,1)-0.5))),1)</f>
        <v>1</v>
      </c>
      <c r="E553" s="217" t="n">
        <f aca="false">IF(Calculator!$E$15="YES",IF(A553&lt;Calculator!$G$15,0,MIN(MIN(MOD(A553/Calculator!$F$15,1),1-MOD(A553/Calculator!$F$15,1)),ABS(MOD(A553/Calculator!$F$15,1)-0.5))),1)</f>
        <v>0.00954385964912285</v>
      </c>
      <c r="F553" s="217" t="n">
        <f aca="false">IF(Calculator!$E$16="YES",IF(A553&lt;Calculator!$G$16,0,MIN(MIN(MOD(A553/Calculator!$F$16,1),1-MOD(A553/Calculator!$F$16,1)),ABS(MOD(A553/Calculator!$F$16,1)-0.5))),1)</f>
        <v>1</v>
      </c>
      <c r="G553" s="217" t="n">
        <f aca="false">IF(Calculator!$E$17="YES",IF(A553&lt;Calculator!$G$17,0,MIN(MIN(MOD(A553/Calculator!$F$17,1),1-MOD(A553/Calculator!$F$17,1)),ABS(MOD(A553/Calculator!$F$17,1)-0.5))),1)</f>
        <v>0.0713684210526306</v>
      </c>
      <c r="H553" s="217" t="n">
        <f aca="false">IF(Calculator!$E$18="YES",IF(A553&lt;Calculator!$G$18,0,MIN(MIN(MOD(A553/Calculator!$F$18,1),1-MOD(A553/Calculator!$F$18,1)),ABS(MOD(A553/Calculator!$F$18,1)-0.5))),1)</f>
        <v>1</v>
      </c>
      <c r="I553" s="217" t="n">
        <f aca="false">IF(Calculator!$E$19="YES",IF(A553&lt;Calculator!$G$19,0,MIN(MIN(MOD(A553/Calculator!$F$19,1),1-MOD(A553/Calculator!$F$19,1)),ABS(MOD(A553/Calculator!$F$19,1)-0.5))),1)</f>
        <v>1</v>
      </c>
      <c r="J553" s="217" t="n">
        <f aca="false">IF(Calculator!$E$20="YES",IF(A553&lt;Calculator!$G$20,0,MIN(MIN(MOD(A553/Calculator!$F$20,1),1-MOD(A553/Calculator!$F$20,1)),ABS(MOD(A553/Calculator!$F$20,1)-0.5))),1)</f>
        <v>1</v>
      </c>
      <c r="K553" s="217" t="n">
        <f aca="false">IF(Calculator!$E$21="YES",IF(A553&lt;Calculator!$G$21,0,MIN(MIN(MOD(A553/Calculator!$F$21,1),1-MOD(A553/Calculator!$F$21,1)),ABS(MOD(A553/Calculator!$F$21,1)-0.5))),1)</f>
        <v>0.0663859649122802</v>
      </c>
      <c r="L553" s="217" t="n">
        <f aca="false">IF(Calculator!$E$22="YES",IF(A553&lt;Calculator!$G$22,0,MIN(MIN(MOD(A553/Calculator!$F$22,1),1-MOD(A553/Calculator!$F$22,1)),ABS(MOD(A553/Calculator!$F$22,1)-0.5))),1)</f>
        <v>1</v>
      </c>
      <c r="M553" s="217" t="n">
        <f aca="false">MIN(B553:L553)</f>
        <v>0.00954385964912285</v>
      </c>
      <c r="N553" s="217" t="n">
        <f aca="false">SUMPRODUCT(($M$7:$M$557&gt;M553)*1)+SUMPRODUCT(($M$7:$M$557=M553)*(ROW($M$7:$M$557)&lt;ROW(M553)))+1</f>
        <v>446</v>
      </c>
      <c r="O553" s="217" t="str">
        <f aca="false">IF(M553&gt;=0.2,"★★★ EXCELLENT",IF(M553&gt;=0.12,"★★  GOOD",IF(M553&gt;=0.07,"★  FAIR",IF(M553&gt;=0.025,"⚠  MARGINAL","✗  AVOID"))))</f>
        <v>✗  AVOID</v>
      </c>
    </row>
    <row r="554" customFormat="false" ht="15" hidden="false" customHeight="true" outlineLevel="0" collapsed="false">
      <c r="A554" s="218" t="n">
        <v>59.7</v>
      </c>
      <c r="B554" s="219" t="n">
        <f aca="false">IF(Calculator!$E$12="YES",IF(A554&lt;Calculator!$G$12,0,MIN(MIN(MOD(A554/Calculator!$F$12,1),1-MOD(A554/Calculator!$F$12,1)),ABS(MOD(A554/Calculator!$F$12,1)-0.5))),1)</f>
        <v>1</v>
      </c>
      <c r="C554" s="219" t="n">
        <f aca="false">IF(Calculator!$E$13="YES",IF(A554&lt;Calculator!$G$13,0,MIN(MIN(MOD(A554/Calculator!$F$13,1),1-MOD(A554/Calculator!$F$13,1)),ABS(MOD(A554/Calculator!$F$13,1)-0.5))),1)</f>
        <v>1</v>
      </c>
      <c r="D554" s="219" t="n">
        <f aca="false">IF(Calculator!$E$14="YES",IF(A554&lt;Calculator!$G$14,0,MIN(MIN(MOD(A554/Calculator!$F$14,1),1-MOD(A554/Calculator!$F$14,1)),ABS(MOD(A554/Calculator!$F$14,1)-0.5))),1)</f>
        <v>1</v>
      </c>
      <c r="E554" s="219" t="n">
        <f aca="false">IF(Calculator!$E$15="YES",IF(A554&lt;Calculator!$G$15,0,MIN(MIN(MOD(A554/Calculator!$F$15,1),1-MOD(A554/Calculator!$F$15,1)),ABS(MOD(A554/Calculator!$F$15,1)-0.5))),1)</f>
        <v>0.00452631578947349</v>
      </c>
      <c r="F554" s="219" t="n">
        <f aca="false">IF(Calculator!$E$16="YES",IF(A554&lt;Calculator!$G$16,0,MIN(MIN(MOD(A554/Calculator!$F$16,1),1-MOD(A554/Calculator!$F$16,1)),ABS(MOD(A554/Calculator!$F$16,1)-0.5))),1)</f>
        <v>1</v>
      </c>
      <c r="G554" s="219" t="n">
        <f aca="false">IF(Calculator!$E$17="YES",IF(A554&lt;Calculator!$G$17,0,MIN(MIN(MOD(A554/Calculator!$F$17,1),1-MOD(A554/Calculator!$F$17,1)),ABS(MOD(A554/Calculator!$F$17,1)-0.5))),1)</f>
        <v>0.0614210526315784</v>
      </c>
      <c r="H554" s="219" t="n">
        <f aca="false">IF(Calculator!$E$18="YES",IF(A554&lt;Calculator!$G$18,0,MIN(MIN(MOD(A554/Calculator!$F$18,1),1-MOD(A554/Calculator!$F$18,1)),ABS(MOD(A554/Calculator!$F$18,1)-0.5))),1)</f>
        <v>1</v>
      </c>
      <c r="I554" s="219" t="n">
        <f aca="false">IF(Calculator!$E$19="YES",IF(A554&lt;Calculator!$G$19,0,MIN(MIN(MOD(A554/Calculator!$F$19,1),1-MOD(A554/Calculator!$F$19,1)),ABS(MOD(A554/Calculator!$F$19,1)-0.5))),1)</f>
        <v>1</v>
      </c>
      <c r="J554" s="219" t="n">
        <f aca="false">IF(Calculator!$E$20="YES",IF(A554&lt;Calculator!$G$20,0,MIN(MIN(MOD(A554/Calculator!$F$20,1),1-MOD(A554/Calculator!$F$20,1)),ABS(MOD(A554/Calculator!$F$20,1)-0.5))),1)</f>
        <v>1</v>
      </c>
      <c r="K554" s="219" t="n">
        <f aca="false">IF(Calculator!$E$21="YES",IF(A554&lt;Calculator!$G$21,0,MIN(MIN(MOD(A554/Calculator!$F$21,1),1-MOD(A554/Calculator!$F$21,1)),ABS(MOD(A554/Calculator!$F$21,1)-0.5))),1)</f>
        <v>0.0866315789473688</v>
      </c>
      <c r="L554" s="219" t="n">
        <f aca="false">IF(Calculator!$E$22="YES",IF(A554&lt;Calculator!$G$22,0,MIN(MIN(MOD(A554/Calculator!$F$22,1),1-MOD(A554/Calculator!$F$22,1)),ABS(MOD(A554/Calculator!$F$22,1)-0.5))),1)</f>
        <v>1</v>
      </c>
      <c r="M554" s="219" t="n">
        <f aca="false">MIN(B554:L554)</f>
        <v>0.00452631578947349</v>
      </c>
      <c r="N554" s="219" t="n">
        <f aca="false">SUMPRODUCT(($M$7:$M$557&gt;M554)*1)+SUMPRODUCT(($M$7:$M$557=M554)*(ROW($M$7:$M$557)&lt;ROW(M554)))+1</f>
        <v>475</v>
      </c>
      <c r="O554" s="219" t="str">
        <f aca="false">IF(M554&gt;=0.2,"★★★ EXCELLENT",IF(M554&gt;=0.12,"★★  GOOD",IF(M554&gt;=0.07,"★  FAIR",IF(M554&gt;=0.025,"⚠  MARGINAL","✗  AVOID"))))</f>
        <v>✗  AVOID</v>
      </c>
    </row>
    <row r="555" customFormat="false" ht="15" hidden="false" customHeight="true" outlineLevel="0" collapsed="false">
      <c r="A555" s="216" t="n">
        <v>59.8</v>
      </c>
      <c r="B555" s="217" t="n">
        <f aca="false">IF(Calculator!$E$12="YES",IF(A555&lt;Calculator!$G$12,0,MIN(MIN(MOD(A555/Calculator!$F$12,1),1-MOD(A555/Calculator!$F$12,1)),ABS(MOD(A555/Calculator!$F$12,1)-0.5))),1)</f>
        <v>1</v>
      </c>
      <c r="C555" s="217" t="n">
        <f aca="false">IF(Calculator!$E$13="YES",IF(A555&lt;Calculator!$G$13,0,MIN(MIN(MOD(A555/Calculator!$F$13,1),1-MOD(A555/Calculator!$F$13,1)),ABS(MOD(A555/Calculator!$F$13,1)-0.5))),1)</f>
        <v>1</v>
      </c>
      <c r="D555" s="217" t="n">
        <f aca="false">IF(Calculator!$E$14="YES",IF(A555&lt;Calculator!$G$14,0,MIN(MIN(MOD(A555/Calculator!$F$14,1),1-MOD(A555/Calculator!$F$14,1)),ABS(MOD(A555/Calculator!$F$14,1)-0.5))),1)</f>
        <v>1</v>
      </c>
      <c r="E555" s="217" t="n">
        <f aca="false">IF(Calculator!$E$15="YES",IF(A555&lt;Calculator!$G$15,0,MIN(MIN(MOD(A555/Calculator!$F$15,1),1-MOD(A555/Calculator!$F$15,1)),ABS(MOD(A555/Calculator!$F$15,1)-0.5))),1)</f>
        <v>0.000491228070175431</v>
      </c>
      <c r="F555" s="217" t="n">
        <f aca="false">IF(Calculator!$E$16="YES",IF(A555&lt;Calculator!$G$16,0,MIN(MIN(MOD(A555/Calculator!$F$16,1),1-MOD(A555/Calculator!$F$16,1)),ABS(MOD(A555/Calculator!$F$16,1)-0.5))),1)</f>
        <v>1</v>
      </c>
      <c r="G555" s="217" t="n">
        <f aca="false">IF(Calculator!$E$17="YES",IF(A555&lt;Calculator!$G$17,0,MIN(MIN(MOD(A555/Calculator!$F$17,1),1-MOD(A555/Calculator!$F$17,1)),ABS(MOD(A555/Calculator!$F$17,1)-0.5))),1)</f>
        <v>0.0514736842105261</v>
      </c>
      <c r="H555" s="217" t="n">
        <f aca="false">IF(Calculator!$E$18="YES",IF(A555&lt;Calculator!$G$18,0,MIN(MIN(MOD(A555/Calculator!$F$18,1),1-MOD(A555/Calculator!$F$18,1)),ABS(MOD(A555/Calculator!$F$18,1)-0.5))),1)</f>
        <v>1</v>
      </c>
      <c r="I555" s="217" t="n">
        <f aca="false">IF(Calculator!$E$19="YES",IF(A555&lt;Calculator!$G$19,0,MIN(MIN(MOD(A555/Calculator!$F$19,1),1-MOD(A555/Calculator!$F$19,1)),ABS(MOD(A555/Calculator!$F$19,1)-0.5))),1)</f>
        <v>1</v>
      </c>
      <c r="J555" s="217" t="n">
        <f aca="false">IF(Calculator!$E$20="YES",IF(A555&lt;Calculator!$G$20,0,MIN(MIN(MOD(A555/Calculator!$F$20,1),1-MOD(A555/Calculator!$F$20,1)),ABS(MOD(A555/Calculator!$F$20,1)-0.5))),1)</f>
        <v>1</v>
      </c>
      <c r="K555" s="217" t="n">
        <f aca="false">IF(Calculator!$E$21="YES",IF(A555&lt;Calculator!$G$21,0,MIN(MIN(MOD(A555/Calculator!$F$21,1),1-MOD(A555/Calculator!$F$21,1)),ABS(MOD(A555/Calculator!$F$21,1)-0.5))),1)</f>
        <v>0.106877192982456</v>
      </c>
      <c r="L555" s="217" t="n">
        <f aca="false">IF(Calculator!$E$22="YES",IF(A555&lt;Calculator!$G$22,0,MIN(MIN(MOD(A555/Calculator!$F$22,1),1-MOD(A555/Calculator!$F$22,1)),ABS(MOD(A555/Calculator!$F$22,1)-0.5))),1)</f>
        <v>1</v>
      </c>
      <c r="M555" s="217" t="n">
        <f aca="false">MIN(B555:L555)</f>
        <v>0.000491228070175431</v>
      </c>
      <c r="N555" s="217" t="n">
        <f aca="false">SUMPRODUCT(($M$7:$M$557&gt;M555)*1)+SUMPRODUCT(($M$7:$M$557=M555)*(ROW($M$7:$M$557)&lt;ROW(M555)))+1</f>
        <v>500</v>
      </c>
      <c r="O555" s="217" t="str">
        <f aca="false">IF(M555&gt;=0.2,"★★★ EXCELLENT",IF(M555&gt;=0.12,"★★  GOOD",IF(M555&gt;=0.07,"★  FAIR",IF(M555&gt;=0.025,"⚠  MARGINAL","✗  AVOID"))))</f>
        <v>✗  AVOID</v>
      </c>
    </row>
    <row r="556" customFormat="false" ht="15" hidden="false" customHeight="true" outlineLevel="0" collapsed="false">
      <c r="A556" s="218" t="n">
        <v>59.9</v>
      </c>
      <c r="B556" s="219" t="n">
        <f aca="false">IF(Calculator!$E$12="YES",IF(A556&lt;Calculator!$G$12,0,MIN(MIN(MOD(A556/Calculator!$F$12,1),1-MOD(A556/Calculator!$F$12,1)),ABS(MOD(A556/Calculator!$F$12,1)-0.5))),1)</f>
        <v>1</v>
      </c>
      <c r="C556" s="219" t="n">
        <f aca="false">IF(Calculator!$E$13="YES",IF(A556&lt;Calculator!$G$13,0,MIN(MIN(MOD(A556/Calculator!$F$13,1),1-MOD(A556/Calculator!$F$13,1)),ABS(MOD(A556/Calculator!$F$13,1)-0.5))),1)</f>
        <v>1</v>
      </c>
      <c r="D556" s="219" t="n">
        <f aca="false">IF(Calculator!$E$14="YES",IF(A556&lt;Calculator!$G$14,0,MIN(MIN(MOD(A556/Calculator!$F$14,1),1-MOD(A556/Calculator!$F$14,1)),ABS(MOD(A556/Calculator!$F$14,1)-0.5))),1)</f>
        <v>1</v>
      </c>
      <c r="E556" s="219" t="n">
        <f aca="false">IF(Calculator!$E$15="YES",IF(A556&lt;Calculator!$G$15,0,MIN(MIN(MOD(A556/Calculator!$F$15,1),1-MOD(A556/Calculator!$F$15,1)),ABS(MOD(A556/Calculator!$F$15,1)-0.5))),1)</f>
        <v>0.00550877192982435</v>
      </c>
      <c r="F556" s="219" t="n">
        <f aca="false">IF(Calculator!$E$16="YES",IF(A556&lt;Calculator!$G$16,0,MIN(MIN(MOD(A556/Calculator!$F$16,1),1-MOD(A556/Calculator!$F$16,1)),ABS(MOD(A556/Calculator!$F$16,1)-0.5))),1)</f>
        <v>1</v>
      </c>
      <c r="G556" s="219" t="n">
        <f aca="false">IF(Calculator!$E$17="YES",IF(A556&lt;Calculator!$G$17,0,MIN(MIN(MOD(A556/Calculator!$F$17,1),1-MOD(A556/Calculator!$F$17,1)),ABS(MOD(A556/Calculator!$F$17,1)-0.5))),1)</f>
        <v>0.041526315789473</v>
      </c>
      <c r="H556" s="219" t="n">
        <f aca="false">IF(Calculator!$E$18="YES",IF(A556&lt;Calculator!$G$18,0,MIN(MIN(MOD(A556/Calculator!$F$18,1),1-MOD(A556/Calculator!$F$18,1)),ABS(MOD(A556/Calculator!$F$18,1)-0.5))),1)</f>
        <v>1</v>
      </c>
      <c r="I556" s="219" t="n">
        <f aca="false">IF(Calculator!$E$19="YES",IF(A556&lt;Calculator!$G$19,0,MIN(MIN(MOD(A556/Calculator!$F$19,1),1-MOD(A556/Calculator!$F$19,1)),ABS(MOD(A556/Calculator!$F$19,1)-0.5))),1)</f>
        <v>1</v>
      </c>
      <c r="J556" s="219" t="n">
        <f aca="false">IF(Calculator!$E$20="YES",IF(A556&lt;Calculator!$G$20,0,MIN(MIN(MOD(A556/Calculator!$F$20,1),1-MOD(A556/Calculator!$F$20,1)),ABS(MOD(A556/Calculator!$F$20,1)-0.5))),1)</f>
        <v>1</v>
      </c>
      <c r="K556" s="219" t="n">
        <f aca="false">IF(Calculator!$E$21="YES",IF(A556&lt;Calculator!$G$21,0,MIN(MIN(MOD(A556/Calculator!$F$21,1),1-MOD(A556/Calculator!$F$21,1)),ABS(MOD(A556/Calculator!$F$21,1)-0.5))),1)</f>
        <v>0.127122807017543</v>
      </c>
      <c r="L556" s="219" t="n">
        <f aca="false">IF(Calculator!$E$22="YES",IF(A556&lt;Calculator!$G$22,0,MIN(MIN(MOD(A556/Calculator!$F$22,1),1-MOD(A556/Calculator!$F$22,1)),ABS(MOD(A556/Calculator!$F$22,1)-0.5))),1)</f>
        <v>1</v>
      </c>
      <c r="M556" s="219" t="n">
        <f aca="false">MIN(B556:L556)</f>
        <v>0.00550877192982435</v>
      </c>
      <c r="N556" s="219" t="n">
        <f aca="false">SUMPRODUCT(($M$7:$M$557&gt;M556)*1)+SUMPRODUCT(($M$7:$M$557=M556)*(ROW($M$7:$M$557)&lt;ROW(M556)))+1</f>
        <v>468</v>
      </c>
      <c r="O556" s="219" t="str">
        <f aca="false">IF(M556&gt;=0.2,"★★★ EXCELLENT",IF(M556&gt;=0.12,"★★  GOOD",IF(M556&gt;=0.07,"★  FAIR",IF(M556&gt;=0.025,"⚠  MARGINAL","✗  AVOID"))))</f>
        <v>✗  AVOID</v>
      </c>
    </row>
    <row r="557" customFormat="false" ht="15" hidden="false" customHeight="true" outlineLevel="0" collapsed="false">
      <c r="A557" s="216" t="n">
        <v>60</v>
      </c>
      <c r="B557" s="217" t="n">
        <f aca="false">IF(Calculator!$E$12="YES",IF(A557&lt;Calculator!$G$12,0,MIN(MIN(MOD(A557/Calculator!$F$12,1),1-MOD(A557/Calculator!$F$12,1)),ABS(MOD(A557/Calculator!$F$12,1)-0.5))),1)</f>
        <v>1</v>
      </c>
      <c r="C557" s="217" t="n">
        <f aca="false">IF(Calculator!$E$13="YES",IF(A557&lt;Calculator!$G$13,0,MIN(MIN(MOD(A557/Calculator!$F$13,1),1-MOD(A557/Calculator!$F$13,1)),ABS(MOD(A557/Calculator!$F$13,1)-0.5))),1)</f>
        <v>1</v>
      </c>
      <c r="D557" s="217" t="n">
        <f aca="false">IF(Calculator!$E$14="YES",IF(A557&lt;Calculator!$G$14,0,MIN(MIN(MOD(A557/Calculator!$F$14,1),1-MOD(A557/Calculator!$F$14,1)),ABS(MOD(A557/Calculator!$F$14,1)-0.5))),1)</f>
        <v>1</v>
      </c>
      <c r="E557" s="217" t="n">
        <f aca="false">IF(Calculator!$E$15="YES",IF(A557&lt;Calculator!$G$15,0,MIN(MIN(MOD(A557/Calculator!$F$15,1),1-MOD(A557/Calculator!$F$15,1)),ABS(MOD(A557/Calculator!$F$15,1)-0.5))),1)</f>
        <v>0.0105263157894737</v>
      </c>
      <c r="F557" s="217" t="n">
        <f aca="false">IF(Calculator!$E$16="YES",IF(A557&lt;Calculator!$G$16,0,MIN(MIN(MOD(A557/Calculator!$F$16,1),1-MOD(A557/Calculator!$F$16,1)),ABS(MOD(A557/Calculator!$F$16,1)-0.5))),1)</f>
        <v>1</v>
      </c>
      <c r="G557" s="217" t="n">
        <f aca="false">IF(Calculator!$E$17="YES",IF(A557&lt;Calculator!$G$17,0,MIN(MIN(MOD(A557/Calculator!$F$17,1),1-MOD(A557/Calculator!$F$17,1)),ABS(MOD(A557/Calculator!$F$17,1)-0.5))),1)</f>
        <v>0.0315789473684207</v>
      </c>
      <c r="H557" s="217" t="n">
        <f aca="false">IF(Calculator!$E$18="YES",IF(A557&lt;Calculator!$G$18,0,MIN(MIN(MOD(A557/Calculator!$F$18,1),1-MOD(A557/Calculator!$F$18,1)),ABS(MOD(A557/Calculator!$F$18,1)-0.5))),1)</f>
        <v>1</v>
      </c>
      <c r="I557" s="217" t="n">
        <f aca="false">IF(Calculator!$E$19="YES",IF(A557&lt;Calculator!$G$19,0,MIN(MIN(MOD(A557/Calculator!$F$19,1),1-MOD(A557/Calculator!$F$19,1)),ABS(MOD(A557/Calculator!$F$19,1)-0.5))),1)</f>
        <v>1</v>
      </c>
      <c r="J557" s="217" t="n">
        <f aca="false">IF(Calculator!$E$20="YES",IF(A557&lt;Calculator!$G$20,0,MIN(MIN(MOD(A557/Calculator!$F$20,1),1-MOD(A557/Calculator!$F$20,1)),ABS(MOD(A557/Calculator!$F$20,1)-0.5))),1)</f>
        <v>1</v>
      </c>
      <c r="K557" s="217" t="n">
        <f aca="false">IF(Calculator!$E$21="YES",IF(A557&lt;Calculator!$G$21,0,MIN(MIN(MOD(A557/Calculator!$F$21,1),1-MOD(A557/Calculator!$F$21,1)),ABS(MOD(A557/Calculator!$F$21,1)-0.5))),1)</f>
        <v>0.147368421052631</v>
      </c>
      <c r="L557" s="217" t="n">
        <f aca="false">IF(Calculator!$E$22="YES",IF(A557&lt;Calculator!$G$22,0,MIN(MIN(MOD(A557/Calculator!$F$22,1),1-MOD(A557/Calculator!$F$22,1)),ABS(MOD(A557/Calculator!$F$22,1)-0.5))),1)</f>
        <v>1</v>
      </c>
      <c r="M557" s="217" t="n">
        <f aca="false">MIN(B557:L557)</f>
        <v>0.0105263157894737</v>
      </c>
      <c r="N557" s="217" t="n">
        <f aca="false">SUMPRODUCT(($M$7:$M$557&gt;M557)*1)+SUMPRODUCT(($M$7:$M$557=M557)*(ROW($M$7:$M$557)&lt;ROW(M557)))+1</f>
        <v>442</v>
      </c>
      <c r="O557" s="217" t="str">
        <f aca="false">IF(M557&gt;=0.2,"★★★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pane xSplit="3" ySplit="0" topLeftCell="D91" activePane="topRight" state="frozen"/>
      <selection pane="topLeft" activeCell="A91" activeCellId="0" sqref="A91"/>
      <selection pane="topRight" activeCell="A2" activeCellId="0" sqref="A2"/>
    </sheetView>
  </sheetViews>
  <sheetFormatPr defaultColWidth="13.21875" defaultRowHeight="15" customHeight="false" zeroHeight="false" outlineLevelRow="0" outlineLevelCol="0"/>
  <cols>
    <col collapsed="false" customWidth="false" hidden="false" outlineLevel="0" max="16384" min="1" style="74" width="13.22"/>
  </cols>
  <sheetData>
    <row r="1" customFormat="false" ht="15" hidden="false" customHeight="true" outlineLevel="0" collapsed="false">
      <c r="A1" s="220" t="s">
        <v>379</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220"/>
      <c r="AD1" s="220"/>
      <c r="AE1" s="220"/>
      <c r="AF1" s="220"/>
      <c r="AG1" s="220"/>
      <c r="AH1" s="220"/>
      <c r="AI1" s="220"/>
      <c r="AJ1" s="220"/>
      <c r="AK1" s="220"/>
      <c r="AL1" s="220"/>
      <c r="AM1" s="220"/>
      <c r="AN1" s="220"/>
      <c r="AO1" s="220"/>
      <c r="AP1" s="220"/>
      <c r="AQ1" s="220"/>
      <c r="AR1" s="220"/>
      <c r="AS1" s="220"/>
      <c r="AT1" s="220"/>
      <c r="AU1" s="220"/>
      <c r="AV1" s="220"/>
      <c r="AW1" s="220"/>
      <c r="AX1" s="220"/>
      <c r="AY1" s="220"/>
      <c r="AZ1" s="220"/>
      <c r="BA1" s="220"/>
      <c r="BB1" s="220"/>
      <c r="BC1" s="220"/>
      <c r="BD1" s="220"/>
      <c r="BE1" s="220"/>
      <c r="BF1" s="220"/>
      <c r="BG1" s="220"/>
      <c r="BH1" s="220"/>
      <c r="BI1" s="220"/>
      <c r="BJ1" s="220"/>
      <c r="BK1" s="220"/>
    </row>
    <row r="2" customFormat="false" ht="15" hidden="false" customHeight="true" outlineLevel="0" collapsed="false">
      <c r="A2" s="3" t="s">
        <v>1</v>
      </c>
      <c r="B2" s="3"/>
      <c r="C2" s="3"/>
      <c r="D2" s="3"/>
      <c r="E2" s="3"/>
      <c r="F2" s="3"/>
      <c r="G2" s="3"/>
      <c r="H2" s="3"/>
      <c r="I2" s="221"/>
      <c r="J2" s="221"/>
      <c r="K2" s="221"/>
      <c r="L2" s="221"/>
      <c r="M2" s="221"/>
      <c r="N2" s="221"/>
      <c r="O2" s="221"/>
      <c r="P2" s="221"/>
      <c r="Q2" s="221"/>
      <c r="R2" s="221"/>
      <c r="S2" s="221"/>
      <c r="T2" s="221"/>
      <c r="U2" s="221"/>
      <c r="V2" s="221"/>
      <c r="W2" s="221"/>
      <c r="X2" s="221"/>
      <c r="Y2" s="221"/>
      <c r="Z2" s="221"/>
      <c r="AA2" s="221"/>
      <c r="AB2" s="221"/>
      <c r="AC2" s="221"/>
      <c r="AD2" s="221"/>
      <c r="AE2" s="221"/>
      <c r="AF2" s="221"/>
      <c r="AG2" s="221"/>
      <c r="AH2" s="221"/>
      <c r="AI2" s="221"/>
      <c r="AJ2" s="221"/>
      <c r="AK2" s="221"/>
      <c r="AL2" s="221"/>
      <c r="AM2" s="221"/>
      <c r="AN2" s="221"/>
      <c r="AO2" s="221"/>
      <c r="AP2" s="221"/>
      <c r="AQ2" s="221"/>
      <c r="AR2" s="221"/>
      <c r="AS2" s="221"/>
      <c r="AT2" s="221"/>
      <c r="AU2" s="221"/>
      <c r="AV2" s="221"/>
      <c r="AW2" s="221"/>
      <c r="AX2" s="221"/>
      <c r="AY2" s="221"/>
      <c r="AZ2" s="221"/>
      <c r="BA2" s="221"/>
      <c r="BB2" s="221"/>
      <c r="BC2" s="221"/>
      <c r="BD2" s="221"/>
      <c r="BE2" s="221"/>
      <c r="BF2" s="221"/>
      <c r="BG2" s="221"/>
      <c r="BH2" s="221"/>
      <c r="BI2" s="221"/>
      <c r="BJ2" s="221"/>
      <c r="BK2" s="221"/>
    </row>
    <row r="3" customFormat="false" ht="15" hidden="false" customHeight="true" outlineLevel="0" collapsed="false">
      <c r="A3" s="221"/>
      <c r="B3" s="221"/>
      <c r="C3" s="221"/>
      <c r="D3" s="221"/>
      <c r="E3" s="221"/>
      <c r="F3" s="221"/>
      <c r="G3" s="221"/>
      <c r="H3" s="221"/>
      <c r="I3" s="221"/>
      <c r="J3" s="221"/>
      <c r="K3" s="221"/>
      <c r="L3" s="221"/>
      <c r="M3" s="221"/>
      <c r="N3" s="221"/>
      <c r="O3" s="221"/>
      <c r="P3" s="221"/>
      <c r="Q3" s="221"/>
      <c r="R3" s="221"/>
      <c r="S3" s="221"/>
      <c r="T3" s="221"/>
      <c r="U3" s="221"/>
      <c r="V3" s="221"/>
      <c r="W3" s="221"/>
      <c r="X3" s="221"/>
      <c r="Y3" s="221"/>
      <c r="Z3" s="221"/>
      <c r="AA3" s="221"/>
      <c r="AB3" s="221"/>
      <c r="AC3" s="221"/>
      <c r="AD3" s="221"/>
      <c r="AE3" s="221"/>
      <c r="AF3" s="221"/>
      <c r="AG3" s="221"/>
      <c r="AH3" s="221"/>
      <c r="AI3" s="221"/>
      <c r="AJ3" s="221"/>
      <c r="AK3" s="221"/>
      <c r="AL3" s="221"/>
      <c r="AM3" s="221"/>
      <c r="AN3" s="221"/>
      <c r="AO3" s="221"/>
      <c r="AP3" s="221"/>
      <c r="AQ3" s="221"/>
      <c r="AR3" s="221"/>
      <c r="AS3" s="221"/>
      <c r="AT3" s="221"/>
      <c r="AU3" s="221"/>
      <c r="AV3" s="221"/>
      <c r="AW3" s="221"/>
      <c r="AX3" s="221"/>
      <c r="AY3" s="221"/>
      <c r="AZ3" s="221"/>
      <c r="BA3" s="221"/>
      <c r="BB3" s="221"/>
      <c r="BC3" s="221"/>
      <c r="BD3" s="221"/>
      <c r="BE3" s="221"/>
      <c r="BF3" s="221"/>
      <c r="BG3" s="221"/>
      <c r="BH3" s="221"/>
      <c r="BI3" s="221"/>
      <c r="BJ3" s="221"/>
      <c r="BK3" s="221"/>
    </row>
    <row r="4" customFormat="false" ht="15" hidden="false" customHeight="true" outlineLevel="0" collapsed="false">
      <c r="A4" s="222" t="s">
        <v>380</v>
      </c>
      <c r="B4" s="223"/>
      <c r="C4" s="223"/>
      <c r="D4" s="223"/>
      <c r="E4" s="223"/>
      <c r="F4" s="223"/>
      <c r="G4" s="223"/>
      <c r="H4" s="223"/>
      <c r="I4" s="223"/>
      <c r="J4" s="223"/>
      <c r="K4" s="223"/>
      <c r="L4" s="223"/>
      <c r="M4" s="223"/>
      <c r="N4" s="223"/>
      <c r="O4" s="223"/>
      <c r="P4" s="223"/>
      <c r="Q4" s="223"/>
      <c r="R4" s="223"/>
      <c r="S4" s="223"/>
      <c r="T4" s="223"/>
      <c r="U4" s="223"/>
      <c r="V4" s="223"/>
      <c r="W4" s="223"/>
      <c r="X4" s="223"/>
      <c r="Y4" s="223"/>
      <c r="Z4" s="223"/>
      <c r="AA4" s="223"/>
      <c r="AB4" s="223"/>
      <c r="AC4" s="223"/>
      <c r="AD4" s="223"/>
      <c r="AE4" s="223"/>
      <c r="AF4" s="223"/>
      <c r="AG4" s="223"/>
      <c r="AH4" s="223"/>
      <c r="AI4" s="223"/>
      <c r="AJ4" s="223"/>
      <c r="AK4" s="223"/>
      <c r="AL4" s="223"/>
    </row>
    <row r="5" customFormat="false" ht="15" hidden="false" customHeight="true" outlineLevel="0" collapsed="false">
      <c r="A5" s="223"/>
      <c r="B5" s="223"/>
      <c r="C5" s="223"/>
      <c r="D5" s="223"/>
      <c r="E5" s="223"/>
      <c r="F5" s="223"/>
      <c r="G5" s="223"/>
      <c r="H5" s="223"/>
      <c r="I5" s="223"/>
      <c r="J5" s="223"/>
      <c r="K5" s="223"/>
      <c r="L5" s="223"/>
      <c r="M5" s="223"/>
      <c r="N5" s="223"/>
      <c r="O5" s="223"/>
      <c r="P5" s="223"/>
      <c r="Q5" s="223"/>
      <c r="R5" s="223"/>
      <c r="S5" s="223"/>
      <c r="T5" s="223"/>
      <c r="U5" s="223"/>
      <c r="V5" s="223"/>
      <c r="W5" s="223"/>
      <c r="X5" s="223"/>
      <c r="Y5" s="223"/>
      <c r="Z5" s="223"/>
      <c r="AA5" s="223"/>
      <c r="AB5" s="223"/>
      <c r="AC5" s="223"/>
      <c r="AD5" s="223"/>
      <c r="AE5" s="223"/>
      <c r="AF5" s="223"/>
      <c r="AG5" s="223"/>
      <c r="AH5" s="223"/>
      <c r="AI5" s="223"/>
      <c r="AJ5" s="223"/>
      <c r="AK5" s="223"/>
      <c r="AL5" s="223"/>
    </row>
    <row r="6" customFormat="false" ht="27" hidden="false" customHeight="true" outlineLevel="0" collapsed="false">
      <c r="A6" s="224" t="s">
        <v>381</v>
      </c>
      <c r="B6" s="224"/>
      <c r="C6" s="224"/>
      <c r="D6" s="224"/>
      <c r="E6" s="224"/>
      <c r="F6" s="224"/>
      <c r="G6" s="224"/>
      <c r="H6" s="224"/>
      <c r="I6" s="224"/>
      <c r="J6" s="223"/>
      <c r="K6" s="223"/>
      <c r="L6" s="223"/>
      <c r="M6" s="223"/>
      <c r="N6" s="223"/>
      <c r="O6" s="223"/>
      <c r="P6" s="223"/>
      <c r="Q6" s="223"/>
      <c r="R6" s="223"/>
      <c r="S6" s="223"/>
      <c r="T6" s="223"/>
      <c r="U6" s="223"/>
      <c r="V6" s="223"/>
      <c r="W6" s="223"/>
      <c r="X6" s="223"/>
      <c r="Y6" s="223"/>
      <c r="Z6" s="223"/>
      <c r="AA6" s="223"/>
      <c r="AB6" s="223"/>
      <c r="AC6" s="223"/>
      <c r="AD6" s="223"/>
      <c r="AE6" s="223"/>
      <c r="AF6" s="223"/>
      <c r="AG6" s="223"/>
      <c r="AH6" s="223"/>
      <c r="AI6" s="223"/>
      <c r="AJ6" s="223"/>
      <c r="AK6" s="223"/>
      <c r="AL6" s="223"/>
    </row>
    <row r="7" customFormat="false" ht="24.75" hidden="false" customHeight="true" outlineLevel="0" collapsed="false">
      <c r="A7" s="225" t="s">
        <v>8</v>
      </c>
      <c r="B7" s="225" t="s">
        <v>223</v>
      </c>
      <c r="C7" s="225" t="s">
        <v>70</v>
      </c>
      <c r="D7" s="225" t="str">
        <f aca="false">"#"&amp;1&amp;"  "&amp;Calculator!$B$29&amp;" m"</f>
        <v>#1  53.4 m</v>
      </c>
      <c r="E7" s="225" t="str">
        <f aca="false">"#"&amp;2&amp;"  "&amp;Calculator!$B$30&amp;" m"</f>
        <v>#2  43.4 m</v>
      </c>
      <c r="F7" s="225" t="str">
        <f aca="false">"#"&amp;3&amp;"  "&amp;Calculator!$B$31&amp;" m"</f>
        <v>#3  33.4 m</v>
      </c>
      <c r="G7" s="225" t="str">
        <f aca="false">"#"&amp;4&amp;"  "&amp;Calculator!$B$32&amp;" m"</f>
        <v>#4  53.3 m</v>
      </c>
      <c r="H7" s="225" t="str">
        <f aca="false">"#"&amp;5&amp;"  "&amp;Calculator!$B$33&amp;" m"</f>
        <v>#5  43.5 m</v>
      </c>
      <c r="I7" s="225" t="s">
        <v>238</v>
      </c>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row>
    <row r="8" customFormat="false" ht="15" hidden="false" customHeight="true" outlineLevel="0" collapsed="false">
      <c r="A8" s="226" t="str">
        <f aca="false">IF(Calculator!$E$12="YES","★ "&amp;"160m","160m")</f>
        <v>160m</v>
      </c>
      <c r="B8" s="226" t="n">
        <f aca="false">ROUND(Calculator!D12,3)</f>
        <v>1.9</v>
      </c>
      <c r="C8" s="227" t="n">
        <f aca="false">Calculator!$F$12</f>
        <v>75</v>
      </c>
      <c r="D8" s="228" t="str">
        <f aca="false">IF(AND(Calculator!$E$12="YES",Calculator!$B$29&gt;=Calculator!$G$12),ROUND(50*POWER(80,POWER(COS(PI()*MOD(Calculator!$B$29/Calculator!$F$12,1)),2)),1),"—")</f>
        <v>—</v>
      </c>
      <c r="E8" s="228" t="str">
        <f aca="false">IF(AND(Calculator!$E$12="YES",Calculator!$B$30&gt;=Calculator!$G$12),ROUND(50*POWER(80,POWER(COS(PI()*MOD(Calculator!$B$30/Calculator!$F$12,1)),2)),1),"—")</f>
        <v>—</v>
      </c>
      <c r="F8" s="228" t="str">
        <f aca="false">IF(AND(Calculator!$E$12="YES",Calculator!$B$31&gt;=Calculator!$G$12),ROUND(50*POWER(80,POWER(COS(PI()*MOD(Calculator!$B$31/Calculator!$F$12,1)),2)),1),"—")</f>
        <v>—</v>
      </c>
      <c r="G8" s="228" t="str">
        <f aca="false">IF(AND(Calculator!$E$12="YES",Calculator!$B$32&gt;=Calculator!$G$12),ROUND(50*POWER(80,POWER(COS(PI()*MOD(Calculator!$B$32/Calculator!$F$12,1)),2)),1),"—")</f>
        <v>—</v>
      </c>
      <c r="H8" s="228" t="str">
        <f aca="false">IF(AND(Calculator!$E$12="YES",Calculator!$B$33&gt;=Calculator!$G$12),ROUND(50*POWER(80,POWER(COS(PI()*MOD(Calculator!$B$33/Calculator!$F$12,1)),2)),1),"—")</f>
        <v>—</v>
      </c>
      <c r="I8" s="228" t="str">
        <f aca="false">IF(Calculator!$E12&lt;&gt;"YES","Inactive",IF(Calculator!$B$29&lt;Calculator!$G$12,"Wire too short","X_est #1: "&amp;ROUND(1500*ABS(SIN(2*PI()*MOD(Calculator!$B$29/Calculator!$F12,1))),0)&amp;" Ω"))</f>
        <v>Inactive</v>
      </c>
      <c r="J8" s="223"/>
      <c r="K8" s="223"/>
      <c r="L8" s="223"/>
      <c r="M8" s="223"/>
      <c r="N8" s="223"/>
      <c r="O8" s="223"/>
      <c r="P8" s="223"/>
      <c r="Q8" s="223"/>
      <c r="R8" s="223"/>
      <c r="S8" s="223"/>
      <c r="T8" s="223"/>
      <c r="U8" s="223"/>
      <c r="V8" s="223"/>
      <c r="W8" s="223"/>
      <c r="X8" s="223"/>
      <c r="Y8" s="223"/>
      <c r="Z8" s="223"/>
      <c r="AA8" s="223"/>
      <c r="AB8" s="223"/>
      <c r="AC8" s="223"/>
      <c r="AD8" s="223"/>
      <c r="AE8" s="223"/>
      <c r="AF8" s="223"/>
      <c r="AG8" s="223"/>
      <c r="AH8" s="223"/>
      <c r="AI8" s="223"/>
      <c r="AJ8" s="223"/>
      <c r="AK8" s="223"/>
      <c r="AL8" s="223"/>
    </row>
    <row r="9" customFormat="false" ht="15" hidden="false" customHeight="true" outlineLevel="0" collapsed="false">
      <c r="A9" s="226" t="str">
        <f aca="false">IF(Calculator!$E$13="YES","★ "&amp;"80m","80m")</f>
        <v>80m</v>
      </c>
      <c r="B9" s="226" t="n">
        <f aca="false">ROUND(Calculator!D13,3)</f>
        <v>3.65</v>
      </c>
      <c r="C9" s="227" t="n">
        <f aca="false">Calculator!$F$13</f>
        <v>39.041095890411</v>
      </c>
      <c r="D9" s="228" t="str">
        <f aca="false">IF(AND(Calculator!$E$13="YES",Calculator!$B$29&gt;=Calculator!$G$13),ROUND(50*POWER(80,POWER(COS(PI()*MOD(Calculator!$B$29/Calculator!$F$13,1)),2)),1),"—")</f>
        <v>—</v>
      </c>
      <c r="E9" s="228" t="str">
        <f aca="false">IF(AND(Calculator!$E$13="YES",Calculator!$B$30&gt;=Calculator!$G$13),ROUND(50*POWER(80,POWER(COS(PI()*MOD(Calculator!$B$30/Calculator!$F$13,1)),2)),1),"—")</f>
        <v>—</v>
      </c>
      <c r="F9" s="228" t="str">
        <f aca="false">IF(AND(Calculator!$E$13="YES",Calculator!$B$31&gt;=Calculator!$G$13),ROUND(50*POWER(80,POWER(COS(PI()*MOD(Calculator!$B$31/Calculator!$F$13,1)),2)),1),"—")</f>
        <v>—</v>
      </c>
      <c r="G9" s="228" t="str">
        <f aca="false">IF(AND(Calculator!$E$13="YES",Calculator!$B$32&gt;=Calculator!$G$13),ROUND(50*POWER(80,POWER(COS(PI()*MOD(Calculator!$B$32/Calculator!$F$13,1)),2)),1),"—")</f>
        <v>—</v>
      </c>
      <c r="H9" s="228" t="str">
        <f aca="false">IF(AND(Calculator!$E$13="YES",Calculator!$B$33&gt;=Calculator!$G$13),ROUND(50*POWER(80,POWER(COS(PI()*MOD(Calculator!$B$33/Calculator!$F$13,1)),2)),1),"—")</f>
        <v>—</v>
      </c>
      <c r="I9" s="228" t="str">
        <f aca="false">IF(Calculator!$E13&lt;&gt;"YES","Inactive",IF(Calculator!$B$29&lt;Calculator!$G$13,"Wire too short","X_est #1: "&amp;ROUND(1500*ABS(SIN(2*PI()*MOD(Calculator!$B$29/Calculator!$F13,1))),0)&amp;" Ω"))</f>
        <v>Inactive</v>
      </c>
      <c r="J9" s="223"/>
      <c r="K9" s="223"/>
      <c r="L9" s="223"/>
      <c r="M9" s="223"/>
      <c r="N9" s="223"/>
      <c r="O9" s="223"/>
      <c r="P9" s="223"/>
      <c r="Q9" s="223"/>
      <c r="R9" s="223"/>
      <c r="S9" s="223"/>
      <c r="T9" s="223"/>
      <c r="U9" s="223"/>
      <c r="V9" s="223"/>
      <c r="W9" s="223"/>
      <c r="X9" s="223"/>
      <c r="Y9" s="223"/>
      <c r="Z9" s="223"/>
      <c r="AA9" s="223"/>
      <c r="AB9" s="223"/>
      <c r="AC9" s="223"/>
      <c r="AD9" s="223"/>
      <c r="AE9" s="223"/>
      <c r="AF9" s="223"/>
      <c r="AG9" s="223"/>
      <c r="AH9" s="223"/>
      <c r="AI9" s="223"/>
      <c r="AJ9" s="223"/>
      <c r="AK9" s="223"/>
      <c r="AL9" s="223"/>
    </row>
    <row r="10" customFormat="false" ht="15" hidden="false" customHeight="true" outlineLevel="0" collapsed="false">
      <c r="A10" s="226" t="str">
        <f aca="false">IF(Calculator!$E$14="YES","★ "&amp;"60m","60m")</f>
        <v>60m</v>
      </c>
      <c r="B10" s="226" t="n">
        <f aca="false">ROUND(Calculator!D14,3)</f>
        <v>5.359</v>
      </c>
      <c r="C10" s="227" t="n">
        <f aca="false">Calculator!$F$14</f>
        <v>26.5907818622877</v>
      </c>
      <c r="D10" s="228" t="str">
        <f aca="false">IF(AND(Calculator!$E$14="YES",Calculator!$B$29&gt;=Calculator!$G$14),ROUND(50*POWER(80,POWER(COS(PI()*MOD(Calculator!$B$29/Calculator!$F$14,1)),2)),1),"—")</f>
        <v>—</v>
      </c>
      <c r="E10" s="228" t="str">
        <f aca="false">IF(AND(Calculator!$E$14="YES",Calculator!$B$30&gt;=Calculator!$G$14),ROUND(50*POWER(80,POWER(COS(PI()*MOD(Calculator!$B$30/Calculator!$F$14,1)),2)),1),"—")</f>
        <v>—</v>
      </c>
      <c r="F10" s="228" t="str">
        <f aca="false">IF(AND(Calculator!$E$14="YES",Calculator!$B$31&gt;=Calculator!$G$14),ROUND(50*POWER(80,POWER(COS(PI()*MOD(Calculator!$B$31/Calculator!$F$14,1)),2)),1),"—")</f>
        <v>—</v>
      </c>
      <c r="G10" s="228" t="str">
        <f aca="false">IF(AND(Calculator!$E$14="YES",Calculator!$B$32&gt;=Calculator!$G$14),ROUND(50*POWER(80,POWER(COS(PI()*MOD(Calculator!$B$32/Calculator!$F$14,1)),2)),1),"—")</f>
        <v>—</v>
      </c>
      <c r="H10" s="228" t="str">
        <f aca="false">IF(AND(Calculator!$E$14="YES",Calculator!$B$33&gt;=Calculator!$G$14),ROUND(50*POWER(80,POWER(COS(PI()*MOD(Calculator!$B$33/Calculator!$F$14,1)),2)),1),"—")</f>
        <v>—</v>
      </c>
      <c r="I10" s="228" t="str">
        <f aca="false">IF(Calculator!$E14&lt;&gt;"YES","Inactive",IF(Calculator!$B$29&lt;Calculator!$G$14,"Wire too short","X_est #1: "&amp;ROUND(1500*ABS(SIN(2*PI()*MOD(Calculator!$B$29/Calculator!$F14,1))),0)&amp;" Ω"))</f>
        <v>Inactive</v>
      </c>
      <c r="J10" s="223"/>
      <c r="K10" s="223"/>
      <c r="L10" s="223"/>
      <c r="M10" s="223"/>
      <c r="N10" s="223"/>
      <c r="O10" s="223"/>
      <c r="P10" s="223"/>
      <c r="Q10" s="223"/>
      <c r="R10" s="223"/>
      <c r="S10" s="223"/>
      <c r="T10" s="223"/>
      <c r="U10" s="223"/>
      <c r="V10" s="223"/>
      <c r="W10" s="223"/>
      <c r="X10" s="223"/>
      <c r="Y10" s="223"/>
      <c r="Z10" s="223"/>
      <c r="AA10" s="223"/>
      <c r="AB10" s="223"/>
      <c r="AC10" s="223"/>
      <c r="AD10" s="223"/>
      <c r="AE10" s="223"/>
      <c r="AF10" s="223"/>
      <c r="AG10" s="223"/>
      <c r="AH10" s="223"/>
      <c r="AI10" s="223"/>
      <c r="AJ10" s="223"/>
      <c r="AK10" s="223"/>
      <c r="AL10" s="223"/>
    </row>
    <row r="11" customFormat="false" ht="15" hidden="false" customHeight="true" outlineLevel="0" collapsed="false">
      <c r="A11" s="226" t="str">
        <f aca="false">IF(Calculator!$E$15="YES","★ "&amp;"40m","40m")</f>
        <v>★ 40m</v>
      </c>
      <c r="B11" s="226" t="n">
        <f aca="false">ROUND(Calculator!D15,3)</f>
        <v>7.15</v>
      </c>
      <c r="C11" s="227" t="n">
        <f aca="false">Calculator!$F$15</f>
        <v>19.9300699300699</v>
      </c>
      <c r="D11" s="228" t="n">
        <f aca="false">IF(AND(Calculator!$E$15="YES",Calculator!$B$29&gt;=Calculator!$G$15),ROUND(50*POWER(80,POWER(COS(PI()*MOD(Calculator!$B$29/Calculator!$F$15,1)),2)),1),"—")</f>
        <v>174.6</v>
      </c>
      <c r="E11" s="228" t="n">
        <f aca="false">IF(AND(Calculator!$E$15="YES",Calculator!$B$30&gt;=Calculator!$G$15),ROUND(50*POWER(80,POWER(COS(PI()*MOD(Calculator!$B$30/Calculator!$F$15,1)),2)),1),"—")</f>
        <v>1170.9</v>
      </c>
      <c r="F11" s="228" t="n">
        <f aca="false">IF(AND(Calculator!$E$15="YES",Calculator!$B$31&gt;=Calculator!$G$15),ROUND(50*POWER(80,POWER(COS(PI()*MOD(Calculator!$B$31/Calculator!$F$15,1)),2)),1),"—")</f>
        <v>167.2</v>
      </c>
      <c r="G11" s="228" t="n">
        <f aca="false">IF(AND(Calculator!$E$15="YES",Calculator!$B$32&gt;=Calculator!$G$15),ROUND(50*POWER(80,POWER(COS(PI()*MOD(Calculator!$B$32/Calculator!$F$15,1)),2)),1),"—")</f>
        <v>164.1</v>
      </c>
      <c r="H11" s="228" t="n">
        <f aca="false">IF(AND(Calculator!$E$15="YES",Calculator!$B$33&gt;=Calculator!$G$15),ROUND(50*POWER(80,POWER(COS(PI()*MOD(Calculator!$B$33/Calculator!$F$15,1)),2)),1),"—")</f>
        <v>1099.9</v>
      </c>
      <c r="I11" s="228" t="str">
        <f aca="false">IF(Calculator!$E15&lt;&gt;"YES","Inactive",IF(Calculator!$B$29&lt;Calculator!$G$15,"Wire too short","X_est #1: "&amp;ROUND(1500*ABS(SIN(2*PI()*MOD(Calculator!$B$29/Calculator!$F15,1))),0)&amp;" Ω"))</f>
        <v>X_est #1: 1355 Ω</v>
      </c>
      <c r="J11" s="223"/>
      <c r="K11" s="223"/>
      <c r="L11" s="223"/>
      <c r="M11" s="223"/>
      <c r="N11" s="223"/>
      <c r="O11" s="223"/>
      <c r="P11" s="223"/>
      <c r="Q11" s="223"/>
      <c r="R11" s="223"/>
      <c r="S11" s="223"/>
      <c r="T11" s="223"/>
      <c r="U11" s="223"/>
      <c r="V11" s="223"/>
      <c r="W11" s="223"/>
      <c r="X11" s="223"/>
      <c r="Y11" s="223"/>
      <c r="Z11" s="223"/>
      <c r="AA11" s="223"/>
      <c r="AB11" s="223"/>
      <c r="AC11" s="223"/>
      <c r="AD11" s="223"/>
      <c r="AE11" s="223"/>
      <c r="AF11" s="223"/>
      <c r="AG11" s="223"/>
      <c r="AH11" s="223"/>
      <c r="AI11" s="223"/>
      <c r="AJ11" s="223"/>
      <c r="AK11" s="223"/>
      <c r="AL11" s="223"/>
    </row>
    <row r="12" customFormat="false" ht="15" hidden="false" customHeight="true" outlineLevel="0" collapsed="false">
      <c r="A12" s="226" t="str">
        <f aca="false">IF(Calculator!$E$16="YES","★ "&amp;"30m","30m")</f>
        <v>30m</v>
      </c>
      <c r="B12" s="226" t="n">
        <f aca="false">ROUND(Calculator!D16,3)</f>
        <v>10.125</v>
      </c>
      <c r="C12" s="227" t="n">
        <f aca="false">Calculator!$F$16</f>
        <v>14.0740740740741</v>
      </c>
      <c r="D12" s="228" t="str">
        <f aca="false">IF(AND(Calculator!$E$16="YES",Calculator!$B$29&gt;=Calculator!$G$16),ROUND(50*POWER(80,POWER(COS(PI()*MOD(Calculator!$B$29/Calculator!$F$16,1)),2)),1),"—")</f>
        <v>—</v>
      </c>
      <c r="E12" s="228" t="str">
        <f aca="false">IF(AND(Calculator!$E$16="YES",Calculator!$B$30&gt;=Calculator!$G$16),ROUND(50*POWER(80,POWER(COS(PI()*MOD(Calculator!$B$30/Calculator!$F$16,1)),2)),1),"—")</f>
        <v>—</v>
      </c>
      <c r="F12" s="228" t="str">
        <f aca="false">IF(AND(Calculator!$E$16="YES",Calculator!$B$31&gt;=Calculator!$G$16),ROUND(50*POWER(80,POWER(COS(PI()*MOD(Calculator!$B$31/Calculator!$F$16,1)),2)),1),"—")</f>
        <v>—</v>
      </c>
      <c r="G12" s="228" t="str">
        <f aca="false">IF(AND(Calculator!$E$16="YES",Calculator!$B$32&gt;=Calculator!$G$16),ROUND(50*POWER(80,POWER(COS(PI()*MOD(Calculator!$B$32/Calculator!$F$16,1)),2)),1),"—")</f>
        <v>—</v>
      </c>
      <c r="H12" s="228" t="str">
        <f aca="false">IF(AND(Calculator!$E$16="YES",Calculator!$B$33&gt;=Calculator!$G$16),ROUND(50*POWER(80,POWER(COS(PI()*MOD(Calculator!$B$33/Calculator!$F$16,1)),2)),1),"—")</f>
        <v>—</v>
      </c>
      <c r="I12" s="228" t="str">
        <f aca="false">IF(Calculator!$E16&lt;&gt;"YES","Inactive",IF(Calculator!$B$29&lt;Calculator!$G$16,"Wire too short","X_est #1: "&amp;ROUND(1500*ABS(SIN(2*PI()*MOD(Calculator!$B$29/Calculator!$F16,1))),0)&amp;" Ω"))</f>
        <v>Inactive</v>
      </c>
      <c r="J12" s="223"/>
      <c r="K12" s="223"/>
      <c r="L12" s="223"/>
      <c r="M12" s="223"/>
      <c r="N12" s="223"/>
      <c r="O12" s="223"/>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row>
    <row r="13" customFormat="false" ht="15" hidden="false" customHeight="true" outlineLevel="0" collapsed="false">
      <c r="A13" s="226" t="str">
        <f aca="false">IF(Calculator!$E$17="YES","★ "&amp;"20m","20m")</f>
        <v>★ 20m</v>
      </c>
      <c r="B13" s="226" t="n">
        <f aca="false">ROUND(Calculator!D17,3)</f>
        <v>14.175</v>
      </c>
      <c r="C13" s="227" t="n">
        <f aca="false">Calculator!$F$17</f>
        <v>10.0529100529101</v>
      </c>
      <c r="D13" s="228" t="n">
        <f aca="false">IF(AND(Calculator!$E$17="YES",Calculator!$B$29&gt;=Calculator!$G$17),ROUND(50*POWER(80,POWER(COS(PI()*MOD(Calculator!$B$29/Calculator!$F$17,1)),2)),1),"—")</f>
        <v>194.9</v>
      </c>
      <c r="E13" s="228" t="n">
        <f aca="false">IF(AND(Calculator!$E$17="YES",Calculator!$B$30&gt;=Calculator!$G$17),ROUND(50*POWER(80,POWER(COS(PI()*MOD(Calculator!$B$30/Calculator!$F$17,1)),2)),1),"—")</f>
        <v>182.3</v>
      </c>
      <c r="F13" s="228" t="n">
        <f aca="false">IF(AND(Calculator!$E$17="YES",Calculator!$B$31&gt;=Calculator!$G$17),ROUND(50*POWER(80,POWER(COS(PI()*MOD(Calculator!$B$31/Calculator!$F$17,1)),2)),1),"—")</f>
        <v>170.7</v>
      </c>
      <c r="G13" s="228" t="n">
        <f aca="false">IF(AND(Calculator!$E$17="YES",Calculator!$B$32&gt;=Calculator!$G$17),ROUND(50*POWER(80,POWER(COS(PI()*MOD(Calculator!$B$32/Calculator!$F$17,1)),2)),1),"—")</f>
        <v>221.5</v>
      </c>
      <c r="H13" s="228" t="n">
        <f aca="false">IF(AND(Calculator!$E$17="YES",Calculator!$B$33&gt;=Calculator!$G$17),ROUND(50*POWER(80,POWER(COS(PI()*MOD(Calculator!$B$33/Calculator!$F$17,1)),2)),1),"—")</f>
        <v>161.2</v>
      </c>
      <c r="I13" s="228" t="str">
        <f aca="false">IF(Calculator!$E17&lt;&gt;"YES","Inactive",IF(Calculator!$B$29&lt;Calculator!$G$17,"Wire too short","X_est #1: "&amp;ROUND(1500*ABS(SIN(2*PI()*MOD(Calculator!$B$29/Calculator!$F17,1))),0)&amp;" Ω"))</f>
        <v>X_est #1: 1388 Ω</v>
      </c>
      <c r="J13" s="223"/>
      <c r="K13" s="223"/>
      <c r="L13" s="223"/>
      <c r="M13" s="223"/>
      <c r="N13" s="223"/>
      <c r="O13" s="223"/>
      <c r="P13" s="223"/>
      <c r="Q13" s="223"/>
      <c r="R13" s="223"/>
      <c r="S13" s="223"/>
      <c r="T13" s="223"/>
      <c r="U13" s="223"/>
      <c r="V13" s="223"/>
      <c r="W13" s="223"/>
      <c r="X13" s="223"/>
      <c r="Y13" s="223"/>
      <c r="Z13" s="223"/>
      <c r="AA13" s="223"/>
      <c r="AB13" s="223"/>
      <c r="AC13" s="223"/>
      <c r="AD13" s="223"/>
      <c r="AE13" s="223"/>
      <c r="AF13" s="223"/>
      <c r="AG13" s="223"/>
      <c r="AH13" s="223"/>
      <c r="AI13" s="223"/>
      <c r="AJ13" s="223"/>
      <c r="AK13" s="223"/>
      <c r="AL13" s="223"/>
    </row>
    <row r="14" customFormat="false" ht="15" hidden="false" customHeight="true" outlineLevel="0" collapsed="false">
      <c r="A14" s="226" t="str">
        <f aca="false">IF(Calculator!$E$18="YES","★ "&amp;"17m","17m")</f>
        <v>17m</v>
      </c>
      <c r="B14" s="226" t="n">
        <f aca="false">ROUND(Calculator!D18,3)</f>
        <v>18.118</v>
      </c>
      <c r="C14" s="227" t="n">
        <f aca="false">Calculator!$F$18</f>
        <v>7.86510652389888</v>
      </c>
      <c r="D14" s="226" t="str">
        <f aca="false">IF(AND(Calculator!$E$18="YES",Calculator!$B$29&gt;=Calculator!$G$18),ROUND(50*POWER(80,POWER(COS(PI()*MOD(Calculator!$B$29/Calculator!$F$18,1)),2)),1),"—")</f>
        <v>—</v>
      </c>
      <c r="E14" s="226" t="str">
        <f aca="false">IF(AND(Calculator!$E$18="YES",Calculator!$B$30&gt;=Calculator!$G$18),ROUND(50*POWER(80,POWER(COS(PI()*MOD(Calculator!$B$30/Calculator!$F$18,1)),2)),1),"—")</f>
        <v>—</v>
      </c>
      <c r="F14" s="226" t="str">
        <f aca="false">IF(AND(Calculator!$E$18="YES",Calculator!$B$31&gt;=Calculator!$G$18),ROUND(50*POWER(80,POWER(COS(PI()*MOD(Calculator!$B$31/Calculator!$F$18,1)),2)),1),"—")</f>
        <v>—</v>
      </c>
      <c r="G14" s="226" t="str">
        <f aca="false">IF(AND(Calculator!$E$18="YES",Calculator!$B$32&gt;=Calculator!$G$18),ROUND(50*POWER(80,POWER(COS(PI()*MOD(Calculator!$B$32/Calculator!$F$18,1)),2)),1),"—")</f>
        <v>—</v>
      </c>
      <c r="H14" s="226" t="str">
        <f aca="false">IF(AND(Calculator!$E$18="YES",Calculator!$B$33&gt;=Calculator!$G$18),ROUND(50*POWER(80,POWER(COS(PI()*MOD(Calculator!$B$33/Calculator!$F$18,1)),2)),1),"—")</f>
        <v>—</v>
      </c>
      <c r="I14" s="226" t="str">
        <f aca="false">IF(Calculator!$E18&lt;&gt;"YES","Inactive",IF(Calculator!$B$29&lt;Calculator!$G$18,"Wire too short","X_est #1: "&amp;ROUND(1500*ABS(SIN(2*PI()*MOD(Calculator!$B$29/Calculator!$F18,1))),0)&amp;" Ω"))</f>
        <v>Inactive</v>
      </c>
      <c r="J14" s="223"/>
      <c r="K14" s="223"/>
      <c r="L14" s="223"/>
      <c r="M14" s="223"/>
      <c r="N14" s="223"/>
      <c r="O14" s="223"/>
      <c r="P14" s="223"/>
      <c r="Q14" s="223"/>
      <c r="R14" s="223"/>
      <c r="S14" s="223"/>
      <c r="T14" s="223"/>
      <c r="U14" s="223"/>
      <c r="V14" s="223"/>
      <c r="W14" s="223"/>
      <c r="X14" s="223"/>
      <c r="Y14" s="223"/>
      <c r="Z14" s="223"/>
      <c r="AA14" s="223"/>
      <c r="AB14" s="223"/>
      <c r="AC14" s="223"/>
      <c r="AD14" s="223"/>
      <c r="AE14" s="223"/>
      <c r="AF14" s="223"/>
      <c r="AG14" s="223"/>
      <c r="AH14" s="223"/>
      <c r="AI14" s="223"/>
      <c r="AJ14" s="223"/>
      <c r="AK14" s="223"/>
      <c r="AL14" s="223"/>
    </row>
    <row r="15" customFormat="false" ht="15" hidden="false" customHeight="true" outlineLevel="0" collapsed="false">
      <c r="A15" s="226" t="str">
        <f aca="false">IF(Calculator!$E$19="YES","★ "&amp;"15m","15m")</f>
        <v>15m</v>
      </c>
      <c r="B15" s="226" t="n">
        <f aca="false">ROUND(Calculator!D19,3)</f>
        <v>21.225</v>
      </c>
      <c r="C15" s="227" t="n">
        <f aca="false">Calculator!$F$19</f>
        <v>6.71378091872792</v>
      </c>
      <c r="D15" s="226" t="str">
        <f aca="false">IF(AND(Calculator!$E$19="YES",Calculator!$B$29&gt;=Calculator!$G$19),ROUND(50*POWER(80,POWER(COS(PI()*MOD(Calculator!$B$29/Calculator!$F$19,1)),2)),1),"—")</f>
        <v>—</v>
      </c>
      <c r="E15" s="226" t="str">
        <f aca="false">IF(AND(Calculator!$E$19="YES",Calculator!$B$30&gt;=Calculator!$G$19),ROUND(50*POWER(80,POWER(COS(PI()*MOD(Calculator!$B$30/Calculator!$F$19,1)),2)),1),"—")</f>
        <v>—</v>
      </c>
      <c r="F15" s="226" t="str">
        <f aca="false">IF(AND(Calculator!$E$19="YES",Calculator!$B$31&gt;=Calculator!$G$19),ROUND(50*POWER(80,POWER(COS(PI()*MOD(Calculator!$B$31/Calculator!$F$19,1)),2)),1),"—")</f>
        <v>—</v>
      </c>
      <c r="G15" s="226" t="str">
        <f aca="false">IF(AND(Calculator!$E$19="YES",Calculator!$B$32&gt;=Calculator!$G$19),ROUND(50*POWER(80,POWER(COS(PI()*MOD(Calculator!$B$32/Calculator!$F$19,1)),2)),1),"—")</f>
        <v>—</v>
      </c>
      <c r="H15" s="226" t="str">
        <f aca="false">IF(AND(Calculator!$E$19="YES",Calculator!$B$33&gt;=Calculator!$G$19),ROUND(50*POWER(80,POWER(COS(PI()*MOD(Calculator!$B$33/Calculator!$F$19,1)),2)),1),"—")</f>
        <v>—</v>
      </c>
      <c r="I15" s="226" t="str">
        <f aca="false">IF(Calculator!$E19&lt;&gt;"YES","Inactive",IF(Calculator!$B$29&lt;Calculator!$G$19,"Wire too short","X_est #1: "&amp;ROUND(1500*ABS(SIN(2*PI()*MOD(Calculator!$B$29/Calculator!$F19,1))),0)&amp;" Ω"))</f>
        <v>Inactive</v>
      </c>
      <c r="J15" s="223"/>
      <c r="K15" s="223"/>
      <c r="L15" s="223"/>
      <c r="M15" s="223"/>
      <c r="N15" s="223"/>
      <c r="O15" s="223"/>
      <c r="P15" s="223"/>
      <c r="Q15" s="223"/>
      <c r="R15" s="223"/>
      <c r="S15" s="223"/>
      <c r="T15" s="223"/>
      <c r="U15" s="223"/>
      <c r="V15" s="223"/>
      <c r="W15" s="223"/>
      <c r="X15" s="223"/>
      <c r="Y15" s="223"/>
      <c r="Z15" s="223"/>
      <c r="AA15" s="223"/>
      <c r="AB15" s="223"/>
      <c r="AC15" s="223"/>
      <c r="AD15" s="223"/>
      <c r="AE15" s="223"/>
      <c r="AF15" s="223"/>
      <c r="AG15" s="223"/>
      <c r="AH15" s="223"/>
      <c r="AI15" s="223"/>
      <c r="AJ15" s="223"/>
      <c r="AK15" s="223"/>
      <c r="AL15" s="223"/>
    </row>
    <row r="16" customFormat="false" ht="15" hidden="false" customHeight="true" outlineLevel="0" collapsed="false">
      <c r="A16" s="226" t="str">
        <f aca="false">IF(Calculator!$E$20="YES","★ "&amp;"12m","12m")</f>
        <v>12m</v>
      </c>
      <c r="B16" s="226" t="n">
        <f aca="false">ROUND(Calculator!D20,3)</f>
        <v>24.94</v>
      </c>
      <c r="C16" s="227" t="n">
        <f aca="false">Calculator!$F$20</f>
        <v>5.71371291098637</v>
      </c>
      <c r="D16" s="226" t="str">
        <f aca="false">IF(AND(Calculator!$E$20="YES",Calculator!$B$29&gt;=Calculator!$G$20),ROUND(50*POWER(80,POWER(COS(PI()*MOD(Calculator!$B$29/Calculator!$F$20,1)),2)),1),"—")</f>
        <v>—</v>
      </c>
      <c r="E16" s="226" t="str">
        <f aca="false">IF(AND(Calculator!$E$20="YES",Calculator!$B$30&gt;=Calculator!$G$20),ROUND(50*POWER(80,POWER(COS(PI()*MOD(Calculator!$B$30/Calculator!$F$20,1)),2)),1),"—")</f>
        <v>—</v>
      </c>
      <c r="F16" s="226" t="str">
        <f aca="false">IF(AND(Calculator!$E$20="YES",Calculator!$B$31&gt;=Calculator!$G$20),ROUND(50*POWER(80,POWER(COS(PI()*MOD(Calculator!$B$31/Calculator!$F$20,1)),2)),1),"—")</f>
        <v>—</v>
      </c>
      <c r="G16" s="226" t="str">
        <f aca="false">IF(AND(Calculator!$E$20="YES",Calculator!$B$32&gt;=Calculator!$G$20),ROUND(50*POWER(80,POWER(COS(PI()*MOD(Calculator!$B$32/Calculator!$F$20,1)),2)),1),"—")</f>
        <v>—</v>
      </c>
      <c r="H16" s="226" t="str">
        <f aca="false">IF(AND(Calculator!$E$20="YES",Calculator!$B$33&gt;=Calculator!$G$20),ROUND(50*POWER(80,POWER(COS(PI()*MOD(Calculator!$B$33/Calculator!$F$20,1)),2)),1),"—")</f>
        <v>—</v>
      </c>
      <c r="I16" s="226" t="str">
        <f aca="false">IF(Calculator!$E20&lt;&gt;"YES","Inactive",IF(Calculator!$B$29&lt;Calculator!$G$20,"Wire too short","X_est #1: "&amp;ROUND(1500*ABS(SIN(2*PI()*MOD(Calculator!$B$29/Calculator!$F20,1))),0)&amp;" Ω"))</f>
        <v>Inactive</v>
      </c>
      <c r="J16" s="223"/>
      <c r="K16" s="223"/>
      <c r="L16" s="223"/>
      <c r="M16" s="223"/>
      <c r="N16" s="223"/>
      <c r="O16" s="223"/>
      <c r="P16" s="223"/>
      <c r="Q16" s="223"/>
      <c r="R16" s="223"/>
      <c r="S16" s="223"/>
      <c r="T16" s="223"/>
      <c r="U16" s="223"/>
      <c r="V16" s="223"/>
      <c r="W16" s="223"/>
      <c r="X16" s="223"/>
      <c r="Y16" s="223"/>
      <c r="Z16" s="223"/>
      <c r="AA16" s="223"/>
      <c r="AB16" s="223"/>
      <c r="AC16" s="223"/>
      <c r="AD16" s="223"/>
      <c r="AE16" s="223"/>
      <c r="AF16" s="223"/>
      <c r="AG16" s="223"/>
      <c r="AH16" s="223"/>
      <c r="AI16" s="223"/>
      <c r="AJ16" s="223"/>
      <c r="AK16" s="223"/>
      <c r="AL16" s="223"/>
    </row>
    <row r="17" customFormat="false" ht="15" hidden="false" customHeight="true" outlineLevel="0" collapsed="false">
      <c r="A17" s="226" t="str">
        <f aca="false">IF(Calculator!$E$21="YES","★ "&amp;"10m","10m")</f>
        <v>★ 10m</v>
      </c>
      <c r="B17" s="226" t="n">
        <f aca="false">ROUND(Calculator!D21,3)</f>
        <v>28.85</v>
      </c>
      <c r="C17" s="227" t="n">
        <f aca="false">Calculator!$F$21</f>
        <v>4.93934142114385</v>
      </c>
      <c r="D17" s="226" t="n">
        <f aca="false">IF(AND(Calculator!$E$21="YES",Calculator!$B$29&gt;=Calculator!$G$21),ROUND(50*POWER(80,POWER(COS(PI()*MOD(Calculator!$B$29/Calculator!$F$21,1)),2)),1),"—")</f>
        <v>1016.8</v>
      </c>
      <c r="E17" s="226" t="n">
        <f aca="false">IF(AND(Calculator!$E$21="YES",Calculator!$B$30&gt;=Calculator!$G$21),ROUND(50*POWER(80,POWER(COS(PI()*MOD(Calculator!$B$30/Calculator!$F$21,1)),2)),1),"—")</f>
        <v>736.9</v>
      </c>
      <c r="F17" s="226" t="n">
        <f aca="false">IF(AND(Calculator!$E$21="YES",Calculator!$B$31&gt;=Calculator!$G$21),ROUND(50*POWER(80,POWER(COS(PI()*MOD(Calculator!$B$31/Calculator!$F$21,1)),2)),1),"—")</f>
        <v>527.7</v>
      </c>
      <c r="G17" s="226" t="n">
        <f aca="false">IF(AND(Calculator!$E$21="YES",Calculator!$B$32&gt;=Calculator!$G$21),ROUND(50*POWER(80,POWER(COS(PI()*MOD(Calculator!$B$32/Calculator!$F$21,1)),2)),1),"—")</f>
        <v>780.6</v>
      </c>
      <c r="H17" s="226" t="n">
        <f aca="false">IF(AND(Calculator!$E$21="YES",Calculator!$B$33&gt;=Calculator!$G$21),ROUND(50*POWER(80,POWER(COS(PI()*MOD(Calculator!$B$33/Calculator!$F$21,1)),2)),1),"—")</f>
        <v>962</v>
      </c>
      <c r="I17" s="226" t="str">
        <f aca="false">IF(Calculator!$E21&lt;&gt;"YES","Inactive",IF(Calculator!$B$29&lt;Calculator!$G$21,"Wire too short","X_est #1: "&amp;ROUND(1500*ABS(SIN(2*PI()*MOD(Calculator!$B$29/Calculator!$F21,1))),0)&amp;" Ω"))</f>
        <v>X_est #1: 1391 Ω</v>
      </c>
      <c r="J17" s="223"/>
      <c r="K17" s="223"/>
      <c r="L17" s="223"/>
      <c r="M17" s="223"/>
      <c r="N17" s="223"/>
      <c r="O17" s="223"/>
      <c r="P17" s="223"/>
      <c r="Q17" s="223"/>
      <c r="R17" s="223"/>
      <c r="S17" s="223"/>
      <c r="T17" s="223"/>
      <c r="U17" s="223"/>
      <c r="V17" s="223"/>
      <c r="W17" s="223"/>
      <c r="X17" s="223"/>
      <c r="Y17" s="223"/>
      <c r="Z17" s="223"/>
      <c r="AA17" s="223"/>
      <c r="AB17" s="223"/>
      <c r="AC17" s="223"/>
      <c r="AD17" s="223"/>
      <c r="AE17" s="223"/>
      <c r="AF17" s="223"/>
      <c r="AG17" s="223"/>
      <c r="AH17" s="223"/>
      <c r="AI17" s="223"/>
      <c r="AJ17" s="223"/>
      <c r="AK17" s="223"/>
      <c r="AL17" s="223"/>
    </row>
    <row r="18" customFormat="false" ht="15" hidden="false" customHeight="true" outlineLevel="0" collapsed="false">
      <c r="A18" s="226" t="str">
        <f aca="false">IF(Calculator!$E$22="YES","★ "&amp;"6m","6m")</f>
        <v>6m</v>
      </c>
      <c r="B18" s="226" t="n">
        <f aca="false">ROUND(Calculator!D22,3)</f>
        <v>52</v>
      </c>
      <c r="C18" s="227" t="n">
        <f aca="false">Calculator!$F$22</f>
        <v>2.74038461538462</v>
      </c>
      <c r="D18" s="226" t="str">
        <f aca="false">IF(AND(Calculator!$E$22="YES",Calculator!$B$29&gt;=Calculator!$G$22),ROUND(50*POWER(80,POWER(COS(PI()*MOD(Calculator!$B$29/Calculator!$F$22,1)),2)),1),"—")</f>
        <v>—</v>
      </c>
      <c r="E18" s="226" t="str">
        <f aca="false">IF(AND(Calculator!$E$22="YES",Calculator!$B$30&gt;=Calculator!$G$22),ROUND(50*POWER(80,POWER(COS(PI()*MOD(Calculator!$B$30/Calculator!$F$22,1)),2)),1),"—")</f>
        <v>—</v>
      </c>
      <c r="F18" s="226" t="str">
        <f aca="false">IF(AND(Calculator!$E$22="YES",Calculator!$B$31&gt;=Calculator!$G$22),ROUND(50*POWER(80,POWER(COS(PI()*MOD(Calculator!$B$31/Calculator!$F$22,1)),2)),1),"—")</f>
        <v>—</v>
      </c>
      <c r="G18" s="226" t="str">
        <f aca="false">IF(AND(Calculator!$E$22="YES",Calculator!$B$32&gt;=Calculator!$G$22),ROUND(50*POWER(80,POWER(COS(PI()*MOD(Calculator!$B$32/Calculator!$F$22,1)),2)),1),"—")</f>
        <v>—</v>
      </c>
      <c r="H18" s="226" t="str">
        <f aca="false">IF(AND(Calculator!$E$22="YES",Calculator!$B$33&gt;=Calculator!$G$22),ROUND(50*POWER(80,POWER(COS(PI()*MOD(Calculator!$B$33/Calculator!$F$22,1)),2)),1),"—")</f>
        <v>—</v>
      </c>
      <c r="I18" s="226" t="str">
        <f aca="false">IF(Calculator!$E22&lt;&gt;"YES","Inactive",IF(Calculator!$B$29&lt;Calculator!$G$22,"Wire too short","X_est #1: "&amp;ROUND(1500*ABS(SIN(2*PI()*MOD(Calculator!$B$29/Calculator!$F22,1))),0)&amp;" Ω"))</f>
        <v>Inactive</v>
      </c>
      <c r="J18" s="223"/>
      <c r="K18" s="223"/>
      <c r="L18" s="223"/>
      <c r="M18" s="223"/>
      <c r="N18" s="223"/>
      <c r="O18" s="223"/>
      <c r="P18" s="223"/>
      <c r="Q18" s="223"/>
      <c r="R18" s="223"/>
      <c r="S18" s="223"/>
      <c r="T18" s="223"/>
      <c r="U18" s="223"/>
      <c r="V18" s="223"/>
      <c r="W18" s="223"/>
      <c r="X18" s="223"/>
      <c r="Y18" s="223"/>
      <c r="Z18" s="223"/>
      <c r="AA18" s="223"/>
      <c r="AB18" s="223"/>
      <c r="AC18" s="223"/>
      <c r="AD18" s="223"/>
      <c r="AE18" s="223"/>
      <c r="AF18" s="223"/>
      <c r="AG18" s="223"/>
      <c r="AH18" s="223"/>
      <c r="AI18" s="223"/>
      <c r="AJ18" s="223"/>
      <c r="AK18" s="223"/>
      <c r="AL18" s="223"/>
    </row>
    <row r="19" customFormat="false" ht="15" hidden="false" customHeight="true" outlineLevel="0" collapsed="false">
      <c r="A19" s="223"/>
      <c r="B19" s="223"/>
      <c r="C19" s="223"/>
      <c r="D19" s="223"/>
      <c r="E19" s="223"/>
      <c r="F19" s="223"/>
      <c r="G19" s="223"/>
      <c r="H19" s="223"/>
      <c r="I19" s="223"/>
      <c r="J19" s="223"/>
      <c r="K19" s="223"/>
      <c r="L19" s="223"/>
      <c r="M19" s="223"/>
      <c r="N19" s="223"/>
      <c r="O19" s="223"/>
      <c r="P19" s="223"/>
      <c r="Q19" s="223"/>
      <c r="R19" s="223"/>
      <c r="S19" s="223"/>
      <c r="T19" s="223"/>
      <c r="U19" s="223"/>
      <c r="V19" s="223"/>
      <c r="W19" s="223"/>
      <c r="X19" s="223"/>
      <c r="Y19" s="223"/>
      <c r="Z19" s="223"/>
      <c r="AA19" s="223"/>
      <c r="AB19" s="223"/>
      <c r="AC19" s="223"/>
      <c r="AD19" s="223"/>
      <c r="AE19" s="223"/>
      <c r="AF19" s="223"/>
      <c r="AG19" s="223"/>
      <c r="AH19" s="223"/>
      <c r="AI19" s="223"/>
      <c r="AJ19" s="223"/>
      <c r="AK19" s="223"/>
      <c r="AL19" s="223"/>
    </row>
    <row r="20" customFormat="false" ht="15" hidden="false" customHeight="true" outlineLevel="0" collapsed="false">
      <c r="A20" s="229" t="s">
        <v>382</v>
      </c>
      <c r="B20" s="229"/>
      <c r="C20" s="229"/>
      <c r="D20" s="229"/>
      <c r="E20" s="229"/>
      <c r="F20" s="229"/>
      <c r="G20" s="229"/>
      <c r="H20" s="229"/>
      <c r="I20" s="229"/>
      <c r="J20" s="229"/>
      <c r="K20" s="229"/>
      <c r="L20" s="223"/>
      <c r="M20" s="223"/>
      <c r="N20" s="223"/>
      <c r="O20" s="223"/>
      <c r="P20" s="223"/>
      <c r="Q20" s="223"/>
      <c r="R20" s="223"/>
      <c r="S20" s="223"/>
      <c r="T20" s="223"/>
      <c r="U20" s="223"/>
      <c r="V20" s="223"/>
      <c r="W20" s="223"/>
      <c r="X20" s="223"/>
      <c r="Y20" s="223"/>
      <c r="Z20" s="223"/>
      <c r="AA20" s="223"/>
      <c r="AB20" s="223"/>
      <c r="AC20" s="223"/>
      <c r="AD20" s="223"/>
      <c r="AE20" s="223"/>
      <c r="AF20" s="223"/>
      <c r="AG20" s="223"/>
      <c r="AH20" s="223"/>
      <c r="AI20" s="223"/>
      <c r="AJ20" s="223"/>
      <c r="AK20" s="223"/>
      <c r="AL20" s="223"/>
    </row>
    <row r="21" customFormat="false" ht="24.75" hidden="false" customHeight="true" outlineLevel="0" collapsed="false">
      <c r="A21" s="225" t="s">
        <v>8</v>
      </c>
      <c r="B21" s="225" t="str">
        <f aca="false">"#"&amp;1&amp;"  "&amp;Calculator!$B$29&amp;"m"&amp;CHAR(10)&amp;"Optimal Ratio"</f>
        <v>#1  53.4m
Optimal Ratio</v>
      </c>
      <c r="C21" s="225" t="str">
        <f aca="false">"#"&amp;2&amp;"  "&amp;Calculator!$B$30&amp;"m"&amp;CHAR(10)&amp;"Optimal Ratio"</f>
        <v>#2  43.4m
Optimal Ratio</v>
      </c>
      <c r="D21" s="225" t="str">
        <f aca="false">"#"&amp;3&amp;"  "&amp;Calculator!$B$31&amp;"m"&amp;CHAR(10)&amp;"Optimal Ratio"</f>
        <v>#3  33.4m
Optimal Ratio</v>
      </c>
      <c r="E21" s="225" t="str">
        <f aca="false">"#"&amp;4&amp;"  "&amp;Calculator!$B$32&amp;"m"&amp;CHAR(10)&amp;"Optimal Ratio"</f>
        <v>#4  53.3m
Optimal Ratio</v>
      </c>
      <c r="F21" s="225" t="str">
        <f aca="false">"#"&amp;5&amp;"  "&amp;Calculator!$B$33&amp;"m"&amp;CHAR(10)&amp;"Optimal Ratio"</f>
        <v>#5  43.5m
Optimal Ratio</v>
      </c>
      <c r="G21" s="225" t="str">
        <f aca="false">"#"&amp;1&amp;"  "&amp;Calculator!$B$29&amp;"m"&amp;CHAR(10)&amp;"Best VSWR"</f>
        <v>#1  53.4m
Best VSWR</v>
      </c>
      <c r="H21" s="225" t="str">
        <f aca="false">"#"&amp;2&amp;"  "&amp;Calculator!$B$30&amp;"m"&amp;CHAR(10)&amp;"Best VSWR"</f>
        <v>#2  43.4m
Best VSWR</v>
      </c>
      <c r="I21" s="225" t="str">
        <f aca="false">"#"&amp;3&amp;"  "&amp;Calculator!$B$31&amp;"m"&amp;CHAR(10)&amp;"Best VSWR"</f>
        <v>#3  33.4m
Best VSWR</v>
      </c>
      <c r="J21" s="225" t="str">
        <f aca="false">"#"&amp;4&amp;"  "&amp;Calculator!$B$32&amp;"m"&amp;CHAR(10)&amp;"Best VSWR"</f>
        <v>#4  53.3m
Best VSWR</v>
      </c>
      <c r="K21" s="225" t="str">
        <f aca="false">"#"&amp;5&amp;"  "&amp;Calculator!$B$33&amp;"m"&amp;CHAR(10)&amp;"Best VSWR"</f>
        <v>#5  43.5m
Best VSWR</v>
      </c>
      <c r="L21" s="223"/>
      <c r="M21" s="223"/>
      <c r="N21" s="223"/>
      <c r="O21" s="223"/>
      <c r="P21" s="223"/>
      <c r="Q21" s="223"/>
      <c r="R21" s="223"/>
      <c r="S21" s="223"/>
      <c r="T21" s="223"/>
      <c r="U21" s="223"/>
      <c r="V21" s="223"/>
      <c r="W21" s="223"/>
      <c r="X21" s="223"/>
      <c r="Y21" s="223"/>
      <c r="Z21" s="223"/>
      <c r="AA21" s="223"/>
      <c r="AB21" s="223"/>
      <c r="AC21" s="223"/>
      <c r="AD21" s="223"/>
      <c r="AE21" s="223"/>
      <c r="AF21" s="223"/>
      <c r="AG21" s="223"/>
      <c r="AH21" s="223"/>
      <c r="AI21" s="223"/>
      <c r="AJ21" s="223"/>
      <c r="AK21" s="223"/>
      <c r="AL21" s="223"/>
    </row>
    <row r="22" customFormat="false" ht="15" hidden="false" customHeight="true" outlineLevel="0" collapsed="false">
      <c r="A22" s="226" t="str">
        <f aca="false">IF(Calculator!$E$12="YES","★ "&amp;"160m","160m")</f>
        <v>160m</v>
      </c>
      <c r="B22" s="226" t="str">
        <f aca="false">IF(Calculator!$E$12&lt;&gt;"YES","—",IFERROR(INDEX($A$38:$A$103,MATCH(MIN(D38:D103),D38:D103,0)),"—"))</f>
        <v>—</v>
      </c>
      <c r="C22" s="226" t="str">
        <f aca="false">IF(Calculator!$E$12&lt;&gt;"YES","—",IFERROR(INDEX($A$38:$A$103,MATCH(MIN(P38:P103),P38:P103,0)),"—"))</f>
        <v>—</v>
      </c>
      <c r="D22" s="226" t="str">
        <f aca="false">IF(Calculator!$E$12&lt;&gt;"YES","—",IFERROR(INDEX($A$38:$A$103,MATCH(MIN(AB38:AB103),AB38:AB103,0)),"—"))</f>
        <v>—</v>
      </c>
      <c r="E22" s="226" t="str">
        <f aca="false">IF(Calculator!$E$12&lt;&gt;"YES","—",IFERROR(INDEX($A$38:$A$103,MATCH(MIN(AN38:AN103),AN38:AN103,0)),"—"))</f>
        <v>—</v>
      </c>
      <c r="F22" s="226" t="str">
        <f aca="false">IF(Calculator!$E$12&lt;&gt;"YES","—",IFERROR(INDEX($A$38:$A$103,MATCH(MIN(AZ38:AZ103),AZ38:AZ103,0)),"—"))</f>
        <v>—</v>
      </c>
      <c r="G22" s="226" t="str">
        <f aca="false">IF(Calculator!$E$12&lt;&gt;"YES","—",IFERROR(ROUND(MIN(D38:D103),2),"—"))</f>
        <v>—</v>
      </c>
      <c r="H22" s="226" t="str">
        <f aca="false">IF(Calculator!$E$12&lt;&gt;"YES","—",IFERROR(ROUND(MIN(P38:P103),2),"—"))</f>
        <v>—</v>
      </c>
      <c r="I22" s="226" t="str">
        <f aca="false">IF(Calculator!$E$12&lt;&gt;"YES","—",IFERROR(ROUND(MIN(AB38:AB103),2),"—"))</f>
        <v>—</v>
      </c>
      <c r="J22" s="226" t="str">
        <f aca="false">IF(Calculator!$E$12&lt;&gt;"YES","—",IFERROR(ROUND(MIN(AN38:AN103),2),"—"))</f>
        <v>—</v>
      </c>
      <c r="K22" s="226" t="str">
        <f aca="false">IF(Calculator!$E$12&lt;&gt;"YES","—",IFERROR(ROUND(MIN(AZ38:AZ103),2),"—"))</f>
        <v>—</v>
      </c>
      <c r="L22" s="223"/>
      <c r="M22" s="223"/>
      <c r="N22" s="223"/>
      <c r="O22" s="223"/>
      <c r="P22" s="223"/>
      <c r="Q22" s="223"/>
      <c r="R22" s="223"/>
      <c r="S22" s="223"/>
      <c r="T22" s="223"/>
      <c r="U22" s="223"/>
      <c r="V22" s="223"/>
      <c r="W22" s="223"/>
      <c r="X22" s="223"/>
      <c r="Y22" s="223"/>
      <c r="Z22" s="223"/>
      <c r="AA22" s="223"/>
      <c r="AB22" s="223"/>
      <c r="AC22" s="223"/>
      <c r="AD22" s="223"/>
      <c r="AE22" s="223"/>
      <c r="AF22" s="223"/>
      <c r="AG22" s="223"/>
      <c r="AH22" s="223"/>
      <c r="AI22" s="223"/>
      <c r="AJ22" s="223"/>
      <c r="AK22" s="223"/>
      <c r="AL22" s="223"/>
    </row>
    <row r="23" customFormat="false" ht="15" hidden="false" customHeight="true" outlineLevel="0" collapsed="false">
      <c r="A23" s="226" t="str">
        <f aca="false">IF(Calculator!$E$13="YES","★ "&amp;"80m","80m")</f>
        <v>80m</v>
      </c>
      <c r="B23" s="226" t="str">
        <f aca="false">IF(Calculator!$E$13&lt;&gt;"YES","—",IFERROR(INDEX($A$38:$A$103,MATCH(MIN(E38:E103),E38:E103,0)),"—"))</f>
        <v>—</v>
      </c>
      <c r="C23" s="226" t="str">
        <f aca="false">IF(Calculator!$E$13&lt;&gt;"YES","—",IFERROR(INDEX($A$38:$A$103,MATCH(MIN(Q38:Q103),Q38:Q103,0)),"—"))</f>
        <v>—</v>
      </c>
      <c r="D23" s="226" t="str">
        <f aca="false">IF(Calculator!$E$13&lt;&gt;"YES","—",IFERROR(INDEX($A$38:$A$103,MATCH(MIN(AC38:AC103),AC38:AC103,0)),"—"))</f>
        <v>—</v>
      </c>
      <c r="E23" s="226" t="str">
        <f aca="false">IF(Calculator!$E$13&lt;&gt;"YES","—",IFERROR(INDEX($A$38:$A$103,MATCH(MIN(AO38:AO103),AO38:AO103,0)),"—"))</f>
        <v>—</v>
      </c>
      <c r="F23" s="226" t="str">
        <f aca="false">IF(Calculator!$E$13&lt;&gt;"YES","—",IFERROR(INDEX($A$38:$A$103,MATCH(MIN(BA38:BA103),BA38:BA103,0)),"—"))</f>
        <v>—</v>
      </c>
      <c r="G23" s="226" t="str">
        <f aca="false">IF(Calculator!$E$13&lt;&gt;"YES","—",IFERROR(ROUND(MIN(E38:E103),2),"—"))</f>
        <v>—</v>
      </c>
      <c r="H23" s="226" t="str">
        <f aca="false">IF(Calculator!$E$13&lt;&gt;"YES","—",IFERROR(ROUND(MIN(Q38:Q103),2),"—"))</f>
        <v>—</v>
      </c>
      <c r="I23" s="226" t="str">
        <f aca="false">IF(Calculator!$E$13&lt;&gt;"YES","—",IFERROR(ROUND(MIN(AC38:AC103),2),"—"))</f>
        <v>—</v>
      </c>
      <c r="J23" s="226" t="str">
        <f aca="false">IF(Calculator!$E$13&lt;&gt;"YES","—",IFERROR(ROUND(MIN(AO38:AO103),2),"—"))</f>
        <v>—</v>
      </c>
      <c r="K23" s="226" t="str">
        <f aca="false">IF(Calculator!$E$13&lt;&gt;"YES","—",IFERROR(ROUND(MIN(BA38:BA103),2),"—"))</f>
        <v>—</v>
      </c>
      <c r="L23" s="223"/>
      <c r="M23" s="223"/>
      <c r="N23" s="223"/>
      <c r="O23" s="223"/>
      <c r="P23" s="223"/>
      <c r="Q23" s="223"/>
      <c r="R23" s="223"/>
      <c r="S23" s="223"/>
      <c r="T23" s="223"/>
      <c r="U23" s="223"/>
      <c r="V23" s="223"/>
      <c r="W23" s="223"/>
      <c r="X23" s="223"/>
      <c r="Y23" s="223"/>
      <c r="Z23" s="223"/>
      <c r="AA23" s="223"/>
      <c r="AB23" s="223"/>
      <c r="AC23" s="223"/>
      <c r="AD23" s="223"/>
      <c r="AE23" s="223"/>
      <c r="AF23" s="223"/>
      <c r="AG23" s="223"/>
      <c r="AH23" s="223"/>
      <c r="AI23" s="223"/>
      <c r="AJ23" s="223"/>
      <c r="AK23" s="223"/>
      <c r="AL23" s="223"/>
    </row>
    <row r="24" customFormat="false" ht="15" hidden="false" customHeight="true" outlineLevel="0" collapsed="false">
      <c r="A24" s="226" t="str">
        <f aca="false">IF(Calculator!$E$14="YES","★ "&amp;"60m","60m")</f>
        <v>60m</v>
      </c>
      <c r="B24" s="226" t="str">
        <f aca="false">IF(Calculator!$E$14&lt;&gt;"YES","—",IFERROR(INDEX($A$38:$A$103,MATCH(MIN(F38:F103),F38:F103,0)),"—"))</f>
        <v>—</v>
      </c>
      <c r="C24" s="226" t="str">
        <f aca="false">IF(Calculator!$E$14&lt;&gt;"YES","—",IFERROR(INDEX($A$38:$A$103,MATCH(MIN(R38:R103),R38:R103,0)),"—"))</f>
        <v>—</v>
      </c>
      <c r="D24" s="226" t="str">
        <f aca="false">IF(Calculator!$E$14&lt;&gt;"YES","—",IFERROR(INDEX($A$38:$A$103,MATCH(MIN(AD38:AD103),AD38:AD103,0)),"—"))</f>
        <v>—</v>
      </c>
      <c r="E24" s="226" t="str">
        <f aca="false">IF(Calculator!$E$14&lt;&gt;"YES","—",IFERROR(INDEX($A$38:$A$103,MATCH(MIN(AP38:AP103),AP38:AP103,0)),"—"))</f>
        <v>—</v>
      </c>
      <c r="F24" s="226" t="str">
        <f aca="false">IF(Calculator!$E$14&lt;&gt;"YES","—",IFERROR(INDEX($A$38:$A$103,MATCH(MIN(BB38:BB103),BB38:BB103,0)),"—"))</f>
        <v>—</v>
      </c>
      <c r="G24" s="226" t="str">
        <f aca="false">IF(Calculator!$E$14&lt;&gt;"YES","—",IFERROR(ROUND(MIN(F38:F103),2),"—"))</f>
        <v>—</v>
      </c>
      <c r="H24" s="226" t="str">
        <f aca="false">IF(Calculator!$E$14&lt;&gt;"YES","—",IFERROR(ROUND(MIN(R38:R103),2),"—"))</f>
        <v>—</v>
      </c>
      <c r="I24" s="226" t="str">
        <f aca="false">IF(Calculator!$E$14&lt;&gt;"YES","—",IFERROR(ROUND(MIN(AD38:AD103),2),"—"))</f>
        <v>—</v>
      </c>
      <c r="J24" s="226" t="str">
        <f aca="false">IF(Calculator!$E$14&lt;&gt;"YES","—",IFERROR(ROUND(MIN(AP38:AP103),2),"—"))</f>
        <v>—</v>
      </c>
      <c r="K24" s="226" t="str">
        <f aca="false">IF(Calculator!$E$14&lt;&gt;"YES","—",IFERROR(ROUND(MIN(BB38:BB103),2),"—"))</f>
        <v>—</v>
      </c>
      <c r="L24" s="223"/>
      <c r="M24" s="223"/>
      <c r="N24" s="223"/>
      <c r="O24" s="223"/>
      <c r="P24" s="223"/>
      <c r="Q24" s="223"/>
      <c r="R24" s="223"/>
      <c r="S24" s="223"/>
      <c r="T24" s="223"/>
      <c r="U24" s="223"/>
      <c r="V24" s="223"/>
      <c r="W24" s="223"/>
      <c r="X24" s="223"/>
      <c r="Y24" s="223"/>
      <c r="Z24" s="223"/>
      <c r="AA24" s="223"/>
      <c r="AB24" s="223"/>
      <c r="AC24" s="223"/>
      <c r="AD24" s="223"/>
      <c r="AE24" s="223"/>
      <c r="AF24" s="223"/>
      <c r="AG24" s="223"/>
      <c r="AH24" s="223"/>
      <c r="AI24" s="223"/>
      <c r="AJ24" s="223"/>
      <c r="AK24" s="223"/>
      <c r="AL24" s="223"/>
    </row>
    <row r="25" customFormat="false" ht="15" hidden="false" customHeight="true" outlineLevel="0" collapsed="false">
      <c r="A25" s="226" t="str">
        <f aca="false">IF(Calculator!$E$15="YES","★ "&amp;"40m","40m")</f>
        <v>★ 40m</v>
      </c>
      <c r="B25" s="226" t="str">
        <f aca="false">IF(Calculator!$E$15&lt;&gt;"YES","—",IFERROR(INDEX($A$38:$A$103,MATCH(MIN(G38:G103),G38:G103,0)),"—"))</f>
        <v>27:1</v>
      </c>
      <c r="C25" s="226" t="str">
        <f aca="false">IF(Calculator!$E$15&lt;&gt;"YES","—",IFERROR(INDEX($A$38:$A$103,MATCH(MIN(S38:S103),S38:S103,0)),"—"))</f>
        <v>34:1</v>
      </c>
      <c r="D25" s="226" t="str">
        <f aca="false">IF(Calculator!$E$15&lt;&gt;"YES","—",IFERROR(INDEX($A$38:$A$103,MATCH(MIN(AE38:AE103),AE38:AE103,0)),"—"))</f>
        <v>27:1</v>
      </c>
      <c r="E25" s="226" t="str">
        <f aca="false">IF(Calculator!$E$15&lt;&gt;"YES","—",IFERROR(INDEX($A$38:$A$103,MATCH(MIN(AQ38:AQ103),AQ38:AQ103,0)),"—"))</f>
        <v>27:1</v>
      </c>
      <c r="F25" s="226" t="str">
        <f aca="false">IF(Calculator!$E$15&lt;&gt;"YES","—",IFERROR(INDEX($A$38:$A$103,MATCH(MIN(BC38:BC103),BC38:BC103,0)),"—"))</f>
        <v>34:1</v>
      </c>
      <c r="G25" s="226" t="n">
        <f aca="false">IF(Calculator!$E$15&lt;&gt;"YES","—",IFERROR(ROUND(MIN(G38:G103),2),"—"))</f>
        <v>15.59</v>
      </c>
      <c r="H25" s="226" t="n">
        <f aca="false">IF(Calculator!$E$15&lt;&gt;"YES","—",IFERROR(ROUND(MIN(S38:S103),2),"—"))</f>
        <v>2.68</v>
      </c>
      <c r="I25" s="226" t="n">
        <f aca="false">IF(Calculator!$E$15&lt;&gt;"YES","—",IFERROR(ROUND(MIN(AE38:AE103),2),"—"))</f>
        <v>16.1</v>
      </c>
      <c r="J25" s="226" t="n">
        <f aca="false">IF(Calculator!$E$15&lt;&gt;"YES","—",IFERROR(ROUND(MIN(AQ38:AQ103),2),"—"))</f>
        <v>16.32</v>
      </c>
      <c r="K25" s="226" t="n">
        <f aca="false">IF(Calculator!$E$15&lt;&gt;"YES","—",IFERROR(ROUND(MIN(BC38:BC103),2),"—"))</f>
        <v>2.84</v>
      </c>
      <c r="L25" s="223"/>
      <c r="M25" s="223"/>
      <c r="N25" s="223"/>
      <c r="O25" s="223"/>
      <c r="P25" s="223"/>
      <c r="Q25" s="223"/>
      <c r="R25" s="223"/>
      <c r="S25" s="223"/>
      <c r="T25" s="223"/>
      <c r="U25" s="223"/>
      <c r="V25" s="223"/>
      <c r="W25" s="223"/>
      <c r="X25" s="223"/>
      <c r="Y25" s="223"/>
      <c r="Z25" s="223"/>
      <c r="AA25" s="223"/>
      <c r="AB25" s="223"/>
      <c r="AC25" s="223"/>
      <c r="AD25" s="223"/>
      <c r="AE25" s="223"/>
      <c r="AF25" s="223"/>
      <c r="AG25" s="223"/>
      <c r="AH25" s="223"/>
      <c r="AI25" s="223"/>
      <c r="AJ25" s="223"/>
      <c r="AK25" s="223"/>
      <c r="AL25" s="223"/>
    </row>
    <row r="26" customFormat="false" ht="15" hidden="false" customHeight="true" outlineLevel="0" collapsed="false">
      <c r="A26" s="226" t="str">
        <f aca="false">IF(Calculator!$E$16="YES","★ "&amp;"30m","30m")</f>
        <v>30m</v>
      </c>
      <c r="B26" s="226" t="str">
        <f aca="false">IF(Calculator!$E$16&lt;&gt;"YES","—",IFERROR(INDEX($A$38:$A$103,MATCH(MIN(H38:H103),H38:H103,0)),"—"))</f>
        <v>—</v>
      </c>
      <c r="C26" s="226" t="str">
        <f aca="false">IF(Calculator!$E$16&lt;&gt;"YES","—",IFERROR(INDEX($A$38:$A$103,MATCH(MIN(T38:T103),T38:T103,0)),"—"))</f>
        <v>—</v>
      </c>
      <c r="D26" s="226" t="str">
        <f aca="false">IF(Calculator!$E$16&lt;&gt;"YES","—",IFERROR(INDEX($A$38:$A$103,MATCH(MIN(AF38:AF103),AF38:AF103,0)),"—"))</f>
        <v>—</v>
      </c>
      <c r="E26" s="226" t="str">
        <f aca="false">IF(Calculator!$E$16&lt;&gt;"YES","—",IFERROR(INDEX($A$38:$A$103,MATCH(MIN(AR38:AR103),AR38:AR103,0)),"—"))</f>
        <v>—</v>
      </c>
      <c r="F26" s="226" t="str">
        <f aca="false">IF(Calculator!$E$16&lt;&gt;"YES","—",IFERROR(INDEX($A$38:$A$103,MATCH(MIN(BD38:BD103),BD38:BD103,0)),"—"))</f>
        <v>—</v>
      </c>
      <c r="G26" s="226" t="str">
        <f aca="false">IF(Calculator!$E$16&lt;&gt;"YES","—",IFERROR(ROUND(MIN(H38:H103),2),"—"))</f>
        <v>—</v>
      </c>
      <c r="H26" s="226" t="str">
        <f aca="false">IF(Calculator!$E$16&lt;&gt;"YES","—",IFERROR(ROUND(MIN(T38:T103),2),"—"))</f>
        <v>—</v>
      </c>
      <c r="I26" s="226" t="str">
        <f aca="false">IF(Calculator!$E$16&lt;&gt;"YES","—",IFERROR(ROUND(MIN(AF38:AF103),2),"—"))</f>
        <v>—</v>
      </c>
      <c r="J26" s="226" t="str">
        <f aca="false">IF(Calculator!$E$16&lt;&gt;"YES","—",IFERROR(ROUND(MIN(AR38:AR103),2),"—"))</f>
        <v>—</v>
      </c>
      <c r="K26" s="226" t="str">
        <f aca="false">IF(Calculator!$E$16&lt;&gt;"YES","—",IFERROR(ROUND(MIN(BD38:BD103),2),"—"))</f>
        <v>—</v>
      </c>
      <c r="L26" s="223"/>
      <c r="M26" s="223"/>
      <c r="N26" s="223"/>
      <c r="O26" s="223"/>
      <c r="P26" s="223"/>
      <c r="Q26" s="223"/>
      <c r="R26" s="223"/>
      <c r="S26" s="223"/>
      <c r="T26" s="223"/>
      <c r="U26" s="223"/>
      <c r="V26" s="223"/>
      <c r="W26" s="223"/>
      <c r="X26" s="223"/>
      <c r="Y26" s="223"/>
      <c r="Z26" s="223"/>
      <c r="AA26" s="223"/>
      <c r="AB26" s="223"/>
      <c r="AC26" s="223"/>
      <c r="AD26" s="223"/>
      <c r="AE26" s="223"/>
      <c r="AF26" s="223"/>
      <c r="AG26" s="223"/>
      <c r="AH26" s="223"/>
      <c r="AI26" s="223"/>
      <c r="AJ26" s="223"/>
      <c r="AK26" s="223"/>
      <c r="AL26" s="223"/>
    </row>
    <row r="27" customFormat="false" ht="15" hidden="false" customHeight="true" outlineLevel="0" collapsed="false">
      <c r="A27" s="226" t="str">
        <f aca="false">IF(Calculator!$E$17="YES","★ "&amp;"20m","20m")</f>
        <v>★ 20m</v>
      </c>
      <c r="B27" s="226" t="str">
        <f aca="false">IF(Calculator!$E$17&lt;&gt;"YES","—",IFERROR(INDEX($A$38:$A$103,MATCH(MIN(I38:I103),I38:I103,0)),"—"))</f>
        <v>28:1</v>
      </c>
      <c r="C27" s="226" t="str">
        <f aca="false">IF(Calculator!$E$17&lt;&gt;"YES","—",IFERROR(INDEX($A$38:$A$103,MATCH(MIN(U38:U103),U38:U103,0)),"—"))</f>
        <v>27:1</v>
      </c>
      <c r="D27" s="226" t="str">
        <f aca="false">IF(Calculator!$E$17&lt;&gt;"YES","—",IFERROR(INDEX($A$38:$A$103,MATCH(MIN(AG38:AG103),AG38:AG103,0)),"—"))</f>
        <v>27:1</v>
      </c>
      <c r="E27" s="226" t="str">
        <f aca="false">IF(Calculator!$E$17&lt;&gt;"YES","—",IFERROR(INDEX($A$38:$A$103,MATCH(MIN(AS38:AS103),AS38:AS103,0)),"—"))</f>
        <v>28:1</v>
      </c>
      <c r="F27" s="226" t="str">
        <f aca="false">IF(Calculator!$E$17&lt;&gt;"YES","—",IFERROR(INDEX($A$38:$A$103,MATCH(MIN(BE38:BE103),BE38:BE103,0)),"—"))</f>
        <v>27:1</v>
      </c>
      <c r="G27" s="226" t="n">
        <f aca="false">IF(Calculator!$E$17&lt;&gt;"YES","—",IFERROR(ROUND(MIN(I38:I103),2),"—"))</f>
        <v>14.32</v>
      </c>
      <c r="H27" s="226" t="n">
        <f aca="false">IF(Calculator!$E$17&lt;&gt;"YES","—",IFERROR(ROUND(MIN(U38:U103),2),"—"))</f>
        <v>15.08</v>
      </c>
      <c r="I27" s="226" t="n">
        <f aca="false">IF(Calculator!$E$17&lt;&gt;"YES","—",IFERROR(ROUND(MIN(AG38:AG103),2),"—"))</f>
        <v>15.85</v>
      </c>
      <c r="J27" s="226" t="n">
        <f aca="false">IF(Calculator!$E$17&lt;&gt;"YES","—",IFERROR(ROUND(MIN(AS38:AS103),2),"—"))</f>
        <v>12.91</v>
      </c>
      <c r="K27" s="226" t="n">
        <f aca="false">IF(Calculator!$E$17&lt;&gt;"YES","—",IFERROR(ROUND(MIN(BE38:BE103),2),"—"))</f>
        <v>16.53</v>
      </c>
      <c r="L27" s="223"/>
      <c r="M27" s="223"/>
      <c r="N27" s="223"/>
      <c r="O27" s="223"/>
      <c r="P27" s="223"/>
      <c r="Q27" s="223"/>
      <c r="R27" s="223"/>
      <c r="S27" s="223"/>
      <c r="T27" s="223"/>
      <c r="U27" s="223"/>
      <c r="V27" s="223"/>
      <c r="W27" s="223"/>
      <c r="X27" s="223"/>
      <c r="Y27" s="223"/>
      <c r="Z27" s="223"/>
      <c r="AA27" s="223"/>
      <c r="AB27" s="223"/>
      <c r="AC27" s="223"/>
      <c r="AD27" s="223"/>
      <c r="AE27" s="223"/>
      <c r="AF27" s="223"/>
      <c r="AG27" s="223"/>
      <c r="AH27" s="223"/>
      <c r="AI27" s="223"/>
      <c r="AJ27" s="223"/>
      <c r="AK27" s="223"/>
      <c r="AL27" s="223"/>
    </row>
    <row r="28" customFormat="false" ht="15" hidden="false" customHeight="true" outlineLevel="0" collapsed="false">
      <c r="A28" s="226" t="str">
        <f aca="false">IF(Calculator!$E$18="YES","★ "&amp;"17m","17m")</f>
        <v>17m</v>
      </c>
      <c r="B28" s="226" t="str">
        <f aca="false">IF(Calculator!$E$18&lt;&gt;"YES","—",IFERROR(INDEX($A$38:$A$103,MATCH(MIN(J38:J103),J38:J103,0)),"—"))</f>
        <v>—</v>
      </c>
      <c r="C28" s="230" t="str">
        <f aca="false">IF(Calculator!$E$18&lt;&gt;"YES","—",IFERROR(INDEX($A$38:$A$103,MATCH(MIN(V38:V103),V38:V103,0)),"—"))</f>
        <v>—</v>
      </c>
      <c r="D28" s="231" t="str">
        <f aca="false">IF(Calculator!$E$18&lt;&gt;"YES","—",IFERROR(INDEX($A$38:$A$103,MATCH(MIN(AH38:AH103),AH38:AH103,0)),"—"))</f>
        <v>—</v>
      </c>
      <c r="E28" s="231" t="str">
        <f aca="false">IF(Calculator!$E$18&lt;&gt;"YES","—",IFERROR(INDEX($A$38:$A$103,MATCH(MIN(AT38:AT103),AT38:AT103,0)),"—"))</f>
        <v>—</v>
      </c>
      <c r="F28" s="231" t="str">
        <f aca="false">IF(Calculator!$E$18&lt;&gt;"YES","—",IFERROR(INDEX($A$38:$A$103,MATCH(MIN(BF38:BF103),BF38:BF103,0)),"—"))</f>
        <v>—</v>
      </c>
      <c r="G28" s="231" t="str">
        <f aca="false">IF(Calculator!$E$18&lt;&gt;"YES","—",IFERROR(ROUND(MIN(J38:J103),2),"—"))</f>
        <v>—</v>
      </c>
      <c r="H28" s="231" t="str">
        <f aca="false">IF(Calculator!$E$18&lt;&gt;"YES","—",IFERROR(ROUND(MIN(V38:V103),2),"—"))</f>
        <v>—</v>
      </c>
      <c r="I28" s="231" t="str">
        <f aca="false">IF(Calculator!$E$18&lt;&gt;"YES","—",IFERROR(ROUND(MIN(AH38:AH103),2),"—"))</f>
        <v>—</v>
      </c>
      <c r="J28" s="231" t="str">
        <f aca="false">IF(Calculator!$E$18&lt;&gt;"YES","—",IFERROR(ROUND(MIN(AT38:AT103),2),"—"))</f>
        <v>—</v>
      </c>
      <c r="K28" s="231" t="str">
        <f aca="false">IF(Calculator!$E$18&lt;&gt;"YES","—",IFERROR(ROUND(MIN(BF38:BF103),2),"—"))</f>
        <v>—</v>
      </c>
      <c r="L28" s="232"/>
      <c r="M28" s="232"/>
      <c r="N28" s="232"/>
      <c r="O28" s="232"/>
      <c r="P28" s="232"/>
      <c r="Q28" s="232"/>
      <c r="R28" s="232"/>
      <c r="S28" s="232"/>
      <c r="T28" s="232"/>
      <c r="U28" s="232"/>
      <c r="V28" s="232"/>
      <c r="W28" s="232"/>
      <c r="X28" s="232"/>
      <c r="Y28" s="232"/>
      <c r="Z28" s="232"/>
      <c r="AA28" s="232"/>
      <c r="AB28" s="232"/>
      <c r="AC28" s="232"/>
      <c r="AD28" s="232"/>
      <c r="AE28" s="232"/>
      <c r="AF28" s="232"/>
      <c r="AG28" s="232"/>
      <c r="AH28" s="232"/>
      <c r="AI28" s="232"/>
      <c r="AJ28" s="232"/>
      <c r="AK28" s="232"/>
      <c r="AL28" s="232"/>
    </row>
    <row r="29" customFormat="false" ht="15" hidden="false" customHeight="true" outlineLevel="0" collapsed="false">
      <c r="A29" s="226" t="str">
        <f aca="false">IF(Calculator!$E$19="YES","★ "&amp;"15m","15m")</f>
        <v>15m</v>
      </c>
      <c r="B29" s="226" t="str">
        <f aca="false">IF(Calculator!$E$19&lt;&gt;"YES","—",IFERROR(INDEX($A$38:$A$103,MATCH(MIN(K38:K103),K38:K103,0)),"—"))</f>
        <v>—</v>
      </c>
      <c r="C29" s="230" t="str">
        <f aca="false">IF(Calculator!$E$19&lt;&gt;"YES","—",IFERROR(INDEX($A$38:$A$103,MATCH(MIN(W38:W103),W38:W103,0)),"—"))</f>
        <v>—</v>
      </c>
      <c r="D29" s="231" t="str">
        <f aca="false">IF(Calculator!$E$19&lt;&gt;"YES","—",IFERROR(INDEX($A$38:$A$103,MATCH(MIN(AI38:AI103),AI38:AI103,0)),"—"))</f>
        <v>—</v>
      </c>
      <c r="E29" s="231" t="str">
        <f aca="false">IF(Calculator!$E$19&lt;&gt;"YES","—",IFERROR(INDEX($A$38:$A$103,MATCH(MIN(AU38:AU103),AU38:AU103,0)),"—"))</f>
        <v>—</v>
      </c>
      <c r="F29" s="231" t="str">
        <f aca="false">IF(Calculator!$E$19&lt;&gt;"YES","—",IFERROR(INDEX($A$38:$A$103,MATCH(MIN(BG38:BG103),BG38:BG103,0)),"—"))</f>
        <v>—</v>
      </c>
      <c r="G29" s="231" t="str">
        <f aca="false">IF(Calculator!$E$19&lt;&gt;"YES","—",IFERROR(ROUND(MIN(K38:K103),2),"—"))</f>
        <v>—</v>
      </c>
      <c r="H29" s="231" t="str">
        <f aca="false">IF(Calculator!$E$19&lt;&gt;"YES","—",IFERROR(ROUND(MIN(W38:W103),2),"—"))</f>
        <v>—</v>
      </c>
      <c r="I29" s="231" t="str">
        <f aca="false">IF(Calculator!$E$19&lt;&gt;"YES","—",IFERROR(ROUND(MIN(AI38:AI103),2),"—"))</f>
        <v>—</v>
      </c>
      <c r="J29" s="231" t="str">
        <f aca="false">IF(Calculator!$E$19&lt;&gt;"YES","—",IFERROR(ROUND(MIN(AU38:AU103),2),"—"))</f>
        <v>—</v>
      </c>
      <c r="K29" s="231" t="str">
        <f aca="false">IF(Calculator!$E$19&lt;&gt;"YES","—",IFERROR(ROUND(MIN(BG38:BG103),2),"—"))</f>
        <v>—</v>
      </c>
      <c r="L29" s="232"/>
      <c r="M29" s="232"/>
      <c r="N29" s="232"/>
      <c r="O29" s="232"/>
      <c r="P29" s="232"/>
      <c r="Q29" s="232"/>
      <c r="R29" s="232"/>
      <c r="S29" s="232"/>
      <c r="T29" s="232"/>
      <c r="U29" s="232"/>
      <c r="V29" s="232"/>
      <c r="W29" s="232"/>
      <c r="X29" s="232"/>
      <c r="Y29" s="232"/>
      <c r="Z29" s="232"/>
      <c r="AA29" s="232"/>
      <c r="AB29" s="232"/>
      <c r="AC29" s="232"/>
      <c r="AD29" s="232"/>
      <c r="AE29" s="232"/>
      <c r="AF29" s="232"/>
      <c r="AG29" s="232"/>
      <c r="AH29" s="232"/>
      <c r="AI29" s="232"/>
      <c r="AJ29" s="232"/>
      <c r="AK29" s="232"/>
      <c r="AL29" s="232"/>
    </row>
    <row r="30" customFormat="false" ht="15" hidden="false" customHeight="true" outlineLevel="0" collapsed="false">
      <c r="A30" s="226" t="str">
        <f aca="false">IF(Calculator!$E$20="YES","★ "&amp;"12m","12m")</f>
        <v>12m</v>
      </c>
      <c r="B30" s="226" t="str">
        <f aca="false">IF(Calculator!$E$20&lt;&gt;"YES","—",IFERROR(INDEX($A$38:$A$103,MATCH(MIN(L38:L103),L38:L103,0)),"—"))</f>
        <v>—</v>
      </c>
      <c r="C30" s="230" t="str">
        <f aca="false">IF(Calculator!$E$20&lt;&gt;"YES","—",IFERROR(INDEX($A$38:$A$103,MATCH(MIN(X38:X103),X38:X103,0)),"—"))</f>
        <v>—</v>
      </c>
      <c r="D30" s="231" t="str">
        <f aca="false">IF(Calculator!$E$20&lt;&gt;"YES","—",IFERROR(INDEX($A$38:$A$103,MATCH(MIN(AJ38:AJ103),AJ38:AJ103,0)),"—"))</f>
        <v>—</v>
      </c>
      <c r="E30" s="231" t="str">
        <f aca="false">IF(Calculator!$E$20&lt;&gt;"YES","—",IFERROR(INDEX($A$38:$A$103,MATCH(MIN(AV38:AV103),AV38:AV103,0)),"—"))</f>
        <v>—</v>
      </c>
      <c r="F30" s="231" t="str">
        <f aca="false">IF(Calculator!$E$20&lt;&gt;"YES","—",IFERROR(INDEX($A$38:$A$103,MATCH(MIN(BH38:BH103),BH38:BH103,0)),"—"))</f>
        <v>—</v>
      </c>
      <c r="G30" s="231" t="str">
        <f aca="false">IF(Calculator!$E$20&lt;&gt;"YES","—",IFERROR(ROUND(MIN(L38:L103),2),"—"))</f>
        <v>—</v>
      </c>
      <c r="H30" s="231" t="str">
        <f aca="false">IF(Calculator!$E$20&lt;&gt;"YES","—",IFERROR(ROUND(MIN(X38:X103),2),"—"))</f>
        <v>—</v>
      </c>
      <c r="I30" s="231" t="str">
        <f aca="false">IF(Calculator!$E$20&lt;&gt;"YES","—",IFERROR(ROUND(MIN(AJ38:AJ103),2),"—"))</f>
        <v>—</v>
      </c>
      <c r="J30" s="231" t="str">
        <f aca="false">IF(Calculator!$E$20&lt;&gt;"YES","—",IFERROR(ROUND(MIN(AV38:AV103),2),"—"))</f>
        <v>—</v>
      </c>
      <c r="K30" s="231" t="str">
        <f aca="false">IF(Calculator!$E$20&lt;&gt;"YES","—",IFERROR(ROUND(MIN(BH38:BH103),2),"—"))</f>
        <v>—</v>
      </c>
      <c r="L30" s="232"/>
      <c r="M30" s="232"/>
      <c r="N30" s="232"/>
      <c r="O30" s="232"/>
      <c r="P30" s="232"/>
      <c r="Q30" s="232"/>
      <c r="R30" s="232"/>
      <c r="S30" s="232"/>
      <c r="T30" s="232"/>
      <c r="U30" s="232"/>
      <c r="V30" s="232"/>
      <c r="W30" s="232"/>
      <c r="X30" s="232"/>
      <c r="Y30" s="232"/>
      <c r="Z30" s="232"/>
      <c r="AA30" s="232"/>
      <c r="AB30" s="232"/>
      <c r="AC30" s="232"/>
      <c r="AD30" s="232"/>
      <c r="AE30" s="232"/>
      <c r="AF30" s="232"/>
      <c r="AG30" s="232"/>
      <c r="AH30" s="232"/>
      <c r="AI30" s="232"/>
      <c r="AJ30" s="232"/>
      <c r="AK30" s="232"/>
      <c r="AL30" s="232"/>
    </row>
    <row r="31" customFormat="false" ht="15" hidden="false" customHeight="true" outlineLevel="0" collapsed="false">
      <c r="A31" s="226" t="str">
        <f aca="false">IF(Calculator!$E$21="YES","★ "&amp;"10m","10m")</f>
        <v>★ 10m</v>
      </c>
      <c r="B31" s="226" t="str">
        <f aca="false">IF(Calculator!$E$21&lt;&gt;"YES","—",IFERROR(INDEX($A$38:$A$103,MATCH(MIN(M38:M103),M38:M103,0)),"—"))</f>
        <v>34:1</v>
      </c>
      <c r="C31" s="230" t="str">
        <f aca="false">IF(Calculator!$E$21&lt;&gt;"YES","—",IFERROR(INDEX($A$38:$A$103,MATCH(MIN(Y38:Y103),Y38:Y103,0)),"—"))</f>
        <v>32:1</v>
      </c>
      <c r="D31" s="231" t="str">
        <f aca="false">IF(Calculator!$E$21&lt;&gt;"YES","—",IFERROR(INDEX($A$38:$A$103,MATCH(MIN(AK38:AK103),AK38:AK103,0)),"—"))</f>
        <v>31:1</v>
      </c>
      <c r="E31" s="231" t="str">
        <f aca="false">IF(Calculator!$E$21&lt;&gt;"YES","—",IFERROR(INDEX($A$38:$A$103,MATCH(MIN(AW38:AW103),AW38:AW103,0)),"—"))</f>
        <v>32:1</v>
      </c>
      <c r="F31" s="231" t="str">
        <f aca="false">IF(Calculator!$E$21&lt;&gt;"YES","—",IFERROR(INDEX($A$38:$A$103,MATCH(MIN(BI38:BI103),BI38:BI103,0)),"—"))</f>
        <v>33:1</v>
      </c>
      <c r="G31" s="231" t="n">
        <f aca="false">IF(Calculator!$E$21&lt;&gt;"YES","—",IFERROR(ROUND(MIN(M38:M103),2),"—"))</f>
        <v>3.06</v>
      </c>
      <c r="H31" s="231" t="n">
        <f aca="false">IF(Calculator!$E$21&lt;&gt;"YES","—",IFERROR(ROUND(MIN(Y38:Y103),2),"—"))</f>
        <v>4.2</v>
      </c>
      <c r="I31" s="231" t="n">
        <f aca="false">IF(Calculator!$E$21&lt;&gt;"YES","—",IFERROR(ROUND(MIN(AK38:AK103),2),"—"))</f>
        <v>5.84</v>
      </c>
      <c r="J31" s="231" t="n">
        <f aca="false">IF(Calculator!$E$21&lt;&gt;"YES","—",IFERROR(ROUND(MIN(AW38:AW103),2),"—"))</f>
        <v>3.97</v>
      </c>
      <c r="K31" s="231" t="n">
        <f aca="false">IF(Calculator!$E$21&lt;&gt;"YES","—",IFERROR(ROUND(MIN(BI38:BI103),2),"—"))</f>
        <v>3.23</v>
      </c>
      <c r="L31" s="232"/>
      <c r="M31" s="232"/>
      <c r="N31" s="232"/>
      <c r="O31" s="232"/>
      <c r="P31" s="232"/>
      <c r="Q31" s="232"/>
      <c r="R31" s="232"/>
      <c r="S31" s="232"/>
      <c r="T31" s="232"/>
      <c r="U31" s="232"/>
      <c r="V31" s="232"/>
      <c r="W31" s="232"/>
      <c r="X31" s="232"/>
      <c r="Y31" s="232"/>
      <c r="Z31" s="232"/>
      <c r="AA31" s="232"/>
      <c r="AB31" s="232"/>
      <c r="AC31" s="232"/>
      <c r="AD31" s="232"/>
      <c r="AE31" s="232"/>
      <c r="AF31" s="232"/>
      <c r="AG31" s="232"/>
      <c r="AH31" s="232"/>
      <c r="AI31" s="232"/>
      <c r="AJ31" s="232"/>
      <c r="AK31" s="232"/>
      <c r="AL31" s="232"/>
    </row>
    <row r="32" customFormat="false" ht="15" hidden="false" customHeight="true" outlineLevel="0" collapsed="false">
      <c r="A32" s="226" t="str">
        <f aca="false">IF(Calculator!$E$22="YES","★ "&amp;"6m","6m")</f>
        <v>6m</v>
      </c>
      <c r="B32" s="226" t="str">
        <f aca="false">IF(Calculator!$E$22&lt;&gt;"YES","—",IFERROR(INDEX($A$38:$A$103,MATCH(MIN(N38:N103),N38:N103,0)),"—"))</f>
        <v>—</v>
      </c>
      <c r="C32" s="230" t="str">
        <f aca="false">IF(Calculator!$E$22&lt;&gt;"YES","—",IFERROR(INDEX($A$38:$A$103,MATCH(MIN(Z38:Z103),Z38:Z103,0)),"—"))</f>
        <v>—</v>
      </c>
      <c r="D32" s="231" t="str">
        <f aca="false">IF(Calculator!$E$22&lt;&gt;"YES","—",IFERROR(INDEX($A$38:$A$103,MATCH(MIN(AL38:AL103),AL38:AL103,0)),"—"))</f>
        <v>—</v>
      </c>
      <c r="E32" s="231" t="str">
        <f aca="false">IF(Calculator!$E$22&lt;&gt;"YES","—",IFERROR(INDEX($A$38:$A$103,MATCH(MIN(AX38:AX103),AX38:AX103,0)),"—"))</f>
        <v>—</v>
      </c>
      <c r="F32" s="231" t="str">
        <f aca="false">IF(Calculator!$E$22&lt;&gt;"YES","—",IFERROR(INDEX($A$38:$A$103,MATCH(MIN(BJ38:BJ103),BJ38:BJ103,0)),"—"))</f>
        <v>—</v>
      </c>
      <c r="G32" s="231" t="str">
        <f aca="false">IF(Calculator!$E$22&lt;&gt;"YES","—",IFERROR(ROUND(MIN(N38:N103),2),"—"))</f>
        <v>—</v>
      </c>
      <c r="H32" s="231" t="str">
        <f aca="false">IF(Calculator!$E$22&lt;&gt;"YES","—",IFERROR(ROUND(MIN(Z38:Z103),2),"—"))</f>
        <v>—</v>
      </c>
      <c r="I32" s="231" t="str">
        <f aca="false">IF(Calculator!$E$22&lt;&gt;"YES","—",IFERROR(ROUND(MIN(AL38:AL103),2),"—"))</f>
        <v>—</v>
      </c>
      <c r="J32" s="231" t="str">
        <f aca="false">IF(Calculator!$E$22&lt;&gt;"YES","—",IFERROR(ROUND(MIN(AX38:AX103),2),"—"))</f>
        <v>—</v>
      </c>
      <c r="K32" s="231" t="str">
        <f aca="false">IF(Calculator!$E$22&lt;&gt;"YES","—",IFERROR(ROUND(MIN(BJ38:BJ103),2),"—"))</f>
        <v>—</v>
      </c>
      <c r="L32" s="232"/>
      <c r="M32" s="232"/>
      <c r="N32" s="232"/>
      <c r="O32" s="232"/>
      <c r="P32" s="232"/>
      <c r="Q32" s="232"/>
      <c r="R32" s="232"/>
      <c r="S32" s="232"/>
      <c r="T32" s="232"/>
      <c r="U32" s="232"/>
      <c r="V32" s="232"/>
      <c r="W32" s="232"/>
      <c r="X32" s="232"/>
      <c r="Y32" s="232"/>
      <c r="Z32" s="232"/>
      <c r="AA32" s="232"/>
      <c r="AB32" s="232"/>
      <c r="AC32" s="232"/>
      <c r="AD32" s="232"/>
      <c r="AE32" s="232"/>
      <c r="AF32" s="232"/>
      <c r="AG32" s="232"/>
      <c r="AH32" s="232"/>
      <c r="AI32" s="232"/>
      <c r="AJ32" s="232"/>
      <c r="AK32" s="232"/>
      <c r="AL32" s="232"/>
    </row>
    <row r="33" customFormat="false" ht="15" hidden="false" customHeight="true" outlineLevel="0" collapsed="false">
      <c r="A33" s="223"/>
      <c r="B33" s="223"/>
      <c r="C33" s="233"/>
      <c r="D33" s="232"/>
      <c r="E33" s="232"/>
      <c r="F33" s="232"/>
      <c r="G33" s="232"/>
      <c r="H33" s="232"/>
      <c r="I33" s="232"/>
      <c r="J33" s="232"/>
      <c r="K33" s="232"/>
      <c r="L33" s="232"/>
      <c r="M33" s="232"/>
      <c r="N33" s="232"/>
      <c r="O33" s="232"/>
      <c r="P33" s="232"/>
      <c r="Q33" s="232"/>
      <c r="R33" s="232"/>
      <c r="S33" s="232"/>
      <c r="T33" s="232"/>
      <c r="U33" s="232"/>
      <c r="V33" s="232"/>
      <c r="W33" s="232"/>
      <c r="X33" s="232"/>
      <c r="Y33" s="232"/>
      <c r="Z33" s="232"/>
      <c r="AA33" s="232"/>
      <c r="AB33" s="232"/>
      <c r="AC33" s="232"/>
      <c r="AD33" s="232"/>
      <c r="AE33" s="232"/>
      <c r="AF33" s="232"/>
      <c r="AG33" s="232"/>
      <c r="AH33" s="232"/>
      <c r="AI33" s="232"/>
      <c r="AJ33" s="232"/>
      <c r="AK33" s="232"/>
      <c r="AL33" s="232"/>
    </row>
    <row r="34" customFormat="false" ht="15" hidden="false" customHeight="true" outlineLevel="0" collapsed="false">
      <c r="A34" s="234" t="s">
        <v>383</v>
      </c>
      <c r="B34" s="234"/>
      <c r="C34" s="234"/>
      <c r="D34" s="234"/>
      <c r="E34" s="234"/>
      <c r="F34" s="234"/>
      <c r="G34" s="234"/>
      <c r="H34" s="234"/>
      <c r="I34" s="234"/>
      <c r="J34" s="234"/>
      <c r="K34" s="234"/>
      <c r="L34" s="234"/>
      <c r="M34" s="234"/>
      <c r="N34" s="234"/>
      <c r="O34" s="234"/>
      <c r="P34" s="234"/>
      <c r="Q34" s="234"/>
      <c r="R34" s="234"/>
      <c r="S34" s="234"/>
      <c r="T34" s="234"/>
      <c r="U34" s="234"/>
      <c r="V34" s="234"/>
      <c r="W34" s="234"/>
      <c r="X34" s="234"/>
      <c r="Y34" s="234"/>
      <c r="Z34" s="234"/>
      <c r="AA34" s="234"/>
      <c r="AB34" s="234"/>
      <c r="AC34" s="234"/>
      <c r="AD34" s="234"/>
      <c r="AE34" s="234"/>
      <c r="AF34" s="234"/>
      <c r="AG34" s="234"/>
      <c r="AH34" s="234"/>
      <c r="AI34" s="234"/>
      <c r="AJ34" s="234"/>
      <c r="AK34" s="234"/>
      <c r="AL34" s="234"/>
      <c r="AM34" s="234"/>
      <c r="AN34" s="234"/>
      <c r="AO34" s="234"/>
      <c r="AP34" s="234"/>
      <c r="AQ34" s="234"/>
      <c r="AR34" s="234"/>
      <c r="AS34" s="234"/>
      <c r="AT34" s="234"/>
      <c r="AU34" s="234"/>
      <c r="AV34" s="234"/>
      <c r="AW34" s="234"/>
      <c r="AX34" s="234"/>
      <c r="AY34" s="234"/>
      <c r="AZ34" s="234"/>
      <c r="BA34" s="234"/>
      <c r="BB34" s="234"/>
      <c r="BC34" s="234"/>
      <c r="BD34" s="234"/>
      <c r="BE34" s="234"/>
      <c r="BF34" s="234"/>
      <c r="BG34" s="234"/>
      <c r="BH34" s="234"/>
      <c r="BI34" s="234"/>
      <c r="BJ34" s="234"/>
      <c r="BK34" s="234"/>
    </row>
    <row r="35" customFormat="false" ht="15" hidden="false" customHeight="true" outlineLevel="0" collapsed="false">
      <c r="A35" s="235" t="s">
        <v>384</v>
      </c>
      <c r="B35" s="235"/>
      <c r="C35" s="235"/>
      <c r="D35" s="235"/>
      <c r="E35" s="235"/>
      <c r="F35" s="235"/>
      <c r="G35" s="235"/>
      <c r="H35" s="235"/>
      <c r="I35" s="235"/>
      <c r="J35" s="235"/>
      <c r="K35" s="235"/>
      <c r="L35" s="235"/>
      <c r="M35" s="235"/>
      <c r="N35" s="235"/>
      <c r="O35" s="235"/>
      <c r="P35" s="235"/>
      <c r="Q35" s="235"/>
      <c r="R35" s="235"/>
      <c r="S35" s="235"/>
      <c r="T35" s="235"/>
      <c r="U35" s="235"/>
      <c r="V35" s="235"/>
      <c r="W35" s="235"/>
      <c r="X35" s="235"/>
      <c r="Y35" s="235"/>
      <c r="Z35" s="235"/>
      <c r="AA35" s="235"/>
      <c r="AB35" s="235"/>
      <c r="AC35" s="235"/>
      <c r="AD35" s="235"/>
      <c r="AE35" s="235"/>
      <c r="AF35" s="235"/>
      <c r="AG35" s="235"/>
      <c r="AH35" s="235"/>
      <c r="AI35" s="235"/>
      <c r="AJ35" s="235"/>
      <c r="AK35" s="235"/>
      <c r="AL35" s="235"/>
      <c r="AM35" s="235"/>
      <c r="AN35" s="235"/>
      <c r="AO35" s="235"/>
      <c r="AP35" s="235"/>
      <c r="AQ35" s="235"/>
      <c r="AR35" s="235"/>
      <c r="AS35" s="235"/>
      <c r="AT35" s="235"/>
      <c r="AU35" s="235"/>
      <c r="AV35" s="235"/>
      <c r="AW35" s="235"/>
      <c r="AX35" s="235"/>
      <c r="AY35" s="235"/>
      <c r="AZ35" s="235"/>
      <c r="BA35" s="235"/>
      <c r="BB35" s="235"/>
      <c r="BC35" s="235"/>
      <c r="BD35" s="235"/>
      <c r="BE35" s="235"/>
      <c r="BF35" s="235"/>
      <c r="BG35" s="235"/>
      <c r="BH35" s="235"/>
      <c r="BI35" s="235"/>
      <c r="BJ35" s="235"/>
      <c r="BK35" s="235"/>
    </row>
    <row r="36" customFormat="false" ht="27.75" hidden="false" customHeight="true" outlineLevel="0" collapsed="false">
      <c r="A36" s="236" t="s">
        <v>385</v>
      </c>
      <c r="B36" s="236" t="s">
        <v>386</v>
      </c>
      <c r="C36" s="237" t="s">
        <v>387</v>
      </c>
      <c r="D36" s="238" t="str">
        <f aca="false">"Antenna #"&amp;1&amp;" — "&amp;Calculator!$B$29&amp;" m  "&amp;Calculator!$G$29</f>
        <v>Antenna #1 — 53.4 m  Long wire – max performance</v>
      </c>
      <c r="E36" s="238"/>
      <c r="F36" s="238"/>
      <c r="G36" s="238"/>
      <c r="H36" s="238"/>
      <c r="I36" s="238"/>
      <c r="J36" s="238"/>
      <c r="K36" s="238"/>
      <c r="L36" s="238"/>
      <c r="M36" s="238"/>
      <c r="N36" s="238"/>
      <c r="O36" s="238"/>
      <c r="P36" s="239" t="str">
        <f aca="false">"Antenna #"&amp;2&amp;" — "&amp;Calculator!$B$30&amp;" m  "&amp;Calculator!$G$30</f>
        <v>Antenna #2 — 43.4 m  Excellent home station</v>
      </c>
      <c r="Q36" s="239"/>
      <c r="R36" s="239"/>
      <c r="S36" s="239"/>
      <c r="T36" s="239"/>
      <c r="U36" s="239"/>
      <c r="V36" s="239"/>
      <c r="W36" s="239"/>
      <c r="X36" s="239"/>
      <c r="Y36" s="239"/>
      <c r="Z36" s="239"/>
      <c r="AA36" s="239"/>
      <c r="AB36" s="240" t="str">
        <f aca="false">"Antenna #"&amp;3&amp;" — "&amp;Calculator!$B$31&amp;" m  "&amp;Calculator!$G$31</f>
        <v>Antenna #3 — 33.4 m  Excellent home station</v>
      </c>
      <c r="AC36" s="240"/>
      <c r="AD36" s="240"/>
      <c r="AE36" s="240"/>
      <c r="AF36" s="240"/>
      <c r="AG36" s="240"/>
      <c r="AH36" s="240"/>
      <c r="AI36" s="240"/>
      <c r="AJ36" s="240"/>
      <c r="AK36" s="240"/>
      <c r="AL36" s="240"/>
      <c r="AM36" s="240"/>
      <c r="AN36" s="241" t="str">
        <f aca="false">"Antenna #"&amp;4&amp;" — "&amp;Calculator!$B$32&amp;" m  "&amp;Calculator!$G$32</f>
        <v>Antenna #4 — 53.3 m  Long wire – max performance</v>
      </c>
      <c r="AO36" s="241"/>
      <c r="AP36" s="241"/>
      <c r="AQ36" s="241"/>
      <c r="AR36" s="241"/>
      <c r="AS36" s="241"/>
      <c r="AT36" s="241"/>
      <c r="AU36" s="241"/>
      <c r="AV36" s="241"/>
      <c r="AW36" s="241"/>
      <c r="AX36" s="241"/>
      <c r="AY36" s="241"/>
      <c r="AZ36" s="242" t="str">
        <f aca="false">"Antenna #"&amp;5&amp;" — "&amp;Calculator!$B$33&amp;" m  "&amp;Calculator!$G$33</f>
        <v>Antenna #5 — 43.5 m  Excellent home station</v>
      </c>
      <c r="BA36" s="242"/>
      <c r="BB36" s="242"/>
      <c r="BC36" s="242"/>
      <c r="BD36" s="242"/>
      <c r="BE36" s="242"/>
      <c r="BF36" s="242"/>
      <c r="BG36" s="242"/>
      <c r="BH36" s="242"/>
      <c r="BI36" s="242"/>
      <c r="BJ36" s="242"/>
      <c r="BK36" s="242"/>
      <c r="BM36" s="74" t="str">
        <f aca="false">"Antenna #"&amp;1&amp;" (w/CP) — "&amp;Calculator!$B$29&amp;" m  "&amp;Calculator!$G$29</f>
        <v>Antenna #1 (w/CP) — 53.4 m  Long wire – max performance</v>
      </c>
      <c r="BY36" s="74" t="str">
        <f aca="false">"Antenna #"&amp;2&amp;" (w/CP) — "&amp;Calculator!$B$30&amp;" m  "&amp;Calculator!$G$30</f>
        <v>Antenna #2 (w/CP) — 43.4 m  Excellent home station</v>
      </c>
      <c r="CK36" s="74" t="str">
        <f aca="false">"Antenna #"&amp;3&amp;" (w/CP) — "&amp;Calculator!$B$31&amp;" m  "&amp;Calculator!$G$31</f>
        <v>Antenna #3 (w/CP) — 33.4 m  Excellent home station</v>
      </c>
      <c r="CW36" s="74" t="str">
        <f aca="false">"Antenna #"&amp;4&amp;" (w/CP) — "&amp;Calculator!$B$32&amp;" m  "&amp;Calculator!$G$32</f>
        <v>Antenna #4 (w/CP) — 53.3 m  Long wire – max performance</v>
      </c>
      <c r="DI36" s="74" t="str">
        <f aca="false">"Antenna #"&amp;5&amp;" (w/CP) — "&amp;Calculator!$B$33&amp;" m  "&amp;Calculator!$G$33</f>
        <v>Antenna #5 (w/CP) — 43.5 m  Excellent home station</v>
      </c>
    </row>
    <row r="37" customFormat="false" ht="27.75" hidden="false" customHeight="true" outlineLevel="0" collapsed="false">
      <c r="A37" s="226"/>
      <c r="B37" s="226" t="s">
        <v>388</v>
      </c>
      <c r="C37" s="230" t="s">
        <v>389</v>
      </c>
      <c r="D37" s="243" t="s">
        <v>16</v>
      </c>
      <c r="E37" s="243" t="s">
        <v>18</v>
      </c>
      <c r="F37" s="243" t="s">
        <v>19</v>
      </c>
      <c r="G37" s="243" t="s">
        <v>20</v>
      </c>
      <c r="H37" s="243" t="s">
        <v>22</v>
      </c>
      <c r="I37" s="243" t="s">
        <v>23</v>
      </c>
      <c r="J37" s="243" t="s">
        <v>24</v>
      </c>
      <c r="K37" s="243" t="s">
        <v>25</v>
      </c>
      <c r="L37" s="243" t="s">
        <v>26</v>
      </c>
      <c r="M37" s="243" t="s">
        <v>27</v>
      </c>
      <c r="N37" s="243" t="s">
        <v>28</v>
      </c>
      <c r="O37" s="244" t="s">
        <v>390</v>
      </c>
      <c r="P37" s="243" t="s">
        <v>16</v>
      </c>
      <c r="Q37" s="243" t="s">
        <v>18</v>
      </c>
      <c r="R37" s="243" t="s">
        <v>19</v>
      </c>
      <c r="S37" s="243" t="s">
        <v>20</v>
      </c>
      <c r="T37" s="243" t="s">
        <v>22</v>
      </c>
      <c r="U37" s="243" t="s">
        <v>23</v>
      </c>
      <c r="V37" s="243" t="s">
        <v>24</v>
      </c>
      <c r="W37" s="243" t="s">
        <v>25</v>
      </c>
      <c r="X37" s="243" t="s">
        <v>26</v>
      </c>
      <c r="Y37" s="243" t="s">
        <v>27</v>
      </c>
      <c r="Z37" s="243" t="s">
        <v>28</v>
      </c>
      <c r="AA37" s="244" t="s">
        <v>390</v>
      </c>
      <c r="AB37" s="243" t="s">
        <v>16</v>
      </c>
      <c r="AC37" s="243" t="s">
        <v>18</v>
      </c>
      <c r="AD37" s="243" t="s">
        <v>19</v>
      </c>
      <c r="AE37" s="243" t="s">
        <v>20</v>
      </c>
      <c r="AF37" s="243" t="s">
        <v>22</v>
      </c>
      <c r="AG37" s="243" t="s">
        <v>23</v>
      </c>
      <c r="AH37" s="243" t="s">
        <v>24</v>
      </c>
      <c r="AI37" s="243" t="s">
        <v>25</v>
      </c>
      <c r="AJ37" s="243" t="s">
        <v>26</v>
      </c>
      <c r="AK37" s="243" t="s">
        <v>27</v>
      </c>
      <c r="AL37" s="243" t="s">
        <v>28</v>
      </c>
      <c r="AM37" s="245" t="s">
        <v>390</v>
      </c>
      <c r="AN37" s="246" t="s">
        <v>16</v>
      </c>
      <c r="AO37" s="246" t="s">
        <v>18</v>
      </c>
      <c r="AP37" s="246" t="s">
        <v>19</v>
      </c>
      <c r="AQ37" s="246" t="s">
        <v>20</v>
      </c>
      <c r="AR37" s="246" t="s">
        <v>22</v>
      </c>
      <c r="AS37" s="246" t="s">
        <v>23</v>
      </c>
      <c r="AT37" s="246" t="s">
        <v>24</v>
      </c>
      <c r="AU37" s="246" t="s">
        <v>25</v>
      </c>
      <c r="AV37" s="246" t="s">
        <v>26</v>
      </c>
      <c r="AW37" s="246" t="s">
        <v>27</v>
      </c>
      <c r="AX37" s="246" t="s">
        <v>28</v>
      </c>
      <c r="AY37" s="245" t="s">
        <v>390</v>
      </c>
      <c r="AZ37" s="246" t="s">
        <v>16</v>
      </c>
      <c r="BA37" s="246" t="s">
        <v>18</v>
      </c>
      <c r="BB37" s="246" t="s">
        <v>19</v>
      </c>
      <c r="BC37" s="246" t="s">
        <v>20</v>
      </c>
      <c r="BD37" s="246" t="s">
        <v>22</v>
      </c>
      <c r="BE37" s="246" t="s">
        <v>23</v>
      </c>
      <c r="BF37" s="246" t="s">
        <v>24</v>
      </c>
      <c r="BG37" s="246" t="s">
        <v>25</v>
      </c>
      <c r="BH37" s="246" t="s">
        <v>26</v>
      </c>
      <c r="BI37" s="246" t="s">
        <v>27</v>
      </c>
      <c r="BJ37" s="246" t="s">
        <v>28</v>
      </c>
      <c r="BK37" s="245" t="s">
        <v>390</v>
      </c>
      <c r="BM37" s="74" t="s">
        <v>16</v>
      </c>
      <c r="BN37" s="74" t="s">
        <v>18</v>
      </c>
      <c r="BO37" s="74" t="s">
        <v>19</v>
      </c>
      <c r="BP37" s="74" t="s">
        <v>20</v>
      </c>
      <c r="BQ37" s="74" t="s">
        <v>22</v>
      </c>
      <c r="BR37" s="74" t="s">
        <v>23</v>
      </c>
      <c r="BS37" s="74" t="s">
        <v>24</v>
      </c>
      <c r="BT37" s="74" t="s">
        <v>25</v>
      </c>
      <c r="BU37" s="74" t="s">
        <v>26</v>
      </c>
      <c r="BV37" s="74" t="s">
        <v>27</v>
      </c>
      <c r="BW37" s="74" t="s">
        <v>28</v>
      </c>
      <c r="BX37" s="210" t="s">
        <v>391</v>
      </c>
      <c r="BY37" s="74" t="s">
        <v>16</v>
      </c>
      <c r="BZ37" s="74" t="s">
        <v>18</v>
      </c>
      <c r="CA37" s="74" t="s">
        <v>19</v>
      </c>
      <c r="CB37" s="74" t="s">
        <v>20</v>
      </c>
      <c r="CC37" s="74" t="s">
        <v>22</v>
      </c>
      <c r="CD37" s="74" t="s">
        <v>23</v>
      </c>
      <c r="CE37" s="74" t="s">
        <v>24</v>
      </c>
      <c r="CF37" s="74" t="s">
        <v>25</v>
      </c>
      <c r="CG37" s="74" t="s">
        <v>26</v>
      </c>
      <c r="CH37" s="74" t="s">
        <v>27</v>
      </c>
      <c r="CI37" s="74" t="s">
        <v>28</v>
      </c>
      <c r="CJ37" s="210" t="s">
        <v>391</v>
      </c>
      <c r="CK37" s="74" t="s">
        <v>16</v>
      </c>
      <c r="CL37" s="74" t="s">
        <v>18</v>
      </c>
      <c r="CM37" s="74" t="s">
        <v>19</v>
      </c>
      <c r="CN37" s="74" t="s">
        <v>20</v>
      </c>
      <c r="CO37" s="74" t="s">
        <v>22</v>
      </c>
      <c r="CP37" s="74" t="s">
        <v>23</v>
      </c>
      <c r="CQ37" s="74" t="s">
        <v>24</v>
      </c>
      <c r="CR37" s="74" t="s">
        <v>25</v>
      </c>
      <c r="CS37" s="74" t="s">
        <v>26</v>
      </c>
      <c r="CT37" s="74" t="s">
        <v>27</v>
      </c>
      <c r="CU37" s="74" t="s">
        <v>28</v>
      </c>
      <c r="CV37" s="210" t="s">
        <v>391</v>
      </c>
      <c r="CW37" s="74" t="s">
        <v>16</v>
      </c>
      <c r="CX37" s="74" t="s">
        <v>18</v>
      </c>
      <c r="CY37" s="74" t="s">
        <v>19</v>
      </c>
      <c r="CZ37" s="74" t="s">
        <v>20</v>
      </c>
      <c r="DA37" s="74" t="s">
        <v>22</v>
      </c>
      <c r="DB37" s="74" t="s">
        <v>23</v>
      </c>
      <c r="DC37" s="74" t="s">
        <v>24</v>
      </c>
      <c r="DD37" s="74" t="s">
        <v>25</v>
      </c>
      <c r="DE37" s="74" t="s">
        <v>26</v>
      </c>
      <c r="DF37" s="74" t="s">
        <v>27</v>
      </c>
      <c r="DG37" s="74" t="s">
        <v>28</v>
      </c>
      <c r="DH37" s="210" t="s">
        <v>391</v>
      </c>
      <c r="DI37" s="74" t="s">
        <v>16</v>
      </c>
      <c r="DJ37" s="74" t="s">
        <v>18</v>
      </c>
      <c r="DK37" s="74" t="s">
        <v>19</v>
      </c>
      <c r="DL37" s="74" t="s">
        <v>20</v>
      </c>
      <c r="DM37" s="74" t="s">
        <v>22</v>
      </c>
      <c r="DN37" s="74" t="s">
        <v>23</v>
      </c>
      <c r="DO37" s="74" t="s">
        <v>24</v>
      </c>
      <c r="DP37" s="74" t="s">
        <v>25</v>
      </c>
      <c r="DQ37" s="74" t="s">
        <v>26</v>
      </c>
      <c r="DR37" s="74" t="s">
        <v>27</v>
      </c>
      <c r="DS37" s="74" t="s">
        <v>28</v>
      </c>
      <c r="DT37" s="210" t="s">
        <v>391</v>
      </c>
      <c r="DU37" s="247" t="s">
        <v>16</v>
      </c>
      <c r="DV37" s="247" t="s">
        <v>18</v>
      </c>
      <c r="DW37" s="247" t="s">
        <v>19</v>
      </c>
      <c r="DX37" s="247" t="s">
        <v>20</v>
      </c>
      <c r="DY37" s="247" t="s">
        <v>22</v>
      </c>
      <c r="DZ37" s="247" t="s">
        <v>23</v>
      </c>
      <c r="EA37" s="247" t="s">
        <v>24</v>
      </c>
      <c r="EB37" s="247" t="s">
        <v>25</v>
      </c>
      <c r="EC37" s="247" t="s">
        <v>26</v>
      </c>
      <c r="ED37" s="247" t="s">
        <v>27</v>
      </c>
      <c r="EE37" s="247" t="s">
        <v>28</v>
      </c>
      <c r="EF37" s="248" t="s">
        <v>390</v>
      </c>
      <c r="EG37" s="247" t="s">
        <v>16</v>
      </c>
      <c r="EH37" s="247" t="s">
        <v>18</v>
      </c>
      <c r="EI37" s="247" t="s">
        <v>19</v>
      </c>
      <c r="EJ37" s="247" t="s">
        <v>20</v>
      </c>
      <c r="EK37" s="247" t="s">
        <v>22</v>
      </c>
      <c r="EL37" s="247" t="s">
        <v>23</v>
      </c>
      <c r="EM37" s="247" t="s">
        <v>24</v>
      </c>
      <c r="EN37" s="247" t="s">
        <v>25</v>
      </c>
      <c r="EO37" s="247" t="s">
        <v>26</v>
      </c>
      <c r="EP37" s="247" t="s">
        <v>27</v>
      </c>
      <c r="EQ37" s="247" t="s">
        <v>28</v>
      </c>
      <c r="ER37" s="248" t="s">
        <v>390</v>
      </c>
      <c r="ES37" s="247" t="s">
        <v>16</v>
      </c>
      <c r="ET37" s="247" t="s">
        <v>18</v>
      </c>
      <c r="EU37" s="247" t="s">
        <v>19</v>
      </c>
      <c r="EV37" s="247" t="s">
        <v>20</v>
      </c>
      <c r="EW37" s="247" t="s">
        <v>22</v>
      </c>
      <c r="EX37" s="247" t="s">
        <v>23</v>
      </c>
      <c r="EY37" s="247" t="s">
        <v>24</v>
      </c>
      <c r="EZ37" s="247" t="s">
        <v>25</v>
      </c>
      <c r="FA37" s="247" t="s">
        <v>26</v>
      </c>
      <c r="FB37" s="247" t="s">
        <v>27</v>
      </c>
      <c r="FC37" s="247" t="s">
        <v>28</v>
      </c>
      <c r="FD37" s="248" t="s">
        <v>390</v>
      </c>
      <c r="FE37" s="247" t="s">
        <v>16</v>
      </c>
      <c r="FF37" s="247" t="s">
        <v>18</v>
      </c>
      <c r="FG37" s="247" t="s">
        <v>19</v>
      </c>
      <c r="FH37" s="247" t="s">
        <v>20</v>
      </c>
      <c r="FI37" s="247" t="s">
        <v>22</v>
      </c>
      <c r="FJ37" s="247" t="s">
        <v>23</v>
      </c>
      <c r="FK37" s="247" t="s">
        <v>24</v>
      </c>
      <c r="FL37" s="247" t="s">
        <v>25</v>
      </c>
      <c r="FM37" s="247" t="s">
        <v>26</v>
      </c>
      <c r="FN37" s="247" t="s">
        <v>27</v>
      </c>
      <c r="FO37" s="247" t="s">
        <v>28</v>
      </c>
      <c r="FP37" s="248" t="s">
        <v>390</v>
      </c>
      <c r="FQ37" s="247" t="s">
        <v>16</v>
      </c>
      <c r="FR37" s="247" t="s">
        <v>18</v>
      </c>
      <c r="FS37" s="247" t="s">
        <v>19</v>
      </c>
      <c r="FT37" s="247" t="s">
        <v>20</v>
      </c>
      <c r="FU37" s="247" t="s">
        <v>22</v>
      </c>
      <c r="FV37" s="247" t="s">
        <v>23</v>
      </c>
      <c r="FW37" s="247" t="s">
        <v>24</v>
      </c>
      <c r="FX37" s="247" t="s">
        <v>25</v>
      </c>
      <c r="FY37" s="247" t="s">
        <v>26</v>
      </c>
      <c r="FZ37" s="247" t="s">
        <v>27</v>
      </c>
      <c r="GA37" s="247" t="s">
        <v>28</v>
      </c>
      <c r="GB37" s="248" t="s">
        <v>390</v>
      </c>
      <c r="GD37" s="74" t="s">
        <v>16</v>
      </c>
      <c r="GE37" s="74" t="s">
        <v>18</v>
      </c>
      <c r="GF37" s="74" t="s">
        <v>19</v>
      </c>
      <c r="GG37" s="74" t="s">
        <v>20</v>
      </c>
      <c r="GH37" s="74" t="s">
        <v>22</v>
      </c>
      <c r="GI37" s="74" t="s">
        <v>23</v>
      </c>
      <c r="GJ37" s="74" t="s">
        <v>24</v>
      </c>
      <c r="GK37" s="74" t="s">
        <v>25</v>
      </c>
      <c r="GL37" s="74" t="s">
        <v>26</v>
      </c>
      <c r="GM37" s="74" t="s">
        <v>27</v>
      </c>
      <c r="GN37" s="74" t="s">
        <v>28</v>
      </c>
      <c r="GO37" s="210" t="s">
        <v>391</v>
      </c>
      <c r="GP37" s="74" t="s">
        <v>16</v>
      </c>
      <c r="GQ37" s="74" t="s">
        <v>18</v>
      </c>
      <c r="GR37" s="74" t="s">
        <v>19</v>
      </c>
      <c r="GS37" s="74" t="s">
        <v>20</v>
      </c>
      <c r="GT37" s="74" t="s">
        <v>22</v>
      </c>
      <c r="GU37" s="74" t="s">
        <v>23</v>
      </c>
      <c r="GV37" s="74" t="s">
        <v>24</v>
      </c>
      <c r="GW37" s="74" t="s">
        <v>25</v>
      </c>
      <c r="GX37" s="74" t="s">
        <v>26</v>
      </c>
      <c r="GY37" s="74" t="s">
        <v>27</v>
      </c>
      <c r="GZ37" s="74" t="s">
        <v>28</v>
      </c>
      <c r="HA37" s="210" t="s">
        <v>391</v>
      </c>
      <c r="HB37" s="74" t="s">
        <v>16</v>
      </c>
      <c r="HC37" s="74" t="s">
        <v>18</v>
      </c>
      <c r="HD37" s="74" t="s">
        <v>19</v>
      </c>
      <c r="HE37" s="74" t="s">
        <v>20</v>
      </c>
      <c r="HF37" s="74" t="s">
        <v>22</v>
      </c>
      <c r="HG37" s="74" t="s">
        <v>23</v>
      </c>
      <c r="HH37" s="74" t="s">
        <v>24</v>
      </c>
      <c r="HI37" s="74" t="s">
        <v>25</v>
      </c>
      <c r="HJ37" s="74" t="s">
        <v>26</v>
      </c>
      <c r="HK37" s="74" t="s">
        <v>27</v>
      </c>
      <c r="HL37" s="74" t="s">
        <v>28</v>
      </c>
      <c r="HM37" s="210" t="s">
        <v>391</v>
      </c>
      <c r="HN37" s="74" t="s">
        <v>16</v>
      </c>
      <c r="HO37" s="74" t="s">
        <v>18</v>
      </c>
      <c r="HP37" s="74" t="s">
        <v>19</v>
      </c>
      <c r="HQ37" s="74" t="s">
        <v>20</v>
      </c>
      <c r="HR37" s="74" t="s">
        <v>22</v>
      </c>
      <c r="HS37" s="74" t="s">
        <v>23</v>
      </c>
      <c r="HT37" s="74" t="s">
        <v>24</v>
      </c>
      <c r="HU37" s="74" t="s">
        <v>25</v>
      </c>
      <c r="HV37" s="74" t="s">
        <v>26</v>
      </c>
      <c r="HW37" s="74" t="s">
        <v>27</v>
      </c>
      <c r="HX37" s="74" t="s">
        <v>28</v>
      </c>
      <c r="HY37" s="210" t="s">
        <v>391</v>
      </c>
      <c r="HZ37" s="74" t="s">
        <v>16</v>
      </c>
      <c r="IA37" s="74" t="s">
        <v>18</v>
      </c>
      <c r="IB37" s="74" t="s">
        <v>19</v>
      </c>
      <c r="IC37" s="74" t="s">
        <v>20</v>
      </c>
      <c r="ID37" s="74" t="s">
        <v>22</v>
      </c>
      <c r="IE37" s="74" t="s">
        <v>23</v>
      </c>
      <c r="IF37" s="74" t="s">
        <v>24</v>
      </c>
      <c r="IG37" s="74" t="s">
        <v>25</v>
      </c>
      <c r="IH37" s="74" t="s">
        <v>26</v>
      </c>
      <c r="II37" s="74" t="s">
        <v>27</v>
      </c>
      <c r="IJ37" s="74" t="s">
        <v>28</v>
      </c>
      <c r="IK37" s="210" t="s">
        <v>391</v>
      </c>
    </row>
    <row r="38" customFormat="false" ht="15" hidden="false" customHeight="true" outlineLevel="0" collapsed="false">
      <c r="A38" s="249" t="s">
        <v>392</v>
      </c>
      <c r="B38" s="250" t="s">
        <v>393</v>
      </c>
      <c r="C38" s="251" t="n">
        <v>200</v>
      </c>
      <c r="D38" s="252"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52"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52"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52"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54.57</v>
      </c>
      <c r="H38" s="252"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52"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51.41</v>
      </c>
      <c r="J38" s="252"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52"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52"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52" t="n">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14.72</v>
      </c>
      <c r="N38" s="252"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53"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40.2333</v>
      </c>
      <c r="P38" s="252"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52"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52"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52"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T38" s="252"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52"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53.35</v>
      </c>
      <c r="V38" s="252"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52"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52"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52" t="n">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18.38</v>
      </c>
      <c r="Z38" s="252"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53"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28.48</v>
      </c>
      <c r="AB38" s="252"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52"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52"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52"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55.74</v>
      </c>
      <c r="AF38" s="252"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52"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55.17</v>
      </c>
      <c r="AH38" s="252"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52"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52"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52" t="n">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24.17</v>
      </c>
      <c r="AL38" s="252"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54"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45.0267</v>
      </c>
      <c r="AN38" s="255"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55"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55"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55"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56.23</v>
      </c>
      <c r="AR38" s="255"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55"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47.55</v>
      </c>
      <c r="AT38" s="255"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55"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55"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55" t="n">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17.58</v>
      </c>
      <c r="AX38" s="255"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54"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40.4533</v>
      </c>
      <c r="AZ38" s="255"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55"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55"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55"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14.11</v>
      </c>
      <c r="BD38" s="255"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55"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56.68</v>
      </c>
      <c r="BF38" s="255"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55"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55"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55" t="n">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15.22</v>
      </c>
      <c r="BJ38" s="255"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54"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28.67</v>
      </c>
      <c r="BM38" s="74"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74"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74"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74"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44.94</v>
      </c>
      <c r="BQ38" s="74"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74"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44.83</v>
      </c>
      <c r="BS38" s="74"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74"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74"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74" t="n">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14.5</v>
      </c>
      <c r="BW38" s="74"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74"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34.7567</v>
      </c>
      <c r="BY38" s="74"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74"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74"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74"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13.65</v>
      </c>
      <c r="CC38" s="74"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74"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46.08</v>
      </c>
      <c r="CE38" s="74"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74"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74"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74" t="n">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17.62</v>
      </c>
      <c r="CI38" s="74"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74"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25.7833</v>
      </c>
      <c r="CK38" s="74"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74"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74"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74"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45.53</v>
      </c>
      <c r="CO38" s="74"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74"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47.2</v>
      </c>
      <c r="CQ38" s="74"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74"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74"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74" t="n">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22.4</v>
      </c>
      <c r="CU38" s="74"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74"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38.3767</v>
      </c>
      <c r="CW38" s="74"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74"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74"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74"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45.76</v>
      </c>
      <c r="DA38" s="74"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74"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42.16</v>
      </c>
      <c r="DC38" s="74"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74"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74"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74" t="n">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16.95</v>
      </c>
      <c r="DG38" s="74"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74"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34.9567</v>
      </c>
      <c r="DI38" s="74"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74"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74"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74"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14.01</v>
      </c>
      <c r="DM38" s="74"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74"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48.06</v>
      </c>
      <c r="DO38" s="74"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74"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74"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74" t="n">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14.92</v>
      </c>
      <c r="DS38" s="74"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74"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25.6633</v>
      </c>
      <c r="DU38" s="256"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56"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56"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56"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13.37</v>
      </c>
      <c r="DY38" s="256"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56"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49.62</v>
      </c>
      <c r="EA38" s="256"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56"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56"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56" t="n">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23</v>
      </c>
      <c r="EE38" s="256"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57"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28.6633</v>
      </c>
      <c r="EG38" s="256"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56"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56"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56"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13.47</v>
      </c>
      <c r="EK38" s="256"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56"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56.86</v>
      </c>
      <c r="EM38" s="256"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56"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56"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56" t="n">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32.08</v>
      </c>
      <c r="EQ38" s="256"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57"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34.1367</v>
      </c>
      <c r="ES38" s="256"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56"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56"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56"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57.31</v>
      </c>
      <c r="EW38" s="256"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56"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51.63</v>
      </c>
      <c r="EY38" s="256"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56"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56"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56" t="n">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30.55</v>
      </c>
      <c r="FC38" s="256"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57"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46.4967</v>
      </c>
      <c r="FE38" s="256"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56"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56"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56"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57.75</v>
      </c>
      <c r="FI38" s="256"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56"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43.55</v>
      </c>
      <c r="FK38" s="256"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56"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56"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56" t="n">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21.88</v>
      </c>
      <c r="FO38" s="256"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57"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41.06</v>
      </c>
      <c r="FQ38" s="256"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56"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56"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56"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13.18</v>
      </c>
      <c r="FU38" s="256"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56"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53.55</v>
      </c>
      <c r="FW38" s="256"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56"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56"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56" t="n">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39.83</v>
      </c>
      <c r="GA38" s="256"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57"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35.52</v>
      </c>
      <c r="GD38" s="74"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74"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74"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74"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13.35</v>
      </c>
      <c r="GH38" s="74"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74"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43.62</v>
      </c>
      <c r="GJ38" s="74"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74"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74"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74" t="n">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21.45</v>
      </c>
      <c r="GN38" s="74"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74"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26.14</v>
      </c>
      <c r="GP38" s="74"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74"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74"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74"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13.43</v>
      </c>
      <c r="GT38" s="74"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74"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48.16</v>
      </c>
      <c r="GV38" s="74"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74"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74"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74" t="n">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28.49</v>
      </c>
      <c r="GZ38" s="74"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74"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30.0267</v>
      </c>
      <c r="HB38" s="74"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74"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74"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74"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46.25</v>
      </c>
      <c r="HF38" s="74"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74"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44.97</v>
      </c>
      <c r="HH38" s="74"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74"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74"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74" t="n">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27.36</v>
      </c>
      <c r="HL38" s="74"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74"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39.5267</v>
      </c>
      <c r="HN38" s="74"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74"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74"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74"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46.43</v>
      </c>
      <c r="HR38" s="74"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74"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39.2</v>
      </c>
      <c r="HT38" s="74"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74"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74"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74" t="n">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20.55</v>
      </c>
      <c r="HX38" s="74"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74"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35.3933</v>
      </c>
      <c r="HZ38" s="74"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74"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74"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74"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13.18</v>
      </c>
      <c r="ID38" s="74"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74"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46.21</v>
      </c>
      <c r="IF38" s="74"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74"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74"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74" t="n">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33.88</v>
      </c>
      <c r="IJ38" s="74"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74"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31.09</v>
      </c>
    </row>
    <row r="39" customFormat="false" ht="15" hidden="false" customHeight="true" outlineLevel="0" collapsed="false">
      <c r="A39" s="226" t="s">
        <v>394</v>
      </c>
      <c r="B39" s="226" t="s">
        <v>331</v>
      </c>
      <c r="C39" s="230" t="n">
        <v>250</v>
      </c>
      <c r="D39" s="231"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31"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31"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31"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44.16</v>
      </c>
      <c r="H39" s="231"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31"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41.59</v>
      </c>
      <c r="J39" s="231"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31"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31"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31" t="n">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11.84</v>
      </c>
      <c r="N39" s="231"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58"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32.53</v>
      </c>
      <c r="P39" s="231"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31"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31"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31"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11.01</v>
      </c>
      <c r="T39" s="231"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31"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43.16</v>
      </c>
      <c r="V39" s="231"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31"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31"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31" t="n">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14.8</v>
      </c>
      <c r="Z39" s="231"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58"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22.99</v>
      </c>
      <c r="AB39" s="231"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31"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31"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31"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45.12</v>
      </c>
      <c r="AF39" s="231"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31"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44.66</v>
      </c>
      <c r="AH39" s="231"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31"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31"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31" t="n">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19.49</v>
      </c>
      <c r="AL39" s="231"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59"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36.4233</v>
      </c>
      <c r="AN39" s="260"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60"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60"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60"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45.52</v>
      </c>
      <c r="AR39" s="260"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60"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38.44</v>
      </c>
      <c r="AT39" s="260"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60"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60"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60" t="n">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14.16</v>
      </c>
      <c r="AX39" s="260"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59"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32.7067</v>
      </c>
      <c r="AZ39" s="260"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60"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60"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60"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11.34</v>
      </c>
      <c r="BD39" s="260"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60"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45.9</v>
      </c>
      <c r="BF39" s="260"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60"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60"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60" t="n">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12.24</v>
      </c>
      <c r="BJ39" s="260"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59"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23.16</v>
      </c>
      <c r="BM39" s="74"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74"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74"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74"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36.36</v>
      </c>
      <c r="BQ39" s="74"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74"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36.25</v>
      </c>
      <c r="BS39" s="74"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74"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74"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74" t="n">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11.65</v>
      </c>
      <c r="BW39" s="74"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74"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28.0867</v>
      </c>
      <c r="BY39" s="74"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74"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74"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74"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10.96</v>
      </c>
      <c r="CC39" s="74"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74"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37.28</v>
      </c>
      <c r="CE39" s="74"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74"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74"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74" t="n">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14.19</v>
      </c>
      <c r="CI39" s="74"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74"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20.81</v>
      </c>
      <c r="CK39" s="74"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74"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74"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74"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36.85</v>
      </c>
      <c r="CO39" s="74"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74"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38.2</v>
      </c>
      <c r="CQ39" s="74"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74"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74"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74" t="n">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18.06</v>
      </c>
      <c r="CU39" s="74"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74"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31.0367</v>
      </c>
      <c r="CW39" s="74"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74"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74"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74"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37.04</v>
      </c>
      <c r="DA39" s="74"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74"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34.07</v>
      </c>
      <c r="DC39" s="74"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74"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74"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74" t="n">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13.64</v>
      </c>
      <c r="DG39" s="74"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74"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28.25</v>
      </c>
      <c r="DI39" s="74"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74"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74"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74"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11.26</v>
      </c>
      <c r="DM39" s="74"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74"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38.91</v>
      </c>
      <c r="DO39" s="74"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74"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74"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74" t="n">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12</v>
      </c>
      <c r="DS39" s="74"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74"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20.7233</v>
      </c>
      <c r="DU39" s="261"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61"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61"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61"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10.74</v>
      </c>
      <c r="DY39" s="261"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61"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40.13</v>
      </c>
      <c r="EA39" s="261"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61"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61"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61" t="n">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18.54</v>
      </c>
      <c r="EE39" s="261"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62"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23.1367</v>
      </c>
      <c r="EG39" s="261"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61"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61"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61"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10.81</v>
      </c>
      <c r="EK39" s="261"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61"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46.04</v>
      </c>
      <c r="EM39" s="261"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61"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61"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61" t="n">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25.89</v>
      </c>
      <c r="EQ39" s="261"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62"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27.58</v>
      </c>
      <c r="ES39" s="261"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61"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61"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61"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46.41</v>
      </c>
      <c r="EW39" s="261"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61"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41.76</v>
      </c>
      <c r="EY39" s="261"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61"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61"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61" t="n">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24.65</v>
      </c>
      <c r="FC39" s="261"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62"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37.6067</v>
      </c>
      <c r="FE39" s="261"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61"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61"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61"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46.77</v>
      </c>
      <c r="FI39" s="261"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61"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35.19</v>
      </c>
      <c r="FK39" s="261"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61"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61"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61" t="n">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17.64</v>
      </c>
      <c r="FO39" s="261"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62"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33.2</v>
      </c>
      <c r="FQ39" s="261"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61"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61"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61"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10.58</v>
      </c>
      <c r="FU39" s="261"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61"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43.33</v>
      </c>
      <c r="FW39" s="261"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61"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61"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61" t="n">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32.17</v>
      </c>
      <c r="GA39" s="261"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62"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28.6933</v>
      </c>
      <c r="GD39" s="74"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74"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74"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74"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10.72</v>
      </c>
      <c r="GH39" s="74"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74"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35.26</v>
      </c>
      <c r="GJ39" s="74"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74"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74"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74" t="n">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17.29</v>
      </c>
      <c r="GN39" s="74"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74"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21.09</v>
      </c>
      <c r="GP39" s="74"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74"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74"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74"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10.78</v>
      </c>
      <c r="GT39" s="74"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74"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38.99</v>
      </c>
      <c r="GV39" s="74"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74"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74"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74" t="n">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22.98</v>
      </c>
      <c r="GZ39" s="74"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74"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24.25</v>
      </c>
      <c r="HB39" s="74"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74"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74"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74"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37.45</v>
      </c>
      <c r="HF39" s="74"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74"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36.37</v>
      </c>
      <c r="HH39" s="74"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74"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74"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74" t="n">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22.07</v>
      </c>
      <c r="HL39" s="74"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74"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31.9633</v>
      </c>
      <c r="HN39" s="74"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74"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74"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74"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37.6</v>
      </c>
      <c r="HR39" s="74"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74"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31.67</v>
      </c>
      <c r="HT39" s="74"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74"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74"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74" t="n">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16.55</v>
      </c>
      <c r="HX39" s="74"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74"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28.6067</v>
      </c>
      <c r="HZ39" s="74"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74"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74"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74"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10.58</v>
      </c>
      <c r="ID39" s="74"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74"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37.39</v>
      </c>
      <c r="IF39" s="74"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74"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74"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74" t="n">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27.36</v>
      </c>
      <c r="IJ39" s="74"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74"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25.11</v>
      </c>
    </row>
    <row r="40" customFormat="false" ht="15" hidden="false" customHeight="true" outlineLevel="0" collapsed="false">
      <c r="A40" s="263" t="s">
        <v>395</v>
      </c>
      <c r="B40" s="263" t="s">
        <v>331</v>
      </c>
      <c r="C40" s="264" t="n">
        <v>300</v>
      </c>
      <c r="D40" s="265"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65"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65"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65"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37.32</v>
      </c>
      <c r="H40" s="265"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65"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35.12</v>
      </c>
      <c r="J40" s="265"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65"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65"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65" t="n">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9.92</v>
      </c>
      <c r="N40" s="265"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58"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27.4533</v>
      </c>
      <c r="P40" s="265"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65"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65"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65"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9.22</v>
      </c>
      <c r="T40" s="265"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65"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36.46</v>
      </c>
      <c r="V40" s="265"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65"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65"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65" t="n">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12.43</v>
      </c>
      <c r="Z40" s="265"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58"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19.37</v>
      </c>
      <c r="AB40" s="265"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65"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65"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65"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38.14</v>
      </c>
      <c r="AF40" s="265"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65"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37.74</v>
      </c>
      <c r="AH40" s="265"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65"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65"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65" t="n">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16.4</v>
      </c>
      <c r="AL40" s="265"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59"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30.76</v>
      </c>
      <c r="AN40" s="266"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66"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66"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66"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38.49</v>
      </c>
      <c r="AR40" s="266"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66"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32.44</v>
      </c>
      <c r="AT40" s="266"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66"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66"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66" t="n">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11.89</v>
      </c>
      <c r="AX40" s="266"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59"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27.6067</v>
      </c>
      <c r="AZ40" s="266"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66"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66"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66"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9.5</v>
      </c>
      <c r="BD40" s="266"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66"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38.81</v>
      </c>
      <c r="BF40" s="266"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66"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66"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66" t="n">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10.26</v>
      </c>
      <c r="BJ40" s="266"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59"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19.5233</v>
      </c>
      <c r="BM40" s="74"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74"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74"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74"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30.72</v>
      </c>
      <c r="BQ40" s="74"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74"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30.61</v>
      </c>
      <c r="BS40" s="74"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74"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74"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74" t="n">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9.76</v>
      </c>
      <c r="BW40" s="74"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74"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23.6967</v>
      </c>
      <c r="BY40" s="74"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74"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74"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74"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9.17</v>
      </c>
      <c r="CC40" s="74"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74"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31.49</v>
      </c>
      <c r="CE40" s="74"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74"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74"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74" t="n">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11.91</v>
      </c>
      <c r="CI40" s="74"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74"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17.5233</v>
      </c>
      <c r="CK40" s="74"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74"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74"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74"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31.14</v>
      </c>
      <c r="CO40" s="74"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74"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32.28</v>
      </c>
      <c r="CQ40" s="74"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74"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74"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74" t="n">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15.18</v>
      </c>
      <c r="CU40" s="74"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74"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26.2</v>
      </c>
      <c r="CW40" s="74"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74"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74"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74"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31.31</v>
      </c>
      <c r="DA40" s="74"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74"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28.75</v>
      </c>
      <c r="DC40" s="74"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74"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74"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74" t="n">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11.45</v>
      </c>
      <c r="DG40" s="74"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74"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23.8367</v>
      </c>
      <c r="DI40" s="74"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74"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74"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74"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9.43</v>
      </c>
      <c r="DM40" s="74"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74"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32.89</v>
      </c>
      <c r="DO40" s="74"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74"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74"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74" t="n">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10.06</v>
      </c>
      <c r="DS40" s="74"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74"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17.46</v>
      </c>
      <c r="DU40" s="267"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67"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67"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67"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8.99</v>
      </c>
      <c r="DY40" s="267"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67"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33.87</v>
      </c>
      <c r="EA40" s="267"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67"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67"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67" t="n">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15.59</v>
      </c>
      <c r="EE40" s="267"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62"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19.4833</v>
      </c>
      <c r="EG40" s="267"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67"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67"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67"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9.05</v>
      </c>
      <c r="EK40" s="267"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67"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38.93</v>
      </c>
      <c r="EM40" s="267"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67"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67"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67" t="n">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21.81</v>
      </c>
      <c r="EQ40" s="267"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62"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23.2633</v>
      </c>
      <c r="ES40" s="267"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67"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67"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67"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39.25</v>
      </c>
      <c r="EW40" s="267"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67"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35.27</v>
      </c>
      <c r="EY40" s="267"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67"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67"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67" t="n">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20.76</v>
      </c>
      <c r="FC40" s="267"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62"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31.76</v>
      </c>
      <c r="FE40" s="267"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67"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67"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67"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39.56</v>
      </c>
      <c r="FI40" s="267"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67"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29.67</v>
      </c>
      <c r="FK40" s="267"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67"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67"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67" t="n">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14.83</v>
      </c>
      <c r="FO40" s="267"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62"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28.02</v>
      </c>
      <c r="FQ40" s="267"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67"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67"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67"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8.85</v>
      </c>
      <c r="FU40" s="267"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67"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36.61</v>
      </c>
      <c r="FW40" s="267"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67"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67"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67" t="n">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27.12</v>
      </c>
      <c r="GA40" s="267"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62"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24.1933</v>
      </c>
      <c r="GD40" s="74"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74"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74"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74"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8.97</v>
      </c>
      <c r="GH40" s="74"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74"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29.76</v>
      </c>
      <c r="GJ40" s="74"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74"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74"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74" t="n">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14.53</v>
      </c>
      <c r="GN40" s="74"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74"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17.7533</v>
      </c>
      <c r="GP40" s="74"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74"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74"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74"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9.02</v>
      </c>
      <c r="GT40" s="74"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74"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32.96</v>
      </c>
      <c r="GV40" s="74"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74"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74"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74" t="n">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19.35</v>
      </c>
      <c r="GZ40" s="74"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74"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20.4433</v>
      </c>
      <c r="HB40" s="74"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74"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74"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74"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31.66</v>
      </c>
      <c r="HF40" s="74"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74"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30.71</v>
      </c>
      <c r="HH40" s="74"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74"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74"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74" t="n">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18.57</v>
      </c>
      <c r="HL40" s="74"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74"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26.98</v>
      </c>
      <c r="HN40" s="74"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74"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74"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74"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31.8</v>
      </c>
      <c r="HR40" s="74"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74"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26.71</v>
      </c>
      <c r="HT40" s="74"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74"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74"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74" t="n">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13.91</v>
      </c>
      <c r="HX40" s="74"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74"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24.14</v>
      </c>
      <c r="HZ40" s="74"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74"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74"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74"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8.85</v>
      </c>
      <c r="ID40" s="74"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74"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31.58</v>
      </c>
      <c r="IF40" s="74"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74"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74"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74" t="n">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23.05</v>
      </c>
      <c r="IJ40" s="74"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74"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21.16</v>
      </c>
    </row>
    <row r="41" customFormat="false" ht="15" hidden="false" customHeight="true" outlineLevel="0" collapsed="false">
      <c r="A41" s="226" t="s">
        <v>396</v>
      </c>
      <c r="B41" s="226" t="s">
        <v>331</v>
      </c>
      <c r="C41" s="230" t="n">
        <v>350</v>
      </c>
      <c r="D41" s="231"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31"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31"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31"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32.51</v>
      </c>
      <c r="H41" s="231"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31"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30.57</v>
      </c>
      <c r="J41" s="231"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31"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31"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31" t="n">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8.57</v>
      </c>
      <c r="N41" s="231"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58"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23.8833</v>
      </c>
      <c r="P41" s="231"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31"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31"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31"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7.95</v>
      </c>
      <c r="T41" s="231"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31"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31.76</v>
      </c>
      <c r="V41" s="231"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31"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31"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31" t="n">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10.76</v>
      </c>
      <c r="Z41" s="231"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58"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16.8233</v>
      </c>
      <c r="AB41" s="231"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31"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31"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31"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33.24</v>
      </c>
      <c r="AF41" s="231"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31"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32.89</v>
      </c>
      <c r="AH41" s="231"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31"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31"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31" t="n">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14.21</v>
      </c>
      <c r="AL41" s="231"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59"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26.78</v>
      </c>
      <c r="AN41" s="260"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60"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60"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60"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33.55</v>
      </c>
      <c r="AR41" s="260"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60"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28.21</v>
      </c>
      <c r="AT41" s="260"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60"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60"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60" t="n">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10.28</v>
      </c>
      <c r="AX41" s="260"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59"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24.0133</v>
      </c>
      <c r="AZ41" s="260"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60"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60"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60"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8.2</v>
      </c>
      <c r="BD41" s="260"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60"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33.83</v>
      </c>
      <c r="BF41" s="260"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60"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60"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60" t="n">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8.87</v>
      </c>
      <c r="BJ41" s="260"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59"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16.9667</v>
      </c>
      <c r="BM41" s="74"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74"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74"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74"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26.76</v>
      </c>
      <c r="BQ41" s="74"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74"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26.64</v>
      </c>
      <c r="BS41" s="74"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74"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74"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74" t="n">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8.42</v>
      </c>
      <c r="BW41" s="74"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74"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20.6067</v>
      </c>
      <c r="BY41" s="74"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74"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74"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74"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7.91</v>
      </c>
      <c r="CC41" s="74"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74"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27.42</v>
      </c>
      <c r="CE41" s="74"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74"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74"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74" t="n">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10.3</v>
      </c>
      <c r="CI41" s="74"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74"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15.21</v>
      </c>
      <c r="CK41" s="74"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74"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74"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74"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27.14</v>
      </c>
      <c r="CO41" s="74"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74"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28.12</v>
      </c>
      <c r="CQ41" s="74"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74"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74"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74" t="n">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13.16</v>
      </c>
      <c r="CU41" s="74"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74"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22.8067</v>
      </c>
      <c r="CW41" s="74"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74"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74"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74"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27.29</v>
      </c>
      <c r="DA41" s="74"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74"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25</v>
      </c>
      <c r="DC41" s="74"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74"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74"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74" t="n">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9.9</v>
      </c>
      <c r="DG41" s="74"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74"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20.73</v>
      </c>
      <c r="DI41" s="74"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74"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74"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74"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8.13</v>
      </c>
      <c r="DM41" s="74"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74"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28.67</v>
      </c>
      <c r="DO41" s="74"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74"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74"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74" t="n">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8.68</v>
      </c>
      <c r="DS41" s="74"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74"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15.16</v>
      </c>
      <c r="DU41" s="261"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61"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61"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61"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7.74</v>
      </c>
      <c r="DY41" s="261"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61"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29.47</v>
      </c>
      <c r="EA41" s="261"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61"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61"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61" t="n">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13.51</v>
      </c>
      <c r="EE41" s="261"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62"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16.9067</v>
      </c>
      <c r="EG41" s="261"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61"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61"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61"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7.8</v>
      </c>
      <c r="EK41" s="261"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61"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33.95</v>
      </c>
      <c r="EM41" s="261"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61"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61"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61" t="n">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18.92</v>
      </c>
      <c r="EQ41" s="261"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62"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20.2233</v>
      </c>
      <c r="ES41" s="261"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61"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61"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61"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34.23</v>
      </c>
      <c r="EW41" s="261"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61"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30.7</v>
      </c>
      <c r="EY41" s="261"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61"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61"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61" t="n">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18.01</v>
      </c>
      <c r="FC41" s="261"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62"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27.6467</v>
      </c>
      <c r="FE41" s="261"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61"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61"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61"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34.51</v>
      </c>
      <c r="FI41" s="261"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61"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25.79</v>
      </c>
      <c r="FK41" s="261"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61"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61"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61" t="n">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12.85</v>
      </c>
      <c r="FO41" s="261"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62"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24.3833</v>
      </c>
      <c r="FQ41" s="261"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61"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61"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61"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7.63</v>
      </c>
      <c r="FU41" s="261"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61"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31.88</v>
      </c>
      <c r="FW41" s="261"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61"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61"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61" t="n">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23.56</v>
      </c>
      <c r="GA41" s="261"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62"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21.0233</v>
      </c>
      <c r="GD41" s="74"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74"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74"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74"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7.72</v>
      </c>
      <c r="GH41" s="74"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74"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25.89</v>
      </c>
      <c r="GJ41" s="74"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74"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74"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74" t="n">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12.59</v>
      </c>
      <c r="GN41" s="74"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74"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15.4</v>
      </c>
      <c r="GP41" s="74"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74"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74"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74"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7.78</v>
      </c>
      <c r="GT41" s="74"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74"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28.74</v>
      </c>
      <c r="GV41" s="74"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74"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74"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74" t="n">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16.79</v>
      </c>
      <c r="GZ41" s="74"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74"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17.77</v>
      </c>
      <c r="HB41" s="74"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74"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74"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74"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27.61</v>
      </c>
      <c r="HF41" s="74"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74"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26.73</v>
      </c>
      <c r="HH41" s="74"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74"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74"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74" t="n">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16.11</v>
      </c>
      <c r="HL41" s="74"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74"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23.4833</v>
      </c>
      <c r="HN41" s="74"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74"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74"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74"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27.73</v>
      </c>
      <c r="HR41" s="74"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74"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23.21</v>
      </c>
      <c r="HT41" s="74"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74"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74"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74" t="n">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12.05</v>
      </c>
      <c r="HX41" s="74"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74"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20.9967</v>
      </c>
      <c r="HZ41" s="74"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74"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74"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74"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7.62</v>
      </c>
      <c r="ID41" s="74"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74"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27.5</v>
      </c>
      <c r="IF41" s="74"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74"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74"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74" t="n">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20.02</v>
      </c>
      <c r="IJ41" s="74"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74"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18.38</v>
      </c>
    </row>
    <row r="42" customFormat="false" ht="15" hidden="false" customHeight="true" outlineLevel="0" collapsed="false">
      <c r="A42" s="263" t="s">
        <v>397</v>
      </c>
      <c r="B42" s="263" t="s">
        <v>331</v>
      </c>
      <c r="C42" s="264" t="n">
        <v>400</v>
      </c>
      <c r="D42" s="265"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65"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65"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65"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28.98</v>
      </c>
      <c r="H42" s="265"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65"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27.22</v>
      </c>
      <c r="J42" s="265"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65"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65"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65" t="n">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7.56</v>
      </c>
      <c r="N42" s="265"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58"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21.2533</v>
      </c>
      <c r="P42" s="265"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65"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65"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65"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7</v>
      </c>
      <c r="T42" s="265"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65"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28.29</v>
      </c>
      <c r="V42" s="265"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65"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65"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65" t="n">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9.52</v>
      </c>
      <c r="Z42" s="265"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58"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14.9367</v>
      </c>
      <c r="AB42" s="265"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65"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65"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65"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29.64</v>
      </c>
      <c r="AF42" s="265"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65"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29.32</v>
      </c>
      <c r="AH42" s="265"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65"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65"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65" t="n">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12.6</v>
      </c>
      <c r="AL42" s="265"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59"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23.8533</v>
      </c>
      <c r="AN42" s="266"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66"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66"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66"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29.92</v>
      </c>
      <c r="AR42" s="266"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66"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25.1</v>
      </c>
      <c r="AT42" s="266"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66"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66"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66" t="n">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9.09</v>
      </c>
      <c r="AX42" s="266"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59"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21.37</v>
      </c>
      <c r="AZ42" s="266"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66"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66"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66"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7.23</v>
      </c>
      <c r="BD42" s="266"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66"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30.18</v>
      </c>
      <c r="BF42" s="266"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66"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66"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66" t="n">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7.83</v>
      </c>
      <c r="BJ42" s="266"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59"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15.08</v>
      </c>
      <c r="BM42" s="74"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74"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74"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74"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23.84</v>
      </c>
      <c r="BQ42" s="74"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74"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23.72</v>
      </c>
      <c r="BS42" s="74"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74"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74"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74" t="n">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7.43</v>
      </c>
      <c r="BW42" s="74"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74"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18.33</v>
      </c>
      <c r="BY42" s="74"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74"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74"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74"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6.96</v>
      </c>
      <c r="CC42" s="74"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74"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24.42</v>
      </c>
      <c r="CE42" s="74"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74"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74"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74" t="n">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9.11</v>
      </c>
      <c r="CI42" s="74"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74"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13.4967</v>
      </c>
      <c r="CK42" s="74"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74"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74"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74"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24.19</v>
      </c>
      <c r="CO42" s="74"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74"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25.06</v>
      </c>
      <c r="CQ42" s="74"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74"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74"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74" t="n">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11.65</v>
      </c>
      <c r="CU42" s="74"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74"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20.3</v>
      </c>
      <c r="CW42" s="74"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74"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74"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74"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24.33</v>
      </c>
      <c r="DA42" s="74"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74"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22.24</v>
      </c>
      <c r="DC42" s="74"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74"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74"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74" t="n">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8.75</v>
      </c>
      <c r="DG42" s="74"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74"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18.44</v>
      </c>
      <c r="DI42" s="74"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74"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74"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74"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7.16</v>
      </c>
      <c r="DM42" s="74"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74"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25.57</v>
      </c>
      <c r="DO42" s="74"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74"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74"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74" t="n">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7.66</v>
      </c>
      <c r="DS42" s="74"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74"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13.4633</v>
      </c>
      <c r="DU42" s="267"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67"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67"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67"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6.82</v>
      </c>
      <c r="DY42" s="267"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67"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26.23</v>
      </c>
      <c r="EA42" s="267"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67"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67"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67" t="n">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11.97</v>
      </c>
      <c r="EE42" s="267"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62"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15.0067</v>
      </c>
      <c r="EG42" s="267"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67"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67"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67"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6.87</v>
      </c>
      <c r="EK42" s="267"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67"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30.28</v>
      </c>
      <c r="EM42" s="267"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67"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67"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67" t="n">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16.79</v>
      </c>
      <c r="EQ42" s="267"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62"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17.98</v>
      </c>
      <c r="ES42" s="267"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67"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67"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67"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30.54</v>
      </c>
      <c r="EW42" s="267"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67"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27.34</v>
      </c>
      <c r="EY42" s="267"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67"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67"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67" t="n">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15.98</v>
      </c>
      <c r="FC42" s="267"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62"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24.62</v>
      </c>
      <c r="FE42" s="267"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67"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67"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67"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30.79</v>
      </c>
      <c r="FI42" s="267"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67"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22.93</v>
      </c>
      <c r="FK42" s="267"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67"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67"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67" t="n">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11.38</v>
      </c>
      <c r="FO42" s="267"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62"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21.7</v>
      </c>
      <c r="FQ42" s="267"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67"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67"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67"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6.71</v>
      </c>
      <c r="FU42" s="267"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67"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28.41</v>
      </c>
      <c r="FW42" s="267"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67"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67"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67" t="n">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20.93</v>
      </c>
      <c r="GA42" s="267"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62"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18.6833</v>
      </c>
      <c r="GD42" s="74"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74"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74"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74"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6.8</v>
      </c>
      <c r="GH42" s="74"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74"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23.04</v>
      </c>
      <c r="GJ42" s="74"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74"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74"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74" t="n">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11.15</v>
      </c>
      <c r="GN42" s="74"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74"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13.6633</v>
      </c>
      <c r="GP42" s="74"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74"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74"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74"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6.84</v>
      </c>
      <c r="GT42" s="74"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74"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25.63</v>
      </c>
      <c r="GV42" s="74"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74"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74"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74" t="n">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14.89</v>
      </c>
      <c r="GZ42" s="74"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74"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15.7867</v>
      </c>
      <c r="HB42" s="74"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74"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74"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74"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24.62</v>
      </c>
      <c r="HF42" s="74"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74"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23.8</v>
      </c>
      <c r="HH42" s="74"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74"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74"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74" t="n">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14.29</v>
      </c>
      <c r="HL42" s="74"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74"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20.9033</v>
      </c>
      <c r="HN42" s="74"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74"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74"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74"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24.74</v>
      </c>
      <c r="HR42" s="74"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74"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20.63</v>
      </c>
      <c r="HT42" s="74"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74"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74"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74" t="n">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10.67</v>
      </c>
      <c r="HX42" s="74"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74"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18.68</v>
      </c>
      <c r="HZ42" s="74"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74"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74"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74"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6.7</v>
      </c>
      <c r="ID42" s="74"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74"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24.5</v>
      </c>
      <c r="IF42" s="74"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74"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74"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74" t="n">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17.78</v>
      </c>
      <c r="IJ42" s="74"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74"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16.3267</v>
      </c>
    </row>
    <row r="43" customFormat="false" ht="15" hidden="false" customHeight="true" outlineLevel="0" collapsed="false">
      <c r="A43" s="249" t="s">
        <v>398</v>
      </c>
      <c r="B43" s="250" t="s">
        <v>399</v>
      </c>
      <c r="C43" s="251" t="n">
        <v>450</v>
      </c>
      <c r="D43" s="252"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52"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52"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52"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26.29</v>
      </c>
      <c r="H43" s="252"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52"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24.67</v>
      </c>
      <c r="J43" s="252"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52"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52"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52" t="n">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6.78</v>
      </c>
      <c r="N43" s="252"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53"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19.2467</v>
      </c>
      <c r="P43" s="252"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52"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52"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52"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6.27</v>
      </c>
      <c r="T43" s="252"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52"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25.66</v>
      </c>
      <c r="V43" s="252"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52"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52"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52" t="n">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8.56</v>
      </c>
      <c r="Z43" s="252"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53"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13.4967</v>
      </c>
      <c r="AB43" s="252"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52"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52"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52"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26.9</v>
      </c>
      <c r="AF43" s="252"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52"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26.61</v>
      </c>
      <c r="AH43" s="252"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52"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52"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52" t="n">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11.36</v>
      </c>
      <c r="AL43" s="252"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54"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21.6233</v>
      </c>
      <c r="AN43" s="255"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55"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55"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55"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27.16</v>
      </c>
      <c r="AR43" s="255"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55"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22.73</v>
      </c>
      <c r="AT43" s="255"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55"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55"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55" t="n">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8.18</v>
      </c>
      <c r="AX43" s="255"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54"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19.3567</v>
      </c>
      <c r="AZ43" s="255"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55"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55"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55"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6.48</v>
      </c>
      <c r="BD43" s="255"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55"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27.4</v>
      </c>
      <c r="BF43" s="255"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55"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55"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55" t="n">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7.03</v>
      </c>
      <c r="BJ43" s="255"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54"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13.6367</v>
      </c>
      <c r="BM43" s="74"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74"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74"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74"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21.63</v>
      </c>
      <c r="BQ43" s="74"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74"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21.49</v>
      </c>
      <c r="BS43" s="74"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74"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74"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74" t="n">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6.66</v>
      </c>
      <c r="BW43" s="74"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74"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16.5933</v>
      </c>
      <c r="BY43" s="74"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74"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74"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74"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6.24</v>
      </c>
      <c r="CC43" s="74"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74"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22.15</v>
      </c>
      <c r="CE43" s="74"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74"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74"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74" t="n">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8.19</v>
      </c>
      <c r="CI43" s="74"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74"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12.1933</v>
      </c>
      <c r="CK43" s="74"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74"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74"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74"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21.95</v>
      </c>
      <c r="CO43" s="74"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74"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22.74</v>
      </c>
      <c r="CQ43" s="74"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74"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74"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74" t="n">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10.5</v>
      </c>
      <c r="CU43" s="74"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74"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18.3967</v>
      </c>
      <c r="CW43" s="74"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74"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74"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74"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22.08</v>
      </c>
      <c r="DA43" s="74"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74"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20.13</v>
      </c>
      <c r="DC43" s="74"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74"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74"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74" t="n">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7.86</v>
      </c>
      <c r="DG43" s="74"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74"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16.69</v>
      </c>
      <c r="DI43" s="74"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74"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74"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74"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6.42</v>
      </c>
      <c r="DM43" s="74"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74"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23.21</v>
      </c>
      <c r="DO43" s="74"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74"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74"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74" t="n">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6.87</v>
      </c>
      <c r="DS43" s="74"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74"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12.1667</v>
      </c>
      <c r="DU43" s="256"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56"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56"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56"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6.1</v>
      </c>
      <c r="DY43" s="256"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56"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23.77</v>
      </c>
      <c r="EA43" s="256"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56"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56"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56" t="n">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10.79</v>
      </c>
      <c r="EE43" s="256"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57"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13.5533</v>
      </c>
      <c r="EG43" s="256"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56"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56"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56"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6.15</v>
      </c>
      <c r="EK43" s="256"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56"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27.5</v>
      </c>
      <c r="EM43" s="256"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56"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56"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56" t="n">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15.17</v>
      </c>
      <c r="EQ43" s="256"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57"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16.2733</v>
      </c>
      <c r="ES43" s="256"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56"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56"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56"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27.74</v>
      </c>
      <c r="EW43" s="256"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56"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24.78</v>
      </c>
      <c r="EY43" s="256"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56"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56"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56" t="n">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14.43</v>
      </c>
      <c r="FC43" s="256"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57"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22.3167</v>
      </c>
      <c r="FE43" s="256"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56"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56"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56"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27.98</v>
      </c>
      <c r="FI43" s="256"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56"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20.75</v>
      </c>
      <c r="FK43" s="256"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56"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56"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56" t="n">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10.26</v>
      </c>
      <c r="FO43" s="256"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57"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19.6633</v>
      </c>
      <c r="FQ43" s="256"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56"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56"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56"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6</v>
      </c>
      <c r="FU43" s="256"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56"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25.77</v>
      </c>
      <c r="FW43" s="256"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56"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56"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56" t="n">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18.92</v>
      </c>
      <c r="GA43" s="256"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57"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16.8967</v>
      </c>
      <c r="GD43" s="74"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74"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74"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74"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6.08</v>
      </c>
      <c r="GH43" s="74"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74"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20.87</v>
      </c>
      <c r="GJ43" s="74"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74"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74"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74" t="n">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10.04</v>
      </c>
      <c r="GN43" s="74"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74"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12.33</v>
      </c>
      <c r="GP43" s="74"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74"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74"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74"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6.13</v>
      </c>
      <c r="GT43" s="74"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74"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23.27</v>
      </c>
      <c r="GV43" s="74"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74"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74"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74" t="n">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13.44</v>
      </c>
      <c r="GZ43" s="74"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74"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14.28</v>
      </c>
      <c r="HB43" s="74"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74"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74"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74"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22.36</v>
      </c>
      <c r="HF43" s="74"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74"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21.57</v>
      </c>
      <c r="HH43" s="74"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74"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74"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74" t="n">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12.89</v>
      </c>
      <c r="HL43" s="74"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74"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18.94</v>
      </c>
      <c r="HN43" s="74"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74"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74"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74"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22.47</v>
      </c>
      <c r="HR43" s="74"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74"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18.66</v>
      </c>
      <c r="HT43" s="74"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74"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74"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74" t="n">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9.61</v>
      </c>
      <c r="HX43" s="74"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74"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16.9133</v>
      </c>
      <c r="HZ43" s="74"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74"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74"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74"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5.99</v>
      </c>
      <c r="ID43" s="74"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74"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22.22</v>
      </c>
      <c r="IF43" s="74"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74"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74"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74" t="n">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16.07</v>
      </c>
      <c r="IJ43" s="74"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74"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14.76</v>
      </c>
    </row>
    <row r="44" customFormat="false" ht="15" hidden="false" customHeight="true" outlineLevel="0" collapsed="false">
      <c r="A44" s="263" t="s">
        <v>400</v>
      </c>
      <c r="B44" s="263" t="s">
        <v>331</v>
      </c>
      <c r="C44" s="264" t="n">
        <v>500</v>
      </c>
      <c r="D44" s="265"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65"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65"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65"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24.2</v>
      </c>
      <c r="H44" s="265"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65"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22.69</v>
      </c>
      <c r="J44" s="265"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65"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65"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65" t="n">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6.17</v>
      </c>
      <c r="N44" s="265"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58"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17.6867</v>
      </c>
      <c r="P44" s="265"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65"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65"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65"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5.69</v>
      </c>
      <c r="T44" s="265"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65"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23.61</v>
      </c>
      <c r="V44" s="265"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65"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65"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65" t="n">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7.81</v>
      </c>
      <c r="Z44" s="265"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58"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12.37</v>
      </c>
      <c r="AB44" s="265"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65"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65"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65"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24.78</v>
      </c>
      <c r="AF44" s="265"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65"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24.5</v>
      </c>
      <c r="AH44" s="265"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65"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65"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65" t="n">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10.39</v>
      </c>
      <c r="AL44" s="265"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59"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19.89</v>
      </c>
      <c r="AN44" s="266"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66"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66"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66"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25.02</v>
      </c>
      <c r="AR44" s="266"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66"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20.88</v>
      </c>
      <c r="AT44" s="266"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66"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66"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66" t="n">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7.46</v>
      </c>
      <c r="AX44" s="266"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59"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17.7867</v>
      </c>
      <c r="AZ44" s="266"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66"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66"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66"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5.89</v>
      </c>
      <c r="BD44" s="266"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66"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25.25</v>
      </c>
      <c r="BF44" s="266"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66"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66"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66" t="n">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6.39</v>
      </c>
      <c r="BJ44" s="266"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59"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12.51</v>
      </c>
      <c r="BM44" s="74"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74"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74"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74"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19.9</v>
      </c>
      <c r="BQ44" s="74"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74"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19.76</v>
      </c>
      <c r="BS44" s="74"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74"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74"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74" t="n">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6.05</v>
      </c>
      <c r="BW44" s="74"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74"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15.2367</v>
      </c>
      <c r="BY44" s="74"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74"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74"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74"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5.66</v>
      </c>
      <c r="CC44" s="74"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74"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20.37</v>
      </c>
      <c r="CE44" s="74"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74"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74"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74" t="n">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7.47</v>
      </c>
      <c r="CI44" s="74"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74"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11.1667</v>
      </c>
      <c r="CK44" s="74"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74"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74"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74"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20.21</v>
      </c>
      <c r="CO44" s="74"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74"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20.93</v>
      </c>
      <c r="CQ44" s="74"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74"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74"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74" t="n">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9.6</v>
      </c>
      <c r="CU44" s="74"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74"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16.9133</v>
      </c>
      <c r="CW44" s="74"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74"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74"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74"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20.33</v>
      </c>
      <c r="DA44" s="74"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74"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18.49</v>
      </c>
      <c r="DC44" s="74"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74"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74"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74" t="n">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7.17</v>
      </c>
      <c r="DG44" s="74"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74"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15.33</v>
      </c>
      <c r="DI44" s="74"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74"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74"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74"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5.83</v>
      </c>
      <c r="DM44" s="74"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74"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21.38</v>
      </c>
      <c r="DO44" s="74"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74"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74"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74" t="n">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6.25</v>
      </c>
      <c r="DS44" s="74"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74"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11.1533</v>
      </c>
      <c r="DU44" s="267"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67"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67"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67"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5.54</v>
      </c>
      <c r="DY44" s="267"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67"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21.84</v>
      </c>
      <c r="EA44" s="267"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67"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67"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67" t="n">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9.86</v>
      </c>
      <c r="EE44" s="267"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62"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12.4133</v>
      </c>
      <c r="EG44" s="267"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67"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67"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67"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5.58</v>
      </c>
      <c r="EK44" s="267"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67"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25.34</v>
      </c>
      <c r="EM44" s="267"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67"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67"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67" t="n">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13.89</v>
      </c>
      <c r="EQ44" s="267"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62"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14.9367</v>
      </c>
      <c r="ES44" s="267"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67"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67"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67"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25.56</v>
      </c>
      <c r="EW44" s="267"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67"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22.79</v>
      </c>
      <c r="EY44" s="267"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67"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67"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67" t="n">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13.21</v>
      </c>
      <c r="FC44" s="267"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62"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20.52</v>
      </c>
      <c r="FE44" s="267"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67"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67"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67"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25.79</v>
      </c>
      <c r="FI44" s="267"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67"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19.04</v>
      </c>
      <c r="FK44" s="267"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67"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67"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67" t="n">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9.37</v>
      </c>
      <c r="FO44" s="267"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62"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18.0667</v>
      </c>
      <c r="FQ44" s="267"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67"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67"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67"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5.44</v>
      </c>
      <c r="FU44" s="267"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67"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23.71</v>
      </c>
      <c r="FW44" s="267"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67"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67"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67" t="n">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17.35</v>
      </c>
      <c r="GA44" s="267"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62"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15.5</v>
      </c>
      <c r="GD44" s="74"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74"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74"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74"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5.52</v>
      </c>
      <c r="GH44" s="74"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74"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19.18</v>
      </c>
      <c r="GJ44" s="74"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74"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74"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74" t="n">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9.17</v>
      </c>
      <c r="GN44" s="74"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74"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11.29</v>
      </c>
      <c r="GP44" s="74"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74"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74"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74"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5.55</v>
      </c>
      <c r="GT44" s="74"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74"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21.43</v>
      </c>
      <c r="GV44" s="74"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74"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74"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74" t="n">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12.3</v>
      </c>
      <c r="GZ44" s="74"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74"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13.0933</v>
      </c>
      <c r="HB44" s="74"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74"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74"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74"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20.6</v>
      </c>
      <c r="HF44" s="74"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74"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19.83</v>
      </c>
      <c r="HH44" s="74"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74"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74"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74" t="n">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11.8</v>
      </c>
      <c r="HL44" s="74"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74"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17.41</v>
      </c>
      <c r="HN44" s="74"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74"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74"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74"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20.71</v>
      </c>
      <c r="HR44" s="74"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74"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17.12</v>
      </c>
      <c r="HT44" s="74"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74"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74"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74" t="n">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8.77</v>
      </c>
      <c r="HX44" s="74"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74"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15.5333</v>
      </c>
      <c r="HZ44" s="74"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74"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74"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74"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5.43</v>
      </c>
      <c r="ID44" s="74"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74"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20.44</v>
      </c>
      <c r="IF44" s="74"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74"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74"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74" t="n">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14.73</v>
      </c>
      <c r="IJ44" s="74"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74"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13.5333</v>
      </c>
    </row>
    <row r="45" customFormat="false" ht="15" hidden="false" customHeight="true" outlineLevel="0" collapsed="false">
      <c r="A45" s="226" t="s">
        <v>401</v>
      </c>
      <c r="B45" s="226" t="s">
        <v>331</v>
      </c>
      <c r="C45" s="230" t="n">
        <v>550</v>
      </c>
      <c r="D45" s="231"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31"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31"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31"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22.54</v>
      </c>
      <c r="H45" s="231"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31"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21.11</v>
      </c>
      <c r="J45" s="231"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31"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31"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31" t="n">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5.67</v>
      </c>
      <c r="N45" s="231"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58"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16.44</v>
      </c>
      <c r="P45" s="231"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31"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31"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31"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5.23</v>
      </c>
      <c r="T45" s="231"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31"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21.98</v>
      </c>
      <c r="V45" s="231"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31"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31"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31" t="n">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7.21</v>
      </c>
      <c r="Z45" s="231"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58"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11.4733</v>
      </c>
      <c r="AB45" s="231"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31"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31"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31"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23.09</v>
      </c>
      <c r="AF45" s="231"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31"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22.82</v>
      </c>
      <c r="AH45" s="231"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31"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31"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31" t="n">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9.61</v>
      </c>
      <c r="AL45" s="231"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59"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18.5067</v>
      </c>
      <c r="AN45" s="260"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60"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60"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60"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23.32</v>
      </c>
      <c r="AR45" s="260"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60"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19.4</v>
      </c>
      <c r="AT45" s="260"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60"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60"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60" t="n">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6.88</v>
      </c>
      <c r="AX45" s="260"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59"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16.5333</v>
      </c>
      <c r="AZ45" s="260"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60"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60"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60"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5.41</v>
      </c>
      <c r="BD45" s="260"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60"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23.54</v>
      </c>
      <c r="BF45" s="260"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60"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60"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60" t="n">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5.88</v>
      </c>
      <c r="BJ45" s="260"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59"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11.61</v>
      </c>
      <c r="BM45" s="74"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74"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74"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74"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18.53</v>
      </c>
      <c r="BQ45" s="74"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74"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18.38</v>
      </c>
      <c r="BS45" s="74"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74"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74"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74" t="n">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5.56</v>
      </c>
      <c r="BW45" s="74"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74"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14.1567</v>
      </c>
      <c r="BY45" s="74"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74"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74"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74"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5.19</v>
      </c>
      <c r="CC45" s="74"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74"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18.96</v>
      </c>
      <c r="CE45" s="74"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74"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74"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74" t="n">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6.89</v>
      </c>
      <c r="CI45" s="74"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74"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10.3467</v>
      </c>
      <c r="CK45" s="74"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74"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74"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74"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18.83</v>
      </c>
      <c r="CO45" s="74"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74"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19.5</v>
      </c>
      <c r="CQ45" s="74"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74"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74"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74" t="n">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8.87</v>
      </c>
      <c r="CU45" s="74"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74"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15.7333</v>
      </c>
      <c r="CW45" s="74"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74"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74"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74"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18.95</v>
      </c>
      <c r="DA45" s="74"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74"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17.18</v>
      </c>
      <c r="DC45" s="74"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74"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74"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74" t="n">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6.6</v>
      </c>
      <c r="DG45" s="74"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74"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14.2433</v>
      </c>
      <c r="DI45" s="74"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74"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74"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74"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5.35</v>
      </c>
      <c r="DM45" s="74"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74"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19.93</v>
      </c>
      <c r="DO45" s="74"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74"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74"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74" t="n">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5.75</v>
      </c>
      <c r="DS45" s="74"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74"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10.3433</v>
      </c>
      <c r="DU45" s="261"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61"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61"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61"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5.08</v>
      </c>
      <c r="DY45" s="261"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61"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20.31</v>
      </c>
      <c r="EA45" s="261"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61"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61"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61" t="n">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9.12</v>
      </c>
      <c r="EE45" s="261"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62"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11.5033</v>
      </c>
      <c r="EG45" s="261"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61"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61"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61"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5.12</v>
      </c>
      <c r="EK45" s="261"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61"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23.62</v>
      </c>
      <c r="EM45" s="261"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61"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61"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61" t="n">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12.87</v>
      </c>
      <c r="EQ45" s="261"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62"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13.87</v>
      </c>
      <c r="ES45" s="261"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61"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61"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61"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23.84</v>
      </c>
      <c r="EW45" s="261"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61"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21.2</v>
      </c>
      <c r="EY45" s="261"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61"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61"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61" t="n">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12.24</v>
      </c>
      <c r="FC45" s="261"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62"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19.0933</v>
      </c>
      <c r="FE45" s="261"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61"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61"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61"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24.06</v>
      </c>
      <c r="FI45" s="261"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61"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17.68</v>
      </c>
      <c r="FK45" s="261"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61"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61"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61" t="n">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8.66</v>
      </c>
      <c r="FO45" s="261"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62"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16.8</v>
      </c>
      <c r="FQ45" s="261"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61"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61"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61"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4.99</v>
      </c>
      <c r="FU45" s="261"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61"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22.07</v>
      </c>
      <c r="FW45" s="261"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61"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61"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61" t="n">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16.1</v>
      </c>
      <c r="GA45" s="261"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62"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14.3867</v>
      </c>
      <c r="GD45" s="74"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74"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74"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74"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5.05</v>
      </c>
      <c r="GH45" s="74"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74"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17.83</v>
      </c>
      <c r="GJ45" s="74"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74"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74"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74" t="n">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8.48</v>
      </c>
      <c r="GN45" s="74"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74"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10.4533</v>
      </c>
      <c r="GP45" s="74"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74"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74"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74"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5.09</v>
      </c>
      <c r="GT45" s="74"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74"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19.98</v>
      </c>
      <c r="GV45" s="74"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74"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74"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74" t="n">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11.39</v>
      </c>
      <c r="GZ45" s="74"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74"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12.1533</v>
      </c>
      <c r="HB45" s="74"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74"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74"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74"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19.21</v>
      </c>
      <c r="HF45" s="74"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74"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18.44</v>
      </c>
      <c r="HH45" s="74"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74"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74"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74" t="n">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10.92</v>
      </c>
      <c r="HL45" s="74"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74"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16.19</v>
      </c>
      <c r="HN45" s="74"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74"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74"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74"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19.31</v>
      </c>
      <c r="HR45" s="74"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74"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15.89</v>
      </c>
      <c r="HT45" s="74"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74"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74"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74" t="n">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8.1</v>
      </c>
      <c r="HX45" s="74"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74"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14.4333</v>
      </c>
      <c r="HZ45" s="74"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74"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74"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74"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4.98</v>
      </c>
      <c r="ID45" s="74"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74"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19.02</v>
      </c>
      <c r="IF45" s="74"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74"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74"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74" t="n">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13.66</v>
      </c>
      <c r="IJ45" s="74"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74"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12.5533</v>
      </c>
    </row>
    <row r="46" customFormat="false" ht="15" hidden="false" customHeight="true" outlineLevel="0" collapsed="false">
      <c r="A46" s="263" t="s">
        <v>402</v>
      </c>
      <c r="B46" s="263" t="s">
        <v>331</v>
      </c>
      <c r="C46" s="264" t="n">
        <v>600</v>
      </c>
      <c r="D46" s="265"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65"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65"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65"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21.2</v>
      </c>
      <c r="H46" s="265"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65"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19.83</v>
      </c>
      <c r="J46" s="265"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65"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65"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65" t="n">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5.26</v>
      </c>
      <c r="N46" s="265"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58"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15.43</v>
      </c>
      <c r="P46" s="265"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65"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65"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65"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4.84</v>
      </c>
      <c r="T46" s="265"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65"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20.67</v>
      </c>
      <c r="V46" s="265"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65"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65"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65" t="n">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6.72</v>
      </c>
      <c r="Z46" s="265"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58"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10.7433</v>
      </c>
      <c r="AB46" s="265"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65"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65"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65"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21.73</v>
      </c>
      <c r="AF46" s="265"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65"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21.47</v>
      </c>
      <c r="AH46" s="265"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65"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65"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65" t="n">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8.97</v>
      </c>
      <c r="AL46" s="265"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59"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17.39</v>
      </c>
      <c r="AN46" s="266"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66"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66"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66"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21.95</v>
      </c>
      <c r="AR46" s="266"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66"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18.21</v>
      </c>
      <c r="AT46" s="266"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66"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66"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66" t="n">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6.41</v>
      </c>
      <c r="AX46" s="266"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59"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15.5233</v>
      </c>
      <c r="AZ46" s="266"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66"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66"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66"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5.01</v>
      </c>
      <c r="BD46" s="266"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66"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22.16</v>
      </c>
      <c r="BF46" s="266"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66"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66"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66" t="n">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5.47</v>
      </c>
      <c r="BJ46" s="266"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59"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10.88</v>
      </c>
      <c r="BM46" s="74"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74"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74"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74"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17.43</v>
      </c>
      <c r="BQ46" s="74"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74"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17.26</v>
      </c>
      <c r="BS46" s="74"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74"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74"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74" t="n">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5.16</v>
      </c>
      <c r="BW46" s="74"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74"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13.2833</v>
      </c>
      <c r="BY46" s="74"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74"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74"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74"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4.81</v>
      </c>
      <c r="CC46" s="74"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74"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17.82</v>
      </c>
      <c r="CE46" s="74"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74"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74"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74" t="n">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6.41</v>
      </c>
      <c r="CI46" s="74"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74"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9.68</v>
      </c>
      <c r="CK46" s="74"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74"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74"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74"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17.71</v>
      </c>
      <c r="CO46" s="74"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74"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18.34</v>
      </c>
      <c r="CQ46" s="74"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74"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74"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74" t="n">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8.28</v>
      </c>
      <c r="CU46" s="74"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74"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14.7767</v>
      </c>
      <c r="CW46" s="74"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74"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74"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74"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17.83</v>
      </c>
      <c r="DA46" s="74"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74"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16.12</v>
      </c>
      <c r="DC46" s="74"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74"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74"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74" t="n">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6.14</v>
      </c>
      <c r="DG46" s="74"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74"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13.3633</v>
      </c>
      <c r="DI46" s="74"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74"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74"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74"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4.96</v>
      </c>
      <c r="DM46" s="74"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74"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18.76</v>
      </c>
      <c r="DO46" s="74"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74"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74"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74" t="n">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5.33</v>
      </c>
      <c r="DS46" s="74"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74"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9.6833</v>
      </c>
      <c r="DU46" s="267"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67"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67"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67"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4.7</v>
      </c>
      <c r="DY46" s="267"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67"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19.07</v>
      </c>
      <c r="EA46" s="267"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67"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67"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67" t="n">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8.51</v>
      </c>
      <c r="EE46" s="267"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62"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10.76</v>
      </c>
      <c r="EG46" s="267"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67"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67"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67"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4.74</v>
      </c>
      <c r="EK46" s="267"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67"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22.25</v>
      </c>
      <c r="EM46" s="267"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67"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67"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67" t="n">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12.04</v>
      </c>
      <c r="EQ46" s="267"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62"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13.01</v>
      </c>
      <c r="ES46" s="267"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67"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67"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67"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22.46</v>
      </c>
      <c r="EW46" s="267"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67"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19.92</v>
      </c>
      <c r="EY46" s="267"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67"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67"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67" t="n">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11.44</v>
      </c>
      <c r="FC46" s="267"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62"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17.94</v>
      </c>
      <c r="FE46" s="267"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67"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67"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67"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22.67</v>
      </c>
      <c r="FI46" s="267"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67"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16.58</v>
      </c>
      <c r="FK46" s="267"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67"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67"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67" t="n">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8.08</v>
      </c>
      <c r="FO46" s="267"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62"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15.7767</v>
      </c>
      <c r="FQ46" s="267"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67"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67"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67"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4.61</v>
      </c>
      <c r="FU46" s="267"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67"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20.76</v>
      </c>
      <c r="FW46" s="267"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67"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67"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67" t="n">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15.09</v>
      </c>
      <c r="GA46" s="267"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62"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13.4867</v>
      </c>
      <c r="GD46" s="74"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74"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74"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74"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4.68</v>
      </c>
      <c r="GH46" s="74"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74"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16.74</v>
      </c>
      <c r="GJ46" s="74"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74"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74"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74" t="n">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7.91</v>
      </c>
      <c r="GN46" s="74"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74"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9.7767</v>
      </c>
      <c r="GP46" s="74"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74"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74"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74"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4.71</v>
      </c>
      <c r="GT46" s="74"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74"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18.81</v>
      </c>
      <c r="GV46" s="74"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74"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74"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74" t="n">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10.65</v>
      </c>
      <c r="GZ46" s="74"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74"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11.39</v>
      </c>
      <c r="HB46" s="74"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74"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74"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74"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18.09</v>
      </c>
      <c r="HF46" s="74"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74"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17.33</v>
      </c>
      <c r="HH46" s="74"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74"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74"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74" t="n">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10.21</v>
      </c>
      <c r="HL46" s="74"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74"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15.21</v>
      </c>
      <c r="HN46" s="74"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74"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74"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74"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18.19</v>
      </c>
      <c r="HR46" s="74"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74"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14.9</v>
      </c>
      <c r="HT46" s="74"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74"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74"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74" t="n">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7.55</v>
      </c>
      <c r="HX46" s="74"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74"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13.5467</v>
      </c>
      <c r="HZ46" s="74"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74"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74"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74"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4.6</v>
      </c>
      <c r="ID46" s="74"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74"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17.88</v>
      </c>
      <c r="IF46" s="74"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74"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74"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74" t="n">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12.79</v>
      </c>
      <c r="IJ46" s="74"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74"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11.7567</v>
      </c>
    </row>
    <row r="47" customFormat="false" ht="15" hidden="false" customHeight="true" outlineLevel="0" collapsed="false">
      <c r="A47" s="226" t="s">
        <v>403</v>
      </c>
      <c r="B47" s="226" t="s">
        <v>331</v>
      </c>
      <c r="C47" s="230" t="n">
        <v>650</v>
      </c>
      <c r="D47" s="231"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31"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31"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31"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20.12</v>
      </c>
      <c r="H47" s="231"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31"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18.79</v>
      </c>
      <c r="J47" s="231"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31"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31"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31" t="n">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4.93</v>
      </c>
      <c r="N47" s="231"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58"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14.6133</v>
      </c>
      <c r="P47" s="231"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31"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31"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31"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4.52</v>
      </c>
      <c r="T47" s="231"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31"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19.6</v>
      </c>
      <c r="V47" s="231"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31"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31"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31" t="n">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6.31</v>
      </c>
      <c r="Z47" s="231"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58"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10.1433</v>
      </c>
      <c r="AB47" s="231"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31"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31"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31"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20.63</v>
      </c>
      <c r="AF47" s="231"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31"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20.38</v>
      </c>
      <c r="AH47" s="231"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31"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31"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31" t="n">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8.45</v>
      </c>
      <c r="AL47" s="231"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59"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16.4867</v>
      </c>
      <c r="AN47" s="260"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60"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60"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60"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20.84</v>
      </c>
      <c r="AR47" s="260"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60"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17.24</v>
      </c>
      <c r="AT47" s="260"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60"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60"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60" t="n">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6.02</v>
      </c>
      <c r="AX47" s="260"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59"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14.7</v>
      </c>
      <c r="AZ47" s="260"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60"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60"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60"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4.69</v>
      </c>
      <c r="BD47" s="260"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60"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21.05</v>
      </c>
      <c r="BF47" s="260"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60"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60"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60" t="n">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5.12</v>
      </c>
      <c r="BJ47" s="260"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59"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10.2867</v>
      </c>
      <c r="BM47" s="74"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74"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74"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74"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16.53</v>
      </c>
      <c r="BQ47" s="74"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74"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16.36</v>
      </c>
      <c r="BS47" s="74"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74"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74"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74" t="n">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4.82</v>
      </c>
      <c r="BW47" s="74"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74"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12.57</v>
      </c>
      <c r="BY47" s="74"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74"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74"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74"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4.48</v>
      </c>
      <c r="CC47" s="74"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74"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16.9</v>
      </c>
      <c r="CE47" s="74"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74"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74"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74" t="n">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6.02</v>
      </c>
      <c r="CI47" s="74"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74"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9.1333</v>
      </c>
      <c r="CK47" s="74"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74"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74"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74"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16.81</v>
      </c>
      <c r="CO47" s="74"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74"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17.4</v>
      </c>
      <c r="CQ47" s="74"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74"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74"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74" t="n">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7.79</v>
      </c>
      <c r="CU47" s="74"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74"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14</v>
      </c>
      <c r="CW47" s="74"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74"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74"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74"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16.93</v>
      </c>
      <c r="DA47" s="74"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74"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15.25</v>
      </c>
      <c r="DC47" s="74"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74"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74"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74" t="n">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5.76</v>
      </c>
      <c r="DG47" s="74"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74"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12.6467</v>
      </c>
      <c r="DI47" s="74"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74"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74"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74"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4.63</v>
      </c>
      <c r="DM47" s="74"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74"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17.82</v>
      </c>
      <c r="DO47" s="74"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74"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74"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74" t="n">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4.99</v>
      </c>
      <c r="DS47" s="74"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74"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9.1467</v>
      </c>
      <c r="DU47" s="261"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61"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61"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61"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4.38</v>
      </c>
      <c r="DY47" s="261"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61"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18.06</v>
      </c>
      <c r="EA47" s="261"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61"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61"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61" t="n">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8.02</v>
      </c>
      <c r="EE47" s="261"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62"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10.1533</v>
      </c>
      <c r="EG47" s="261"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61"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61"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61"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4.42</v>
      </c>
      <c r="EK47" s="261"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61"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21.13</v>
      </c>
      <c r="EM47" s="261"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61"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61"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61" t="n">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11.36</v>
      </c>
      <c r="EQ47" s="261"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62"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12.3033</v>
      </c>
      <c r="ES47" s="261"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61"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61"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61"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21.33</v>
      </c>
      <c r="EW47" s="261"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61"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18.88</v>
      </c>
      <c r="EY47" s="261"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61"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61"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61" t="n">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10.79</v>
      </c>
      <c r="FC47" s="261"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62"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17</v>
      </c>
      <c r="FE47" s="261"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61"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61"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61"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21.54</v>
      </c>
      <c r="FI47" s="261"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61"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15.67</v>
      </c>
      <c r="FK47" s="261"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61"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61"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61" t="n">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7.61</v>
      </c>
      <c r="FO47" s="261"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62"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14.94</v>
      </c>
      <c r="FQ47" s="261"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61"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61"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61"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4.3</v>
      </c>
      <c r="FU47" s="261"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61"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19.68</v>
      </c>
      <c r="FW47" s="261"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61"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61"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61" t="n">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14.25</v>
      </c>
      <c r="GA47" s="261"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62"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12.7433</v>
      </c>
      <c r="GD47" s="74"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74"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74"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74"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4.36</v>
      </c>
      <c r="GH47" s="74"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74"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15.85</v>
      </c>
      <c r="GJ47" s="74"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74"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74"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74" t="n">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7.44</v>
      </c>
      <c r="GN47" s="74"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74"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9.2167</v>
      </c>
      <c r="GP47" s="74"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74"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74"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74"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4.39</v>
      </c>
      <c r="GT47" s="74"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74"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17.86</v>
      </c>
      <c r="GV47" s="74"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74"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74"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74" t="n">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10.04</v>
      </c>
      <c r="GZ47" s="74"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74"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10.7633</v>
      </c>
      <c r="HB47" s="74"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74"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74"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74"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17.18</v>
      </c>
      <c r="HF47" s="74"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74"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16.42</v>
      </c>
      <c r="HH47" s="74"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74"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74"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74" t="n">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9.62</v>
      </c>
      <c r="HL47" s="74"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74"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14.4067</v>
      </c>
      <c r="HN47" s="74"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74"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74"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74"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17.28</v>
      </c>
      <c r="HR47" s="74"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74"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14.08</v>
      </c>
      <c r="HT47" s="74"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74"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74"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74" t="n">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7.1</v>
      </c>
      <c r="HX47" s="74"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74"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12.82</v>
      </c>
      <c r="HZ47" s="74"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74"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74"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74"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4.28</v>
      </c>
      <c r="ID47" s="74"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74"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16.96</v>
      </c>
      <c r="IF47" s="74"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74"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74"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74" t="n">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12.08</v>
      </c>
      <c r="IJ47" s="74"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74"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11.1067</v>
      </c>
    </row>
    <row r="48" customFormat="false" ht="15" hidden="false" customHeight="true" outlineLevel="0" collapsed="false">
      <c r="A48" s="263" t="s">
        <v>404</v>
      </c>
      <c r="B48" s="263" t="s">
        <v>331</v>
      </c>
      <c r="C48" s="264" t="n">
        <v>700</v>
      </c>
      <c r="D48" s="265"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65"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65"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65"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19.23</v>
      </c>
      <c r="H48" s="265"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65"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17.94</v>
      </c>
      <c r="J48" s="265"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65"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65"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65" t="n">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4.64</v>
      </c>
      <c r="N48" s="265"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58"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13.9367</v>
      </c>
      <c r="P48" s="265"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65"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65"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65"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4.25</v>
      </c>
      <c r="T48" s="265"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65"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18.72</v>
      </c>
      <c r="V48" s="265"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65"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65"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65" t="n">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5.97</v>
      </c>
      <c r="Z48" s="265"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58"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9.6467</v>
      </c>
      <c r="AB48" s="265"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65"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65"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65"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19.73</v>
      </c>
      <c r="AF48" s="265"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65"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19.48</v>
      </c>
      <c r="AH48" s="265"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65"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65"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65" t="n">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8.01</v>
      </c>
      <c r="AL48" s="265"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59"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15.74</v>
      </c>
      <c r="AN48" s="266"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66"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66"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66"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19.94</v>
      </c>
      <c r="AR48" s="266"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66"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16.43</v>
      </c>
      <c r="AT48" s="266"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66"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66"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66" t="n">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5.69</v>
      </c>
      <c r="AX48" s="266"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59"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14.02</v>
      </c>
      <c r="AZ48" s="266"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66"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66"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66"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4.41</v>
      </c>
      <c r="BD48" s="266"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66"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20.14</v>
      </c>
      <c r="BF48" s="266"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66"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66"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66" t="n">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4.83</v>
      </c>
      <c r="BJ48" s="266"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59"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9.7933</v>
      </c>
      <c r="BM48" s="74"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74"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74"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74"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15.79</v>
      </c>
      <c r="BQ48" s="74"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74"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15.61</v>
      </c>
      <c r="BS48" s="74"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74"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74"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74" t="n">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4.54</v>
      </c>
      <c r="BW48" s="74"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74"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11.98</v>
      </c>
      <c r="BY48" s="74"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74"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74"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74"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4.21</v>
      </c>
      <c r="CC48" s="74"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74"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16.14</v>
      </c>
      <c r="CE48" s="74"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74"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74"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74" t="n">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5.69</v>
      </c>
      <c r="CI48" s="74"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74"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8.68</v>
      </c>
      <c r="CK48" s="74"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74"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74"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74"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16.07</v>
      </c>
      <c r="CO48" s="74"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74"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16.63</v>
      </c>
      <c r="CQ48" s="74"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74"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74"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74" t="n">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7.38</v>
      </c>
      <c r="CU48" s="74"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74"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13.36</v>
      </c>
      <c r="CW48" s="74"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74"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74"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74"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16.18</v>
      </c>
      <c r="DA48" s="74"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74"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14.54</v>
      </c>
      <c r="DC48" s="74"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74"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74"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74" t="n">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5.45</v>
      </c>
      <c r="DG48" s="74"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74"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12.0567</v>
      </c>
      <c r="DI48" s="74"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74"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74"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74"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4.36</v>
      </c>
      <c r="DM48" s="74"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74"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17.04</v>
      </c>
      <c r="DO48" s="74"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74"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74"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74" t="n">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4.7</v>
      </c>
      <c r="DS48" s="74"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74"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8.7</v>
      </c>
      <c r="DU48" s="267"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67"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67"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67"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4.12</v>
      </c>
      <c r="DY48" s="267"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67"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17.23</v>
      </c>
      <c r="EA48" s="267"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67"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67"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67" t="n">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7.6</v>
      </c>
      <c r="EE48" s="267"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62"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9.65</v>
      </c>
      <c r="EG48" s="267"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67"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67"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67"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4.15</v>
      </c>
      <c r="EK48" s="267"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67"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20.22</v>
      </c>
      <c r="EM48" s="267"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67"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67"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67" t="n">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10.79</v>
      </c>
      <c r="EQ48" s="267"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62"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11.72</v>
      </c>
      <c r="ES48" s="267"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67"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67"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67"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20.42</v>
      </c>
      <c r="EW48" s="267"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67"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18.03</v>
      </c>
      <c r="EY48" s="267"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67"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67"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67" t="n">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10.25</v>
      </c>
      <c r="FC48" s="267"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62"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16.2333</v>
      </c>
      <c r="FE48" s="267"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67"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67"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67"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20.62</v>
      </c>
      <c r="FI48" s="267"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67"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14.93</v>
      </c>
      <c r="FK48" s="267"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67"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67"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67" t="n">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7.21</v>
      </c>
      <c r="FO48" s="267"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62"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14.2533</v>
      </c>
      <c r="FQ48" s="267"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67"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67"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67"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4.03</v>
      </c>
      <c r="FU48" s="267"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67"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18.81</v>
      </c>
      <c r="FW48" s="267"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67"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67"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67" t="n">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13.56</v>
      </c>
      <c r="GA48" s="267"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62"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12.1333</v>
      </c>
      <c r="GD48" s="74"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74"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74"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74"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4.09</v>
      </c>
      <c r="GH48" s="74"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74"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15.12</v>
      </c>
      <c r="GJ48" s="74"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74"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74"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74" t="n">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7.05</v>
      </c>
      <c r="GN48" s="74"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74"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8.7533</v>
      </c>
      <c r="GP48" s="74"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74"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74"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74"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4.13</v>
      </c>
      <c r="GT48" s="74"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74"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17.09</v>
      </c>
      <c r="GV48" s="74"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74"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74"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74" t="n">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9.53</v>
      </c>
      <c r="GZ48" s="74"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74"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10.25</v>
      </c>
      <c r="HB48" s="74"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74"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74"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74"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16.43</v>
      </c>
      <c r="HF48" s="74"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74"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15.67</v>
      </c>
      <c r="HH48" s="74"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74"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74"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74" t="n">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9.13</v>
      </c>
      <c r="HL48" s="74"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74"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13.7433</v>
      </c>
      <c r="HN48" s="74"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74"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74"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74"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16.54</v>
      </c>
      <c r="HR48" s="74"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74"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13.41</v>
      </c>
      <c r="HT48" s="74"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74"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74"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74" t="n">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6.73</v>
      </c>
      <c r="HX48" s="74"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74"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12.2267</v>
      </c>
      <c r="HZ48" s="74"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74"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74"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74"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4.02</v>
      </c>
      <c r="ID48" s="74"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74"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16.19</v>
      </c>
      <c r="IF48" s="74"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74"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74"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74" t="n">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11.49</v>
      </c>
      <c r="IJ48" s="74"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74"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10.5667</v>
      </c>
    </row>
    <row r="49" customFormat="false" ht="15" hidden="false" customHeight="true" outlineLevel="0" collapsed="false">
      <c r="A49" s="226" t="s">
        <v>405</v>
      </c>
      <c r="B49" s="226" t="s">
        <v>331</v>
      </c>
      <c r="C49" s="230" t="n">
        <v>750</v>
      </c>
      <c r="D49" s="231"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31"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31"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31"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18.49</v>
      </c>
      <c r="H49" s="231"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31"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17.23</v>
      </c>
      <c r="J49" s="231"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31"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31"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31" t="n">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4.4</v>
      </c>
      <c r="N49" s="231"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58"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13.3733</v>
      </c>
      <c r="P49" s="231"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31"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31"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31"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4.02</v>
      </c>
      <c r="T49" s="231"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31"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18</v>
      </c>
      <c r="V49" s="231"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31"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31"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31" t="n">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5.68</v>
      </c>
      <c r="Z49" s="231"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58"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9.2333</v>
      </c>
      <c r="AB49" s="231"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31"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31"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31"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18.98</v>
      </c>
      <c r="AF49" s="231"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31"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18.74</v>
      </c>
      <c r="AH49" s="231"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31"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31"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31" t="n">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7.65</v>
      </c>
      <c r="AL49" s="231"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59"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15.1233</v>
      </c>
      <c r="AN49" s="260"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60"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60"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60"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19.19</v>
      </c>
      <c r="AR49" s="260"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60"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15.77</v>
      </c>
      <c r="AT49" s="260"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60"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60"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60" t="n">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5.41</v>
      </c>
      <c r="AX49" s="260"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59"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13.4567</v>
      </c>
      <c r="AZ49" s="260"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60"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60"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60"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4.18</v>
      </c>
      <c r="BD49" s="260"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60"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19.39</v>
      </c>
      <c r="BF49" s="260"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60"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60"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60" t="n">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4.58</v>
      </c>
      <c r="BJ49" s="260"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59"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9.3833</v>
      </c>
      <c r="BM49" s="74"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74"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74"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74"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15.19</v>
      </c>
      <c r="BQ49" s="74"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74"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14.99</v>
      </c>
      <c r="BS49" s="74"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74"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74"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74" t="n">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4.3</v>
      </c>
      <c r="BW49" s="74"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74"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11.4933</v>
      </c>
      <c r="BY49" s="74"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74"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74"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74"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3.98</v>
      </c>
      <c r="CC49" s="74"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74"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15.51</v>
      </c>
      <c r="CE49" s="74"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74"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74"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74" t="n">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5.41</v>
      </c>
      <c r="CI49" s="74"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74"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8.3</v>
      </c>
      <c r="CK49" s="74"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74"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74"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74"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15.46</v>
      </c>
      <c r="CO49" s="74"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74"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16</v>
      </c>
      <c r="CQ49" s="74"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74"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74"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74" t="n">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7.04</v>
      </c>
      <c r="CU49" s="74"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74"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12.8333</v>
      </c>
      <c r="CW49" s="74"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74"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74"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74"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15.57</v>
      </c>
      <c r="DA49" s="74"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74"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13.95</v>
      </c>
      <c r="DC49" s="74"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74"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74"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74" t="n">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5.18</v>
      </c>
      <c r="DG49" s="74"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74"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11.5667</v>
      </c>
      <c r="DI49" s="74"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74"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74"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74"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4.12</v>
      </c>
      <c r="DM49" s="74"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74"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v>
      </c>
      <c r="DO49" s="74"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74"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74"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74" t="n">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4.46</v>
      </c>
      <c r="DS49" s="74"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74"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8.3267</v>
      </c>
      <c r="DU49" s="261"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61"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61"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61"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3.89</v>
      </c>
      <c r="DY49" s="261"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61"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16.54</v>
      </c>
      <c r="EA49" s="261"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61"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61"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61" t="n">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7.25</v>
      </c>
      <c r="EE49" s="261"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62"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9.2267</v>
      </c>
      <c r="EG49" s="261"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61"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61"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61"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3.93</v>
      </c>
      <c r="EK49" s="261"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61"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19.47</v>
      </c>
      <c r="EM49" s="261"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61"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61"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61" t="n">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10.32</v>
      </c>
      <c r="EQ49" s="261"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62"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11.24</v>
      </c>
      <c r="ES49" s="261"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61"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61"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61"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19.67</v>
      </c>
      <c r="EW49" s="261"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61"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17.32</v>
      </c>
      <c r="EY49" s="261"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61"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61"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61" t="n">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9.8</v>
      </c>
      <c r="FC49" s="261"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62"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15.5967</v>
      </c>
      <c r="FE49" s="261"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61"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61"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61"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19.87</v>
      </c>
      <c r="FI49" s="261"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61"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14.31</v>
      </c>
      <c r="FK49" s="261"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61"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61"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61" t="n">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6.88</v>
      </c>
      <c r="FO49" s="261"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62"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13.6867</v>
      </c>
      <c r="FQ49" s="261"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61"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61"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61"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3.81</v>
      </c>
      <c r="FU49" s="261"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61"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18.08</v>
      </c>
      <c r="FW49" s="261"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61"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61"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61" t="n">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12.99</v>
      </c>
      <c r="GA49" s="261"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62"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11.6267</v>
      </c>
      <c r="GD49" s="74"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74"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74"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74"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3.86</v>
      </c>
      <c r="GH49" s="74"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74"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14.51</v>
      </c>
      <c r="GJ49" s="74"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74"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74"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74" t="n">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6.72</v>
      </c>
      <c r="GN49" s="74"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74"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8.3633</v>
      </c>
      <c r="GP49" s="74"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74"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74"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74"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3.9</v>
      </c>
      <c r="GT49" s="74"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74"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16.45</v>
      </c>
      <c r="GV49" s="74"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74"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74"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74" t="n">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9.11</v>
      </c>
      <c r="GZ49" s="74"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74"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9.82</v>
      </c>
      <c r="HB49" s="74"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74"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74"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74"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15.83</v>
      </c>
      <c r="HF49" s="74"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74"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15.05</v>
      </c>
      <c r="HH49" s="74"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74"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74"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74" t="n">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8.72</v>
      </c>
      <c r="HL49" s="74"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74"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13.2</v>
      </c>
      <c r="HN49" s="74"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74"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74"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74"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15.93</v>
      </c>
      <c r="HR49" s="74"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74"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12.85</v>
      </c>
      <c r="HT49" s="74"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74"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74"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74" t="n">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6.41</v>
      </c>
      <c r="HX49" s="74"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74"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11.73</v>
      </c>
      <c r="HZ49" s="74"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74"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74"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74"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3.79</v>
      </c>
      <c r="ID49" s="74"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74"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15.57</v>
      </c>
      <c r="IF49" s="74"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74"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74"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74" t="n">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11</v>
      </c>
      <c r="IJ49" s="74"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74"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10.12</v>
      </c>
    </row>
    <row r="50" customFormat="false" ht="15" hidden="false" customHeight="true" outlineLevel="0" collapsed="false">
      <c r="A50" s="249" t="s">
        <v>406</v>
      </c>
      <c r="B50" s="250" t="s">
        <v>407</v>
      </c>
      <c r="C50" s="251" t="n">
        <v>800</v>
      </c>
      <c r="D50" s="252"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52"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52"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52"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17.89</v>
      </c>
      <c r="H50" s="252"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52"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16.65</v>
      </c>
      <c r="J50" s="252"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52"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52"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52" t="n">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4.2</v>
      </c>
      <c r="N50" s="252"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53"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12.9133</v>
      </c>
      <c r="P50" s="252"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52"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52"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52"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3.82</v>
      </c>
      <c r="T50" s="252"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52"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17.4</v>
      </c>
      <c r="V50" s="252"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52"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52"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52" t="n">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5.44</v>
      </c>
      <c r="Z50" s="252"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53"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8.8867</v>
      </c>
      <c r="AB50" s="252"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52"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52"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52"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18.37</v>
      </c>
      <c r="AF50" s="252"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52"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18.14</v>
      </c>
      <c r="AH50" s="252"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52"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52"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52" t="n">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7.34</v>
      </c>
      <c r="AL50" s="252"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54"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14.6167</v>
      </c>
      <c r="AN50" s="255"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55"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55"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55"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18.58</v>
      </c>
      <c r="AR50" s="255"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55"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15.21</v>
      </c>
      <c r="AT50" s="255"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55"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55"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55" t="n">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5.18</v>
      </c>
      <c r="AX50" s="255"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54"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12.99</v>
      </c>
      <c r="AZ50" s="255"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55"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55"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55"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3.98</v>
      </c>
      <c r="BD50" s="255"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55"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18.77</v>
      </c>
      <c r="BF50" s="255"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55"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55"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55" t="n">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4.37</v>
      </c>
      <c r="BJ50" s="255"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54"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9.04</v>
      </c>
      <c r="BM50" s="74"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74"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74"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74"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14.68</v>
      </c>
      <c r="BQ50" s="74"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74"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14.48</v>
      </c>
      <c r="BS50" s="74"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74"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74"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74" t="n">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4.1</v>
      </c>
      <c r="BW50" s="74"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74"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11.0867</v>
      </c>
      <c r="BY50" s="74"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74"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74"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74"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3.79</v>
      </c>
      <c r="CC50" s="74"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74"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14.99</v>
      </c>
      <c r="CE50" s="74"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74"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74"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74" t="n">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5.17</v>
      </c>
      <c r="CI50" s="74"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74"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7.9833</v>
      </c>
      <c r="CK50" s="74"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74"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74"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74"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14.96</v>
      </c>
      <c r="CO50" s="74"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74"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15.48</v>
      </c>
      <c r="CQ50" s="74"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74"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74"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74" t="n">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6.75</v>
      </c>
      <c r="CU50" s="74"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74"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12.3967</v>
      </c>
      <c r="CW50" s="74"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74"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74"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74"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15.07</v>
      </c>
      <c r="DA50" s="74"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74"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13.45</v>
      </c>
      <c r="DC50" s="74"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74"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74"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74" t="n">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4.95</v>
      </c>
      <c r="DG50" s="74"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74"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11.1567</v>
      </c>
      <c r="DI50" s="74"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74"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74"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74"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3.92</v>
      </c>
      <c r="DM50" s="74"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74"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15.88</v>
      </c>
      <c r="DO50" s="74"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74"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74"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74" t="n">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4.25</v>
      </c>
      <c r="DS50" s="74"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74"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8.0167</v>
      </c>
      <c r="DU50" s="256"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56"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56"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56"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3.69</v>
      </c>
      <c r="DY50" s="256"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56"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15.97</v>
      </c>
      <c r="EA50" s="256"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56"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56"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56" t="n">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6.96</v>
      </c>
      <c r="EE50" s="256"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57"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8.8733</v>
      </c>
      <c r="EG50" s="256"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56"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56"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56"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3.73</v>
      </c>
      <c r="EK50" s="256"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56"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18.85</v>
      </c>
      <c r="EM50" s="256"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56"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56"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56" t="n">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9.92</v>
      </c>
      <c r="EQ50" s="256"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57"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10.8333</v>
      </c>
      <c r="ES50" s="256"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56"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56"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56"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19.05</v>
      </c>
      <c r="EW50" s="256"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56"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16.73</v>
      </c>
      <c r="EY50" s="256"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56"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56"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56" t="n">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9.42</v>
      </c>
      <c r="FC50" s="256"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57"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15.0667</v>
      </c>
      <c r="FE50" s="256"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56"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56"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56"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19.25</v>
      </c>
      <c r="FI50" s="256"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56"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13.79</v>
      </c>
      <c r="FK50" s="256"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56"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56"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56" t="n">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6.59</v>
      </c>
      <c r="FO50" s="256"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57"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13.21</v>
      </c>
      <c r="FQ50" s="256"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56"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56"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56"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3.61</v>
      </c>
      <c r="FU50" s="256"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56"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17.48</v>
      </c>
      <c r="FW50" s="256"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56"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56"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56" t="n">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12.51</v>
      </c>
      <c r="GA50" s="256"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57"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v>
      </c>
      <c r="GD50" s="74"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74"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74"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74"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3.67</v>
      </c>
      <c r="GH50" s="74"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74"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14</v>
      </c>
      <c r="GJ50" s="74"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74"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74"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74" t="n">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6.44</v>
      </c>
      <c r="GN50" s="74"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74"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8.0367</v>
      </c>
      <c r="GP50" s="74"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74"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74"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74"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3.7</v>
      </c>
      <c r="GT50" s="74"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74"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15.93</v>
      </c>
      <c r="GV50" s="74"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74"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74"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74" t="n">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8.75</v>
      </c>
      <c r="GZ50" s="74"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74"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9.46</v>
      </c>
      <c r="HB50" s="74"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74"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74"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74"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15.32</v>
      </c>
      <c r="HF50" s="74"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74"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14.54</v>
      </c>
      <c r="HH50" s="74"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74"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74"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74" t="n">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8.38</v>
      </c>
      <c r="HL50" s="74"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74"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12.7467</v>
      </c>
      <c r="HN50" s="74"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74"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74"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74"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15.43</v>
      </c>
      <c r="HR50" s="74"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74"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12.38</v>
      </c>
      <c r="HT50" s="74"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74"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74"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74" t="n">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6.14</v>
      </c>
      <c r="HX50" s="74"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74"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11.3167</v>
      </c>
      <c r="HZ50" s="74"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74"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74"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74"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3.6</v>
      </c>
      <c r="ID50" s="74"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74"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15.05</v>
      </c>
      <c r="IF50" s="74"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74"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74"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74" t="n">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10.58</v>
      </c>
      <c r="IJ50" s="74"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74"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9.7433</v>
      </c>
    </row>
    <row r="51" customFormat="false" ht="15" hidden="false" customHeight="true" outlineLevel="0" collapsed="false">
      <c r="A51" s="226" t="s">
        <v>408</v>
      </c>
      <c r="B51" s="226" t="s">
        <v>331</v>
      </c>
      <c r="C51" s="230" t="n">
        <v>850</v>
      </c>
      <c r="D51" s="231"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31"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31"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31"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17.39</v>
      </c>
      <c r="H51" s="231"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31"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16.16</v>
      </c>
      <c r="J51" s="231"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31"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31"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31" t="n">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4.02</v>
      </c>
      <c r="N51" s="231"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58"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12.5233</v>
      </c>
      <c r="P51" s="231"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31"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31"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31"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3.65</v>
      </c>
      <c r="T51" s="231"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31"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16.9</v>
      </c>
      <c r="V51" s="231"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31"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31"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31" t="n">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5.24</v>
      </c>
      <c r="Z51" s="231"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58"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8.5967</v>
      </c>
      <c r="AB51" s="231"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31"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31"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31"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17.87</v>
      </c>
      <c r="AF51" s="231"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31"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17.63</v>
      </c>
      <c r="AH51" s="231"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31"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31"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31" t="n">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7.08</v>
      </c>
      <c r="AL51" s="231"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59"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14.1933</v>
      </c>
      <c r="AN51" s="260"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60"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60"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60"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18.07</v>
      </c>
      <c r="AR51" s="260"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60"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14.75</v>
      </c>
      <c r="AT51" s="260"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60"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60"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60" t="n">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4.98</v>
      </c>
      <c r="AX51" s="260"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59"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12.6</v>
      </c>
      <c r="AZ51" s="260"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60"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60"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60"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3.8</v>
      </c>
      <c r="BD51" s="260"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60"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18.27</v>
      </c>
      <c r="BF51" s="260"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60"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60"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60" t="n">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4.19</v>
      </c>
      <c r="BJ51" s="260"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59"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8.7533</v>
      </c>
      <c r="BM51" s="74"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74"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74"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74"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14.27</v>
      </c>
      <c r="BQ51" s="74"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74"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14.05</v>
      </c>
      <c r="BS51" s="74"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74"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74"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74" t="n">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3.92</v>
      </c>
      <c r="BW51" s="74"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74"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10.7467</v>
      </c>
      <c r="BY51" s="74"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74"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74"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74"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3.61</v>
      </c>
      <c r="CC51" s="74"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74"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14.56</v>
      </c>
      <c r="CE51" s="74"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74"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74"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74" t="n">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4.97</v>
      </c>
      <c r="CI51" s="74"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74"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7.7133</v>
      </c>
      <c r="CK51" s="74"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74"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74"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74"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14.54</v>
      </c>
      <c r="CO51" s="74"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74"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15.04</v>
      </c>
      <c r="CQ51" s="74"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74"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74"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74" t="n">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6.51</v>
      </c>
      <c r="CU51" s="74"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74"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12.03</v>
      </c>
      <c r="CW51" s="74"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74"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74"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74"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14.66</v>
      </c>
      <c r="DA51" s="74"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74"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13.04</v>
      </c>
      <c r="DC51" s="74"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74"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74"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74" t="n">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4.75</v>
      </c>
      <c r="DG51" s="74"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74"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10.8167</v>
      </c>
      <c r="DI51" s="74"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74"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74"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74"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3.75</v>
      </c>
      <c r="DM51" s="74"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74"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15.45</v>
      </c>
      <c r="DO51" s="74"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74"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74"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74" t="n">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4.07</v>
      </c>
      <c r="DS51" s="74"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74"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7.7567</v>
      </c>
      <c r="DU51" s="261"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61"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61"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61"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3.53</v>
      </c>
      <c r="DY51" s="261"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61"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15.5</v>
      </c>
      <c r="EA51" s="261"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61"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61"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61" t="n">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6.71</v>
      </c>
      <c r="EE51" s="261"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62"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8.58</v>
      </c>
      <c r="EG51" s="261"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61"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61"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61"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3.56</v>
      </c>
      <c r="EK51" s="261"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61"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18.35</v>
      </c>
      <c r="EM51" s="261"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61"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61"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61" t="n">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9.58</v>
      </c>
      <c r="EQ51" s="261"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62"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10.4967</v>
      </c>
      <c r="ES51" s="261"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61"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61"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61"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18.54</v>
      </c>
      <c r="EW51" s="261"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61"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16.24</v>
      </c>
      <c r="EY51" s="261"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61"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61"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61" t="n">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9.1</v>
      </c>
      <c r="FC51" s="261"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62"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14.6267</v>
      </c>
      <c r="FE51" s="261"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61"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61"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61"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18.74</v>
      </c>
      <c r="FI51" s="261"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61"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13.36</v>
      </c>
      <c r="FK51" s="261"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61"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61"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61" t="n">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6.35</v>
      </c>
      <c r="FO51" s="261"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62"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12.8167</v>
      </c>
      <c r="FQ51" s="261"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61"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61"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61"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3.45</v>
      </c>
      <c r="FU51" s="261"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61"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16.98</v>
      </c>
      <c r="FW51" s="261"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61"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61"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61" t="n">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12.11</v>
      </c>
      <c r="GA51" s="261"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62"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10.8467</v>
      </c>
      <c r="GD51" s="74"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74"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74"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74"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3.5</v>
      </c>
      <c r="GH51" s="74"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74"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13.58</v>
      </c>
      <c r="GJ51" s="74"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74"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74"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74" t="n">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6.2</v>
      </c>
      <c r="GN51" s="74"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74"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7.76</v>
      </c>
      <c r="GP51" s="74"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74"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74"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74"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3.53</v>
      </c>
      <c r="GT51" s="74"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74"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15.5</v>
      </c>
      <c r="GV51" s="74"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74"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74"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74" t="n">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8.45</v>
      </c>
      <c r="GZ51" s="74"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74"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9.16</v>
      </c>
      <c r="HB51" s="74"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74"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74"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74"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14.91</v>
      </c>
      <c r="HF51" s="74"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74"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14.11</v>
      </c>
      <c r="HH51" s="74"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74"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74"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74" t="n">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8.09</v>
      </c>
      <c r="HL51" s="74"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74"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12.37</v>
      </c>
      <c r="HN51" s="74"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74"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74"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74"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15.02</v>
      </c>
      <c r="HR51" s="74"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74"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11.99</v>
      </c>
      <c r="HT51" s="74"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74"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74"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74" t="n">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5.91</v>
      </c>
      <c r="HX51" s="74"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74"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10.9733</v>
      </c>
      <c r="HZ51" s="74"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74"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74"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74"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3.43</v>
      </c>
      <c r="ID51" s="74"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74"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14.62</v>
      </c>
      <c r="IF51" s="74"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74"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74"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74" t="n">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10.24</v>
      </c>
      <c r="IJ51" s="74"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74"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9.43</v>
      </c>
    </row>
    <row r="52" customFormat="false" ht="15" hidden="false" customHeight="true" outlineLevel="0" collapsed="false">
      <c r="A52" s="263" t="s">
        <v>409</v>
      </c>
      <c r="B52" s="263" t="s">
        <v>331</v>
      </c>
      <c r="C52" s="264" t="n">
        <v>900</v>
      </c>
      <c r="D52" s="265"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65"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65"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65"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16.97</v>
      </c>
      <c r="H52" s="265"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65"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15.76</v>
      </c>
      <c r="J52" s="265"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65"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65"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65" t="n">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3.87</v>
      </c>
      <c r="N52" s="265"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58"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12.2</v>
      </c>
      <c r="P52" s="265"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65"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65"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65"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3.51</v>
      </c>
      <c r="T52" s="265"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65"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16.49</v>
      </c>
      <c r="V52" s="265"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65"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65"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65" t="n">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5.06</v>
      </c>
      <c r="Z52" s="265"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58"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8.3533</v>
      </c>
      <c r="AB52" s="265"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65"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65"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65"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17.45</v>
      </c>
      <c r="AF52" s="265"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65"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17.22</v>
      </c>
      <c r="AH52" s="265"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65"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65"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65" t="n">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6.86</v>
      </c>
      <c r="AL52" s="265"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59"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13.8433</v>
      </c>
      <c r="AN52" s="266"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66"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66"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66"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17.66</v>
      </c>
      <c r="AR52" s="266"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66"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14.36</v>
      </c>
      <c r="AT52" s="266"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66"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66"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66" t="n">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4.81</v>
      </c>
      <c r="AX52" s="266"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59"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12.2767</v>
      </c>
      <c r="AZ52" s="266"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66"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66"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66"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3.66</v>
      </c>
      <c r="BD52" s="266"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66"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17.85</v>
      </c>
      <c r="BF52" s="266"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66"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66"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66" t="n">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4.04</v>
      </c>
      <c r="BJ52" s="266"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59"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8.5167</v>
      </c>
      <c r="BM52" s="74"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74"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74"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74"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13.92</v>
      </c>
      <c r="BQ52" s="74"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74"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13.7</v>
      </c>
      <c r="BS52" s="74"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74"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74"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74" t="n">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3.77</v>
      </c>
      <c r="BW52" s="74"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74"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10.4633</v>
      </c>
      <c r="BY52" s="74"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74"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74"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74"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3.47</v>
      </c>
      <c r="CC52" s="74"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74"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14.2</v>
      </c>
      <c r="CE52" s="74"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74"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74"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74" t="n">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4.8</v>
      </c>
      <c r="CI52" s="74"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74"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7.49</v>
      </c>
      <c r="CK52" s="74"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74"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74"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74"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14.2</v>
      </c>
      <c r="CO52" s="74"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74"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14.69</v>
      </c>
      <c r="CQ52" s="74"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74"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74"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74" t="n">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6.3</v>
      </c>
      <c r="CU52" s="74"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74"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11.73</v>
      </c>
      <c r="CW52" s="74"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74"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74"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74"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14.32</v>
      </c>
      <c r="DA52" s="74"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74"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12.7</v>
      </c>
      <c r="DC52" s="74"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74"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74"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74" t="n">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4.59</v>
      </c>
      <c r="DG52" s="74"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74"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10.5367</v>
      </c>
      <c r="DI52" s="74"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74"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74"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74"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3.6</v>
      </c>
      <c r="DM52" s="74"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74"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15.09</v>
      </c>
      <c r="DO52" s="74"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74"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74"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74" t="n">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3.92</v>
      </c>
      <c r="DS52" s="74"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74"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7.5367</v>
      </c>
      <c r="DU52" s="267"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67"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67"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67"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3.38</v>
      </c>
      <c r="DY52" s="267"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67"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15.1</v>
      </c>
      <c r="EA52" s="267"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67"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67"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67" t="n">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6.49</v>
      </c>
      <c r="EE52" s="267"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62"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8.3233</v>
      </c>
      <c r="EG52" s="267"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67"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67"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67"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3.42</v>
      </c>
      <c r="EK52" s="267"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67"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17.93</v>
      </c>
      <c r="EM52" s="267"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67"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67"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67" t="n">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9.3</v>
      </c>
      <c r="EQ52" s="267"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62"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10.2167</v>
      </c>
      <c r="ES52" s="267"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67"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67"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67"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18.12</v>
      </c>
      <c r="EW52" s="267"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67"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15.84</v>
      </c>
      <c r="EY52" s="267"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67"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67"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67" t="n">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8.83</v>
      </c>
      <c r="FC52" s="267"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62"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14.2633</v>
      </c>
      <c r="FE52" s="267"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67"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67"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67"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18.32</v>
      </c>
      <c r="FI52" s="267"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67"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12.99</v>
      </c>
      <c r="FK52" s="267"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67"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67"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67" t="n">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6.15</v>
      </c>
      <c r="FO52" s="267"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62"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12.4867</v>
      </c>
      <c r="FQ52" s="267"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67"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67"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67"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3.3</v>
      </c>
      <c r="FU52" s="267"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67"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16.57</v>
      </c>
      <c r="FW52" s="267"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67"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67"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67" t="n">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11.77</v>
      </c>
      <c r="GA52" s="267"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62"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10.5467</v>
      </c>
      <c r="GD52" s="74"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74"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74"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74"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3.35</v>
      </c>
      <c r="GH52" s="74"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74"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13.23</v>
      </c>
      <c r="GJ52" s="74"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74"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74"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74" t="n">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6</v>
      </c>
      <c r="GN52" s="74"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74"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7.5267</v>
      </c>
      <c r="GP52" s="74"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74"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74"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74"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3.38</v>
      </c>
      <c r="GT52" s="74"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74"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15.14</v>
      </c>
      <c r="GV52" s="74"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74"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74"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74" t="n">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8.2</v>
      </c>
      <c r="GZ52" s="74"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74"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8.9067</v>
      </c>
      <c r="HB52" s="74"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74"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74"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74"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14.57</v>
      </c>
      <c r="HF52" s="74"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74"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13.76</v>
      </c>
      <c r="HH52" s="74"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74"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74"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74" t="n">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7.84</v>
      </c>
      <c r="HL52" s="74"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74"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12.0567</v>
      </c>
      <c r="HN52" s="74"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74"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74"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74"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14.68</v>
      </c>
      <c r="HR52" s="74"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74"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11.66</v>
      </c>
      <c r="HT52" s="74"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74"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74"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74" t="n">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5.72</v>
      </c>
      <c r="HX52" s="74"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74"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10.6867</v>
      </c>
      <c r="HZ52" s="74"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74"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74"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74"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3.28</v>
      </c>
      <c r="ID52" s="74"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74"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14.26</v>
      </c>
      <c r="IF52" s="74"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74"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74"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74" t="n">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9.94</v>
      </c>
      <c r="IJ52" s="74"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74"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9.16</v>
      </c>
    </row>
    <row r="53" customFormat="false" ht="15" hidden="false" customHeight="true" outlineLevel="0" collapsed="false">
      <c r="A53" s="226" t="s">
        <v>410</v>
      </c>
      <c r="B53" s="226" t="s">
        <v>331</v>
      </c>
      <c r="C53" s="230" t="n">
        <v>950</v>
      </c>
      <c r="D53" s="231"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31"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31"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31"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16.63</v>
      </c>
      <c r="H53" s="231"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31"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15.42</v>
      </c>
      <c r="J53" s="231"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31"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31"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31" t="n">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3.74</v>
      </c>
      <c r="N53" s="231"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58"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11.93</v>
      </c>
      <c r="P53" s="231"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31"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31"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31"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3.38</v>
      </c>
      <c r="T53" s="231"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31"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16.15</v>
      </c>
      <c r="V53" s="231"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31"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31"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31" t="n">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4.91</v>
      </c>
      <c r="Z53" s="231"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58"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8.1467</v>
      </c>
      <c r="AB53" s="231"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31"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31"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31"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17.11</v>
      </c>
      <c r="AF53" s="231"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31"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16.88</v>
      </c>
      <c r="AH53" s="231"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31"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31"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31" t="n">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6.67</v>
      </c>
      <c r="AL53" s="231"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59"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13.5533</v>
      </c>
      <c r="AN53" s="260"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60"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60"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60"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17.32</v>
      </c>
      <c r="AR53" s="260"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60"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14.04</v>
      </c>
      <c r="AT53" s="260"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60"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60"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60" t="n">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4.66</v>
      </c>
      <c r="AX53" s="260"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59"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12.0067</v>
      </c>
      <c r="AZ53" s="260"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60"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60"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60"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3.53</v>
      </c>
      <c r="BD53" s="260"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60"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17.51</v>
      </c>
      <c r="BF53" s="260"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60"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60"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60" t="n">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3.91</v>
      </c>
      <c r="BJ53" s="260"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59"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8.3167</v>
      </c>
      <c r="BM53" s="74"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74"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74"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74"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13.64</v>
      </c>
      <c r="BQ53" s="74"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74"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13.41</v>
      </c>
      <c r="BS53" s="74"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74"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74"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74" t="n">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3.64</v>
      </c>
      <c r="BW53" s="74"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74"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10.23</v>
      </c>
      <c r="BY53" s="74"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74"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74"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74"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3.34</v>
      </c>
      <c r="CC53" s="74"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74"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13.91</v>
      </c>
      <c r="CE53" s="74"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74"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74"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74" t="n">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4.65</v>
      </c>
      <c r="CI53" s="74"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74"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7.3</v>
      </c>
      <c r="CK53" s="74"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74"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74"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74"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13.92</v>
      </c>
      <c r="CO53" s="74"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74"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14.39</v>
      </c>
      <c r="CQ53" s="74"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74"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74"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74" t="n">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6.12</v>
      </c>
      <c r="CU53" s="74"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74"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11.4767</v>
      </c>
      <c r="CW53" s="74"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74"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74"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74"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14.04</v>
      </c>
      <c r="DA53" s="74"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74"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12.41</v>
      </c>
      <c r="DC53" s="74"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74"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74"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74" t="n">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4.44</v>
      </c>
      <c r="DG53" s="74"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74"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10.2967</v>
      </c>
      <c r="DI53" s="74"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74"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74"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74"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3.47</v>
      </c>
      <c r="DM53" s="74"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74"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v>
      </c>
      <c r="DO53" s="74"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74"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74"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74" t="n">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3.78</v>
      </c>
      <c r="DS53" s="74"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74"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7.35</v>
      </c>
      <c r="DU53" s="261"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61"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61"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61"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3.25</v>
      </c>
      <c r="DY53" s="261"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61"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14.77</v>
      </c>
      <c r="EA53" s="261"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61"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61"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61" t="n">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6.31</v>
      </c>
      <c r="EE53" s="261"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62"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8.11</v>
      </c>
      <c r="EG53" s="261"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61"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61"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61"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3.29</v>
      </c>
      <c r="EK53" s="261"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61"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17.59</v>
      </c>
      <c r="EM53" s="261"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61"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61"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61" t="n">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9.06</v>
      </c>
      <c r="EQ53" s="261"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62"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9.98</v>
      </c>
      <c r="ES53" s="261"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61"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61"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61"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17.79</v>
      </c>
      <c r="EW53" s="261"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61"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15.5</v>
      </c>
      <c r="EY53" s="261"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61"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61"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61" t="n">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8.6</v>
      </c>
      <c r="FC53" s="261"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62"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13.9633</v>
      </c>
      <c r="FE53" s="261"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61"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61"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61"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17.99</v>
      </c>
      <c r="FI53" s="261"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61"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12.69</v>
      </c>
      <c r="FK53" s="261"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61"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61"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61" t="n">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5.98</v>
      </c>
      <c r="FO53" s="261"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62"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12.22</v>
      </c>
      <c r="FQ53" s="261"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61"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61"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61"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3.17</v>
      </c>
      <c r="FU53" s="261"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61"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16.23</v>
      </c>
      <c r="FW53" s="261"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61"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61"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61" t="n">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11.48</v>
      </c>
      <c r="GA53" s="261"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62"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10.2933</v>
      </c>
      <c r="GD53" s="74"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74"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74"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74"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3.22</v>
      </c>
      <c r="GH53" s="74"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74"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12.94</v>
      </c>
      <c r="GJ53" s="74"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74"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74"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74" t="n">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5.83</v>
      </c>
      <c r="GN53" s="74"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74"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7.33</v>
      </c>
      <c r="GP53" s="74"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74"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74"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74"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3.26</v>
      </c>
      <c r="GT53" s="74"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74"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14.85</v>
      </c>
      <c r="GV53" s="74"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74"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74"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74" t="n">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7.98</v>
      </c>
      <c r="GZ53" s="74"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74"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8.6967</v>
      </c>
      <c r="HB53" s="74"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74"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74"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74"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14.3</v>
      </c>
      <c r="HF53" s="74"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74"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13.46</v>
      </c>
      <c r="HH53" s="74"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74"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74"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74" t="n">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7.63</v>
      </c>
      <c r="HL53" s="74"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74"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11.7967</v>
      </c>
      <c r="HN53" s="74"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74"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74"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74"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14.4</v>
      </c>
      <c r="HR53" s="74"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74"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11.38</v>
      </c>
      <c r="HT53" s="74"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74"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74"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74" t="n">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5.55</v>
      </c>
      <c r="HX53" s="74"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74"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10.4433</v>
      </c>
      <c r="HZ53" s="74"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74"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74"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74"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3.15</v>
      </c>
      <c r="ID53" s="74"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74"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13.96</v>
      </c>
      <c r="IF53" s="74"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74"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74"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74" t="n">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9.7</v>
      </c>
      <c r="IJ53" s="74"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74"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8.9367</v>
      </c>
    </row>
    <row r="54" customFormat="false" ht="15" hidden="false" customHeight="true" outlineLevel="0" collapsed="false">
      <c r="A54" s="263" t="s">
        <v>411</v>
      </c>
      <c r="B54" s="263" t="s">
        <v>331</v>
      </c>
      <c r="C54" s="264" t="n">
        <v>1000</v>
      </c>
      <c r="D54" s="265"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65"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65"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65"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16.36</v>
      </c>
      <c r="H54" s="265"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65"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15.15</v>
      </c>
      <c r="J54" s="265"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65"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65"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65" t="n">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3.63</v>
      </c>
      <c r="N54" s="265"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58"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11.7133</v>
      </c>
      <c r="P54" s="265"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65"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65"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65"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3.27</v>
      </c>
      <c r="T54" s="265"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65"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15.88</v>
      </c>
      <c r="V54" s="265"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65"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65"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65" t="n">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4.78</v>
      </c>
      <c r="Z54" s="265"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58"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7.9767</v>
      </c>
      <c r="AB54" s="265"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65"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65"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65"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16.84</v>
      </c>
      <c r="AF54" s="265"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65"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16.6</v>
      </c>
      <c r="AH54" s="265"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65"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65"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65" t="n">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6.51</v>
      </c>
      <c r="AL54" s="265"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59"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13.3167</v>
      </c>
      <c r="AN54" s="266"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66"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66"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66"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17.04</v>
      </c>
      <c r="AR54" s="266"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66"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13.78</v>
      </c>
      <c r="AT54" s="266"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66"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66"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66" t="n">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4.54</v>
      </c>
      <c r="AX54" s="266"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59"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11.7867</v>
      </c>
      <c r="AZ54" s="266"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66"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66"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66"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3.42</v>
      </c>
      <c r="BD54" s="266"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66"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17.24</v>
      </c>
      <c r="BF54" s="266"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66"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66"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66" t="n">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3.79</v>
      </c>
      <c r="BJ54" s="266"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59"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8.15</v>
      </c>
      <c r="BM54" s="74"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74"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74"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74"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13.41</v>
      </c>
      <c r="BQ54" s="74"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74"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13.16</v>
      </c>
      <c r="BS54" s="74"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74"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74"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74" t="n">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3.53</v>
      </c>
      <c r="BW54" s="74"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74"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10.0333</v>
      </c>
      <c r="BY54" s="74"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74"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74"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74"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3.23</v>
      </c>
      <c r="CC54" s="74"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74"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13.67</v>
      </c>
      <c r="CE54" s="74"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74"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74"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74" t="n">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4.53</v>
      </c>
      <c r="CI54" s="74"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74"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7.1433</v>
      </c>
      <c r="CK54" s="74"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74"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74"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74"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13.69</v>
      </c>
      <c r="CO54" s="74"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74"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14.16</v>
      </c>
      <c r="CQ54" s="74"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74"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74"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74" t="n">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5.97</v>
      </c>
      <c r="CU54" s="74"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74"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11.2733</v>
      </c>
      <c r="CW54" s="74"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74"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74"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74"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13.81</v>
      </c>
      <c r="DA54" s="74"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74"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12.17</v>
      </c>
      <c r="DC54" s="74"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74"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74"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74" t="n">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4.32</v>
      </c>
      <c r="DG54" s="74"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74"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10.1</v>
      </c>
      <c r="DI54" s="74"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74"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74"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74"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3.36</v>
      </c>
      <c r="DM54" s="74"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74"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14.57</v>
      </c>
      <c r="DO54" s="74"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74"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74"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74" t="n">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3.67</v>
      </c>
      <c r="DS54" s="74"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74"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7.2</v>
      </c>
      <c r="DU54" s="267"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67"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67"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67"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3.14</v>
      </c>
      <c r="DY54" s="267"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67"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14.5</v>
      </c>
      <c r="EA54" s="267"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67"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67"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67" t="n">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6.16</v>
      </c>
      <c r="EE54" s="267"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62"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7.9333</v>
      </c>
      <c r="EG54" s="267"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67"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67"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67"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3.18</v>
      </c>
      <c r="EK54" s="267"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67"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17.32</v>
      </c>
      <c r="EM54" s="267"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67"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67"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67" t="n">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8.86</v>
      </c>
      <c r="EQ54" s="267"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62"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9.7867</v>
      </c>
      <c r="ES54" s="267"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67"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67"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67"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17.51</v>
      </c>
      <c r="EW54" s="267"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67"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15.23</v>
      </c>
      <c r="EY54" s="267"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67"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67"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67" t="n">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8.4</v>
      </c>
      <c r="FC54" s="267"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62"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13.7133</v>
      </c>
      <c r="FE54" s="267"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67"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67"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67"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17.71</v>
      </c>
      <c r="FI54" s="267"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67"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12.44</v>
      </c>
      <c r="FK54" s="267"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67"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67"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67" t="n">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5.83</v>
      </c>
      <c r="FO54" s="267"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62"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11.9933</v>
      </c>
      <c r="FQ54" s="267"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67"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67"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67"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3.06</v>
      </c>
      <c r="FU54" s="267"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67"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15.96</v>
      </c>
      <c r="FW54" s="267"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67"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67"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67" t="n">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11.24</v>
      </c>
      <c r="GA54" s="267"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62"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10.0867</v>
      </c>
      <c r="GD54" s="74"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74"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74"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74"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3.11</v>
      </c>
      <c r="GH54" s="74"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74"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12.7</v>
      </c>
      <c r="GJ54" s="74"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74"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74"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74" t="n">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5.68</v>
      </c>
      <c r="GN54" s="74"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74"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7.1633</v>
      </c>
      <c r="GP54" s="74"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74"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74"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74"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3.14</v>
      </c>
      <c r="GT54" s="74"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74"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14.62</v>
      </c>
      <c r="GV54" s="74"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74"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74"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74" t="n">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7.8</v>
      </c>
      <c r="GZ54" s="74"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74"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8.52</v>
      </c>
      <c r="HB54" s="74"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74"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74"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74"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14.07</v>
      </c>
      <c r="HF54" s="74"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74"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13.22</v>
      </c>
      <c r="HH54" s="74"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74"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74"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74" t="n">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7.46</v>
      </c>
      <c r="HL54" s="74"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74"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11.5833</v>
      </c>
      <c r="HN54" s="74"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74"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74"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74"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14.18</v>
      </c>
      <c r="HR54" s="74"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74"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11.15</v>
      </c>
      <c r="HT54" s="74"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74"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74"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74" t="n">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5.41</v>
      </c>
      <c r="HX54" s="74"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74"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10.2467</v>
      </c>
      <c r="HZ54" s="74"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74"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74"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74"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3.04</v>
      </c>
      <c r="ID54" s="74"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74"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13.72</v>
      </c>
      <c r="IF54" s="74"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74"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74"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74" t="n">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9.49</v>
      </c>
      <c r="IJ54" s="74"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74"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8.75</v>
      </c>
    </row>
    <row r="55" customFormat="false" ht="15" hidden="false" customHeight="true" outlineLevel="0" collapsed="false">
      <c r="A55" s="226" t="s">
        <v>412</v>
      </c>
      <c r="B55" s="226" t="s">
        <v>331</v>
      </c>
      <c r="C55" s="230" t="n">
        <v>1050</v>
      </c>
      <c r="D55" s="231"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31"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31"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31"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16.13</v>
      </c>
      <c r="H55" s="231"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31"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14.92</v>
      </c>
      <c r="J55" s="231"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31"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31"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31" t="n">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3.53</v>
      </c>
      <c r="N55" s="231"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58"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11.5267</v>
      </c>
      <c r="P55" s="231"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31"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31"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31"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3.17</v>
      </c>
      <c r="T55" s="231"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31"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15.65</v>
      </c>
      <c r="V55" s="231"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31"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31"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31" t="n">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4.67</v>
      </c>
      <c r="Z55" s="231"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58"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7.83</v>
      </c>
      <c r="AB55" s="231"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31"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31"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31"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16.61</v>
      </c>
      <c r="AF55" s="231"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31"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16.38</v>
      </c>
      <c r="AH55" s="231"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31"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31"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31" t="n">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6.37</v>
      </c>
      <c r="AL55" s="231"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59"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13.12</v>
      </c>
      <c r="AN55" s="260"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60"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60"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60"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16.82</v>
      </c>
      <c r="AR55" s="260"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60"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13.56</v>
      </c>
      <c r="AT55" s="260"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60"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60"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60" t="n">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4.43</v>
      </c>
      <c r="AX55" s="260"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59"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11.6033</v>
      </c>
      <c r="AZ55" s="260"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60"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60"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60"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3.32</v>
      </c>
      <c r="BD55" s="260"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60"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17.02</v>
      </c>
      <c r="BF55" s="260"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60"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60"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60" t="n">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3.69</v>
      </c>
      <c r="BJ55" s="260"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59"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8.01</v>
      </c>
      <c r="BM55" s="74"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74"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74"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74"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13.23</v>
      </c>
      <c r="BQ55" s="74"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74"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12.97</v>
      </c>
      <c r="BS55" s="74"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74"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74"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74" t="n">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3.43</v>
      </c>
      <c r="BW55" s="74"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74"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9.8767</v>
      </c>
      <c r="BY55" s="74"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74"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74"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74"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3.13</v>
      </c>
      <c r="CC55" s="74"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74"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13.47</v>
      </c>
      <c r="CE55" s="74"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74"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74"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74" t="n">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4.42</v>
      </c>
      <c r="CI55" s="74"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74"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7.0067</v>
      </c>
      <c r="CK55" s="74"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74"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74"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74"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13.51</v>
      </c>
      <c r="CO55" s="74"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74"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13.96</v>
      </c>
      <c r="CQ55" s="74"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74"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74"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74" t="n">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5.84</v>
      </c>
      <c r="CU55" s="74"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74"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11.1033</v>
      </c>
      <c r="CW55" s="74"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74"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74"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74"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13.63</v>
      </c>
      <c r="DA55" s="74"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74"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11.97</v>
      </c>
      <c r="DC55" s="74"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74"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74"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74" t="n">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4.21</v>
      </c>
      <c r="DG55" s="74"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74"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9.9367</v>
      </c>
      <c r="DI55" s="74"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74"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74"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74"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3.26</v>
      </c>
      <c r="DM55" s="74"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74"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14.38</v>
      </c>
      <c r="DO55" s="74"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74"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74"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74" t="n">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3.57</v>
      </c>
      <c r="DS55" s="74"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74"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7.07</v>
      </c>
      <c r="DU55" s="261"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61"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61"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61"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3.05</v>
      </c>
      <c r="DY55" s="261"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61"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14.28</v>
      </c>
      <c r="EA55" s="261"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61"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61"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61" t="n">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6.03</v>
      </c>
      <c r="EE55" s="261"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62"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7.7867</v>
      </c>
      <c r="EG55" s="261"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61"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61"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61"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3.08</v>
      </c>
      <c r="EK55" s="261"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61"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17.1</v>
      </c>
      <c r="EM55" s="261"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61"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61"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61" t="n">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8.69</v>
      </c>
      <c r="EQ55" s="261"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62"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9.6233</v>
      </c>
      <c r="ES55" s="261"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61"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61"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61"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17.3</v>
      </c>
      <c r="EW55" s="261"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61"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15</v>
      </c>
      <c r="EY55" s="261"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61"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61"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61" t="n">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8.24</v>
      </c>
      <c r="FC55" s="261"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62"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13.5133</v>
      </c>
      <c r="FE55" s="261"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61"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61"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61"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17.5</v>
      </c>
      <c r="FI55" s="261"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61"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12.22</v>
      </c>
      <c r="FK55" s="261"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61"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61"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61" t="n">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5.71</v>
      </c>
      <c r="FO55" s="261"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62"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11.81</v>
      </c>
      <c r="FQ55" s="261"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61"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61"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61"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2.97</v>
      </c>
      <c r="FU55" s="261"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61"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15.73</v>
      </c>
      <c r="FW55" s="261"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61"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61"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61" t="n">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11.04</v>
      </c>
      <c r="GA55" s="261"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62"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9.9133</v>
      </c>
      <c r="GD55" s="74"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74"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74"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74"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3.01</v>
      </c>
      <c r="GH55" s="74"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74"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12.5</v>
      </c>
      <c r="GJ55" s="74"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74"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74"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74" t="n">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5.56</v>
      </c>
      <c r="GN55" s="74"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74"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7.0233</v>
      </c>
      <c r="GP55" s="74"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74"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74"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74"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3.05</v>
      </c>
      <c r="GT55" s="74"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74"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14.43</v>
      </c>
      <c r="GV55" s="74"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74"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74"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74" t="n">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7.65</v>
      </c>
      <c r="GZ55" s="74"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74"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8.3767</v>
      </c>
      <c r="HB55" s="74"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74"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74"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74"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13.9</v>
      </c>
      <c r="HF55" s="74"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74"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13.02</v>
      </c>
      <c r="HH55" s="74"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74"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74"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74" t="n">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7.31</v>
      </c>
      <c r="HL55" s="74"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74"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11.41</v>
      </c>
      <c r="HN55" s="74"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74"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74"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74"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14.01</v>
      </c>
      <c r="HR55" s="74"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74"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10.96</v>
      </c>
      <c r="HT55" s="74"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74"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74"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74" t="n">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5.29</v>
      </c>
      <c r="HX55" s="74"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74"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10.0867</v>
      </c>
      <c r="HZ55" s="74"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74"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74"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74"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2.94</v>
      </c>
      <c r="ID55" s="74"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74"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13.53</v>
      </c>
      <c r="IF55" s="74"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74"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74"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74" t="n">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9.32</v>
      </c>
      <c r="IJ55" s="74"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74"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8.5967</v>
      </c>
    </row>
    <row r="56" customFormat="false" ht="15" hidden="false" customHeight="true" outlineLevel="0" collapsed="false">
      <c r="A56" s="263" t="s">
        <v>413</v>
      </c>
      <c r="B56" s="263" t="s">
        <v>331</v>
      </c>
      <c r="C56" s="264" t="n">
        <v>1100</v>
      </c>
      <c r="D56" s="265"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65"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65"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65"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15.95</v>
      </c>
      <c r="H56" s="265"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65"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14.74</v>
      </c>
      <c r="J56" s="265"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65"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65"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65" t="n">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3.44</v>
      </c>
      <c r="N56" s="265"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58"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11.3767</v>
      </c>
      <c r="P56" s="265"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65"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65"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65"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3.09</v>
      </c>
      <c r="T56" s="265"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65"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15.47</v>
      </c>
      <c r="V56" s="265"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65"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65"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65" t="n">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4.58</v>
      </c>
      <c r="Z56" s="265"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58"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7.7133</v>
      </c>
      <c r="AB56" s="265"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65"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65"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65"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16.44</v>
      </c>
      <c r="AF56" s="265"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65"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16.2</v>
      </c>
      <c r="AH56" s="265"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65"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65"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65" t="n">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6.26</v>
      </c>
      <c r="AL56" s="265"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59"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12.9667</v>
      </c>
      <c r="AN56" s="266"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66"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66"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66"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16.65</v>
      </c>
      <c r="AR56" s="266"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66"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13.38</v>
      </c>
      <c r="AT56" s="266"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66"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66"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66" t="n">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4.34</v>
      </c>
      <c r="AX56" s="266"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59"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11.4567</v>
      </c>
      <c r="AZ56" s="266"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66"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66"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66"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3.24</v>
      </c>
      <c r="BD56" s="266"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66"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16.85</v>
      </c>
      <c r="BF56" s="266"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66"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66"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66" t="n">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3.61</v>
      </c>
      <c r="BJ56" s="266"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59"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7.9</v>
      </c>
      <c r="BM56" s="74"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74"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74"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74"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13.08</v>
      </c>
      <c r="BQ56" s="74"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74"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12.81</v>
      </c>
      <c r="BS56" s="74"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74"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74"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74" t="n">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3.34</v>
      </c>
      <c r="BW56" s="74"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74"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9.7433</v>
      </c>
      <c r="BY56" s="74"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74"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74"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74"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3.04</v>
      </c>
      <c r="CC56" s="74"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74"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13.32</v>
      </c>
      <c r="CE56" s="74"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74"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74"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74" t="n">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4.33</v>
      </c>
      <c r="CI56" s="74"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74"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6.8967</v>
      </c>
      <c r="CK56" s="74"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74"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74"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74"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13.37</v>
      </c>
      <c r="CO56" s="74"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74"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13.81</v>
      </c>
      <c r="CQ56" s="74"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74"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74"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74" t="n">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5.73</v>
      </c>
      <c r="CU56" s="74"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74"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10.97</v>
      </c>
      <c r="CW56" s="74"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74"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74"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74"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13.49</v>
      </c>
      <c r="DA56" s="74"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74"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11.81</v>
      </c>
      <c r="DC56" s="74"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74"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74"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74" t="n">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4.12</v>
      </c>
      <c r="DG56" s="74"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74"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9.8067</v>
      </c>
      <c r="DI56" s="74"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74"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74"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74"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3.18</v>
      </c>
      <c r="DM56" s="74"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74"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14.23</v>
      </c>
      <c r="DO56" s="74"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74"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74"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74" t="n">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3.48</v>
      </c>
      <c r="DS56" s="74"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74"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6.9633</v>
      </c>
      <c r="DU56" s="267"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67"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67"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67"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2.96</v>
      </c>
      <c r="DY56" s="267"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67"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14.1</v>
      </c>
      <c r="EA56" s="267"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67"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67"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67" t="n">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5.92</v>
      </c>
      <c r="EE56" s="267"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62"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7.66</v>
      </c>
      <c r="EG56" s="267"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67"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67"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67"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3</v>
      </c>
      <c r="EK56" s="267"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67"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16.93</v>
      </c>
      <c r="EM56" s="267"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67"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67"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67" t="n">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8.55</v>
      </c>
      <c r="EQ56" s="267"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62"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9.4933</v>
      </c>
      <c r="ES56" s="267"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67"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67"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67"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17.13</v>
      </c>
      <c r="EW56" s="267"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67"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14.82</v>
      </c>
      <c r="EY56" s="267"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67"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67"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67" t="n">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8.1</v>
      </c>
      <c r="FC56" s="267"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62"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13.35</v>
      </c>
      <c r="FE56" s="267"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67"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67"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67"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17.33</v>
      </c>
      <c r="FI56" s="267"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67"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12.05</v>
      </c>
      <c r="FK56" s="267"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67"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67"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67" t="n">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5.6</v>
      </c>
      <c r="FO56" s="267"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62"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11.66</v>
      </c>
      <c r="FQ56" s="267"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67"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67"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67"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2.88</v>
      </c>
      <c r="FU56" s="267"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67"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15.55</v>
      </c>
      <c r="FW56" s="267"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67"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67"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67" t="n">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10.88</v>
      </c>
      <c r="GA56" s="267"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62"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9.77</v>
      </c>
      <c r="GD56" s="74"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74"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74"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74"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2.93</v>
      </c>
      <c r="GH56" s="74"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74"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12.34</v>
      </c>
      <c r="GJ56" s="74"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74"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74"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74" t="n">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5.45</v>
      </c>
      <c r="GN56" s="74"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74"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6.9067</v>
      </c>
      <c r="GP56" s="74"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74"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74"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74"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2.96</v>
      </c>
      <c r="GT56" s="74"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74"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14.29</v>
      </c>
      <c r="GV56" s="74"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74"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74"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74" t="n">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7.52</v>
      </c>
      <c r="GZ56" s="74"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74"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8.2567</v>
      </c>
      <c r="HB56" s="74"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74"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74"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74"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13.76</v>
      </c>
      <c r="HF56" s="74"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74"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12.86</v>
      </c>
      <c r="HH56" s="74"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74"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74"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74" t="n">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7.18</v>
      </c>
      <c r="HL56" s="74"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74"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11.2667</v>
      </c>
      <c r="HN56" s="74"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74"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74"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74"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13.87</v>
      </c>
      <c r="HR56" s="74"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74"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10.8</v>
      </c>
      <c r="HT56" s="74"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74"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74"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74" t="n">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5.19</v>
      </c>
      <c r="HX56" s="74"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74"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9.9533</v>
      </c>
      <c r="HZ56" s="74"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74"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74"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74"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2.85</v>
      </c>
      <c r="ID56" s="74"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74"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13.37</v>
      </c>
      <c r="IF56" s="74"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74"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74"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74" t="n">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9.18</v>
      </c>
      <c r="IJ56" s="74"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74"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8.4667</v>
      </c>
    </row>
    <row r="57" customFormat="false" ht="15" hidden="false" customHeight="true" outlineLevel="0" collapsed="false">
      <c r="A57" s="226" t="s">
        <v>414</v>
      </c>
      <c r="B57" s="226" t="s">
        <v>331</v>
      </c>
      <c r="C57" s="230" t="n">
        <v>1150</v>
      </c>
      <c r="D57" s="231"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31"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31"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31"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15.82</v>
      </c>
      <c r="H57" s="231"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31"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14.6</v>
      </c>
      <c r="J57" s="231"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31"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31"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31" t="n">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3.37</v>
      </c>
      <c r="N57" s="231"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58"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11.2633</v>
      </c>
      <c r="P57" s="231"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31"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31"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31"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3.02</v>
      </c>
      <c r="T57" s="231"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31"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15.33</v>
      </c>
      <c r="V57" s="231"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31"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31"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31" t="n">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4.5</v>
      </c>
      <c r="Z57" s="231"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58"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7.6167</v>
      </c>
      <c r="AB57" s="231"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31"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31"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31"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16.31</v>
      </c>
      <c r="AF57" s="231"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31"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16.07</v>
      </c>
      <c r="AH57" s="231"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31"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31"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31" t="n">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6.16</v>
      </c>
      <c r="AL57" s="231"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59"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12.8467</v>
      </c>
      <c r="AN57" s="260"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60"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60"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60"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16.52</v>
      </c>
      <c r="AR57" s="260"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60"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13.23</v>
      </c>
      <c r="AT57" s="260"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60"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60"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60" t="n">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4.26</v>
      </c>
      <c r="AX57" s="260"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59"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11.3367</v>
      </c>
      <c r="AZ57" s="260"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60"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60"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60"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3.16</v>
      </c>
      <c r="BD57" s="260"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60"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16.72</v>
      </c>
      <c r="BF57" s="260"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60"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60"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60" t="n">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3.53</v>
      </c>
      <c r="BJ57" s="260"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59"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7.8033</v>
      </c>
      <c r="BM57" s="74"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74"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74"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74"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12.96</v>
      </c>
      <c r="BQ57" s="74"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74"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12.68</v>
      </c>
      <c r="BS57" s="74"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74"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74"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74" t="n">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3.27</v>
      </c>
      <c r="BW57" s="74"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74"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9.6367</v>
      </c>
      <c r="BY57" s="74"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74"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74"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74"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2.97</v>
      </c>
      <c r="CC57" s="74"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74"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13.2</v>
      </c>
      <c r="CE57" s="74"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74"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74"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74" t="n">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4.25</v>
      </c>
      <c r="CI57" s="74"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74"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6.8067</v>
      </c>
      <c r="CK57" s="74"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74"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74"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74"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13.26</v>
      </c>
      <c r="CO57" s="74"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74"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13.69</v>
      </c>
      <c r="CQ57" s="74"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74"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74"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74" t="n">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5.64</v>
      </c>
      <c r="CU57" s="74"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74"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10.8633</v>
      </c>
      <c r="CW57" s="74"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74"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74"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74"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13.38</v>
      </c>
      <c r="DA57" s="74"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74"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11.68</v>
      </c>
      <c r="DC57" s="74"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74"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74"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74" t="n">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4.05</v>
      </c>
      <c r="DG57" s="74"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74"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9.7033</v>
      </c>
      <c r="DI57" s="74"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74"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74"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74"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3.11</v>
      </c>
      <c r="DM57" s="74"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74"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14.12</v>
      </c>
      <c r="DO57" s="74"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74"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74"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74" t="n">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3.41</v>
      </c>
      <c r="DS57" s="74"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74"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6.88</v>
      </c>
      <c r="DU57" s="261"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61"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61"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61"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2.89</v>
      </c>
      <c r="DY57" s="261"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61"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13.95</v>
      </c>
      <c r="EA57" s="261"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61"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61"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61" t="n">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5.83</v>
      </c>
      <c r="EE57" s="261"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62"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7.5567</v>
      </c>
      <c r="EG57" s="261"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61"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61"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61"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2.93</v>
      </c>
      <c r="EK57" s="261"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61"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16.8</v>
      </c>
      <c r="EM57" s="261"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61"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61"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61" t="n">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8.43</v>
      </c>
      <c r="EQ57" s="261"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62"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9.3867</v>
      </c>
      <c r="ES57" s="261"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61"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61"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61"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17</v>
      </c>
      <c r="EW57" s="261"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61"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14.68</v>
      </c>
      <c r="EY57" s="261"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61"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61"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61" t="n">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7.99</v>
      </c>
      <c r="FC57" s="261"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62"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13.2233</v>
      </c>
      <c r="FE57" s="261"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61"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61"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61"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17.21</v>
      </c>
      <c r="FI57" s="261"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61"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11.91</v>
      </c>
      <c r="FK57" s="261"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61"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61"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61" t="n">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5.51</v>
      </c>
      <c r="FO57" s="261"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62"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11.5433</v>
      </c>
      <c r="FQ57" s="261"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61"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61"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61"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2.81</v>
      </c>
      <c r="FU57" s="261"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61"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15.41</v>
      </c>
      <c r="FW57" s="261"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61"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61"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61" t="n">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10.74</v>
      </c>
      <c r="GA57" s="261"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62"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9.6533</v>
      </c>
      <c r="GD57" s="74"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74"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74"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74"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2.85</v>
      </c>
      <c r="GH57" s="74"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74"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12.21</v>
      </c>
      <c r="GJ57" s="74"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74"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74"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74" t="n">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5.37</v>
      </c>
      <c r="GN57" s="74"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74"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6.81</v>
      </c>
      <c r="GP57" s="74"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74"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74"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74"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2.89</v>
      </c>
      <c r="GT57" s="74"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74"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14.18</v>
      </c>
      <c r="GV57" s="74"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74"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74"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74" t="n">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7.41</v>
      </c>
      <c r="GZ57" s="74"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74"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8.16</v>
      </c>
      <c r="HB57" s="74"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74"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74"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74"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13.66</v>
      </c>
      <c r="HF57" s="74"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74"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12.74</v>
      </c>
      <c r="HH57" s="74"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74"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74"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74" t="n">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7.08</v>
      </c>
      <c r="HL57" s="74"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74"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11.16</v>
      </c>
      <c r="HN57" s="74"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74"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74"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74"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13.77</v>
      </c>
      <c r="HR57" s="74"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74"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10.68</v>
      </c>
      <c r="HT57" s="74"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74"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74"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74" t="n">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5.1</v>
      </c>
      <c r="HX57" s="74"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74"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9.85</v>
      </c>
      <c r="HZ57" s="74"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74"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74"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74"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2.78</v>
      </c>
      <c r="ID57" s="74"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74"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13.25</v>
      </c>
      <c r="IF57" s="74"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74"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74"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74" t="n">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9.06</v>
      </c>
      <c r="IJ57" s="74"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74"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8.3633</v>
      </c>
    </row>
    <row r="58" customFormat="false" ht="15" hidden="false" customHeight="true" outlineLevel="0" collapsed="false">
      <c r="A58" s="263" t="s">
        <v>415</v>
      </c>
      <c r="B58" s="263" t="s">
        <v>331</v>
      </c>
      <c r="C58" s="264" t="n">
        <v>1200</v>
      </c>
      <c r="D58" s="265"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65"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65"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65"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15.72</v>
      </c>
      <c r="H58" s="265"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65"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14.49</v>
      </c>
      <c r="J58" s="265"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65"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65"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65" t="n">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3.31</v>
      </c>
      <c r="N58" s="265"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58"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11.1733</v>
      </c>
      <c r="P58" s="265"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65"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65"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65"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2.95</v>
      </c>
      <c r="T58" s="265"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65"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15.23</v>
      </c>
      <c r="V58" s="265"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65"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65"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65" t="n">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4.43</v>
      </c>
      <c r="Z58" s="265"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58"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7.5367</v>
      </c>
      <c r="AB58" s="265"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65"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65"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65"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16.21</v>
      </c>
      <c r="AF58" s="265"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65"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15.97</v>
      </c>
      <c r="AH58" s="265"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65"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65"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65" t="n">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6.08</v>
      </c>
      <c r="AL58" s="265"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59"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12.7533</v>
      </c>
      <c r="AN58" s="266"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66"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66"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66"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16.42</v>
      </c>
      <c r="AR58" s="266"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66"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13.12</v>
      </c>
      <c r="AT58" s="266"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66"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66"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66" t="n">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4.2</v>
      </c>
      <c r="AX58" s="266"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59"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11.2467</v>
      </c>
      <c r="AZ58" s="266"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66"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66"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66"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3.1</v>
      </c>
      <c r="BD58" s="266"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66"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16.63</v>
      </c>
      <c r="BF58" s="266"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66"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66"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66" t="n">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3.47</v>
      </c>
      <c r="BJ58" s="266"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59"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7.7333</v>
      </c>
      <c r="BM58" s="74"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74"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74"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74"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12.88</v>
      </c>
      <c r="BQ58" s="74"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74"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12.58</v>
      </c>
      <c r="BS58" s="74"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74"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74"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74" t="n">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3.2</v>
      </c>
      <c r="BW58" s="74"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74"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9.5533</v>
      </c>
      <c r="BY58" s="74"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74"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74"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74"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2.91</v>
      </c>
      <c r="CC58" s="74"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74"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13.1</v>
      </c>
      <c r="CE58" s="74"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74"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74"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74" t="n">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4.18</v>
      </c>
      <c r="CI58" s="74"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74"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6.73</v>
      </c>
      <c r="CK58" s="74"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74"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74"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74"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13.17</v>
      </c>
      <c r="CO58" s="74"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74"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13.61</v>
      </c>
      <c r="CQ58" s="74"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74"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74"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74" t="n">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5.56</v>
      </c>
      <c r="CU58" s="74"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74"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10.78</v>
      </c>
      <c r="CW58" s="74"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74"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74"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74"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13.3</v>
      </c>
      <c r="DA58" s="74"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74"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11.58</v>
      </c>
      <c r="DC58" s="74"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74"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74"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74" t="n">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3.98</v>
      </c>
      <c r="DG58" s="74"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74"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9.62</v>
      </c>
      <c r="DI58" s="74"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74"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74"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74"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3.04</v>
      </c>
      <c r="DM58" s="74"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74"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14.04</v>
      </c>
      <c r="DO58" s="74"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74"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74"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74" t="n">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3.35</v>
      </c>
      <c r="DS58" s="74"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74"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6.81</v>
      </c>
      <c r="DU58" s="267"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67"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67"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67"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2.82</v>
      </c>
      <c r="DY58" s="267"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67"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13.84</v>
      </c>
      <c r="EA58" s="267"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67"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67"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67" t="n">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5.75</v>
      </c>
      <c r="EE58" s="267"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62"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7.47</v>
      </c>
      <c r="EG58" s="267"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67"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67"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67"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2.86</v>
      </c>
      <c r="EK58" s="267"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67"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16.71</v>
      </c>
      <c r="EM58" s="267"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67"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67"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67" t="n">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8.33</v>
      </c>
      <c r="EQ58" s="267"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62"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9.3</v>
      </c>
      <c r="ES58" s="267"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67"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67"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67"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16.92</v>
      </c>
      <c r="EW58" s="267"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67"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14.57</v>
      </c>
      <c r="EY58" s="267"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67"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67"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67" t="n">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7.89</v>
      </c>
      <c r="FC58" s="267"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62"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13.1267</v>
      </c>
      <c r="FE58" s="267"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67"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67"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67"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17.13</v>
      </c>
      <c r="FI58" s="267"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67"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11.8</v>
      </c>
      <c r="FK58" s="267"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67"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67"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67" t="n">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5.44</v>
      </c>
      <c r="FO58" s="267"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62"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11.4567</v>
      </c>
      <c r="FQ58" s="267"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67"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67"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67"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2.74</v>
      </c>
      <c r="FU58" s="267"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67"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15.31</v>
      </c>
      <c r="FW58" s="267"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67"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67"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67" t="n">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10.63</v>
      </c>
      <c r="GA58" s="267"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62"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9.56</v>
      </c>
      <c r="GD58" s="74"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74"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74"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74"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2.79</v>
      </c>
      <c r="GH58" s="74"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74"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12.11</v>
      </c>
      <c r="GJ58" s="74"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74"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74"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74" t="n">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5.29</v>
      </c>
      <c r="GN58" s="74"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74"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6.73</v>
      </c>
      <c r="GP58" s="74"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74"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74"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74"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2.82</v>
      </c>
      <c r="GT58" s="74"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74"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14.1</v>
      </c>
      <c r="GV58" s="74"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74"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74"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74" t="n">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7.32</v>
      </c>
      <c r="GZ58" s="74"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74"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8.08</v>
      </c>
      <c r="HB58" s="74"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74"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74"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74"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13.58</v>
      </c>
      <c r="HF58" s="74"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74"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12.64</v>
      </c>
      <c r="HH58" s="74"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74"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74"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74" t="n">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6.99</v>
      </c>
      <c r="HL58" s="74"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74"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11.07</v>
      </c>
      <c r="HN58" s="74"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74"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74"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74"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13.7</v>
      </c>
      <c r="HR58" s="74"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74"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10.57</v>
      </c>
      <c r="HT58" s="74"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74"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74"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74" t="n">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5.03</v>
      </c>
      <c r="HX58" s="74"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74"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9.7667</v>
      </c>
      <c r="HZ58" s="74"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74"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74"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74"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2.71</v>
      </c>
      <c r="ID58" s="74"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74"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13.16</v>
      </c>
      <c r="IF58" s="74"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74"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74"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74" t="n">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8.96</v>
      </c>
      <c r="IJ58" s="74"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74"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8.2767</v>
      </c>
    </row>
    <row r="59" customFormat="false" ht="15" hidden="false" customHeight="true" outlineLevel="0" collapsed="false">
      <c r="A59" s="249" t="s">
        <v>416</v>
      </c>
      <c r="B59" s="250" t="s">
        <v>394</v>
      </c>
      <c r="C59" s="251" t="n">
        <v>1250</v>
      </c>
      <c r="D59" s="252"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52"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52"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52"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15.65</v>
      </c>
      <c r="H59" s="252"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52"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14.41</v>
      </c>
      <c r="J59" s="252"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52"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52"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52" t="n">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3.26</v>
      </c>
      <c r="N59" s="252"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53"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11.1067</v>
      </c>
      <c r="P59" s="252"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52"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52"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52"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2.9</v>
      </c>
      <c r="T59" s="252"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52"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15.15</v>
      </c>
      <c r="V59" s="252"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52"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52"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52" t="n">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4.37</v>
      </c>
      <c r="Z59" s="252"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53"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7.4733</v>
      </c>
      <c r="AB59" s="252"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52"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52"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52"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16.15</v>
      </c>
      <c r="AF59" s="252"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52"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15.9</v>
      </c>
      <c r="AH59" s="252"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52"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52"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52" t="n">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6.02</v>
      </c>
      <c r="AL59" s="252"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54"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12.69</v>
      </c>
      <c r="AN59" s="255"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55"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55"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55"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16.36</v>
      </c>
      <c r="AR59" s="255"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55"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13.03</v>
      </c>
      <c r="AT59" s="255"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55"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55"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55" t="n">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4.14</v>
      </c>
      <c r="AX59" s="255"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54"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11.1767</v>
      </c>
      <c r="AZ59" s="255"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55"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55"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55"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3.05</v>
      </c>
      <c r="BD59" s="255"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55"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16.57</v>
      </c>
      <c r="BF59" s="255"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55"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55"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55" t="n">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3.42</v>
      </c>
      <c r="BJ59" s="255"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54"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7.68</v>
      </c>
      <c r="BM59" s="74"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74"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74"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74"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12.82</v>
      </c>
      <c r="BQ59" s="74"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74"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12.51</v>
      </c>
      <c r="BS59" s="74"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74"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74"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74" t="n">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3.15</v>
      </c>
      <c r="BW59" s="74"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74"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9.4933</v>
      </c>
      <c r="BY59" s="74"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74"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74"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74"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2.85</v>
      </c>
      <c r="CC59" s="74"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74"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13.04</v>
      </c>
      <c r="CE59" s="74"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74"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74"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74" t="n">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4.12</v>
      </c>
      <c r="CI59" s="74"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74"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6.67</v>
      </c>
      <c r="CK59" s="74"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74"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74"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74"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13.12</v>
      </c>
      <c r="CO59" s="74"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74"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13.55</v>
      </c>
      <c r="CQ59" s="74"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74"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74"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74" t="n">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5.5</v>
      </c>
      <c r="CU59" s="74"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74"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10.7233</v>
      </c>
      <c r="CW59" s="74"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74"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74"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74"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13.25</v>
      </c>
      <c r="DA59" s="74"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74"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11.5</v>
      </c>
      <c r="DC59" s="74"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74"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74"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74" t="n">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3.92</v>
      </c>
      <c r="DG59" s="74"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74"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9.5567</v>
      </c>
      <c r="DI59" s="74"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74"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74"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74"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2.99</v>
      </c>
      <c r="DM59" s="74"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74"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13.99</v>
      </c>
      <c r="DO59" s="74"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74"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74"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74" t="n">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3.29</v>
      </c>
      <c r="DS59" s="74"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74"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6.7567</v>
      </c>
      <c r="DU59" s="256"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56"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56"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56"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2.77</v>
      </c>
      <c r="DY59" s="256"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56"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13.76</v>
      </c>
      <c r="EA59" s="256"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56"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56"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56" t="n">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5.69</v>
      </c>
      <c r="EE59" s="256"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57"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7.4067</v>
      </c>
      <c r="EG59" s="256"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56"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56"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56"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2.81</v>
      </c>
      <c r="EK59" s="256"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56"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16.65</v>
      </c>
      <c r="EM59" s="256"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56"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56"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56" t="n">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8.25</v>
      </c>
      <c r="EQ59" s="256"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57"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9.2367</v>
      </c>
      <c r="ES59" s="256"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56"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56"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56"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16.86</v>
      </c>
      <c r="EW59" s="256"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56"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14.49</v>
      </c>
      <c r="EY59" s="256"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56"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56"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56" t="n">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7.82</v>
      </c>
      <c r="FC59" s="256"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57"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13.0567</v>
      </c>
      <c r="FE59" s="256"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56"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56"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56"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17.07</v>
      </c>
      <c r="FI59" s="256"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56"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11.71</v>
      </c>
      <c r="FK59" s="256"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56"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56"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56" t="n">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5.37</v>
      </c>
      <c r="FO59" s="256"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57"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11.3833</v>
      </c>
      <c r="FQ59" s="256"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56"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56"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56"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2.69</v>
      </c>
      <c r="FU59" s="256"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56"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15.24</v>
      </c>
      <c r="FW59" s="256"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56"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56"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56" t="n">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10.54</v>
      </c>
      <c r="GA59" s="256"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57"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9.49</v>
      </c>
      <c r="GD59" s="74"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74"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74"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74"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2.73</v>
      </c>
      <c r="GH59" s="74"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74"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12.04</v>
      </c>
      <c r="GJ59" s="74"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74"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74"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74" t="n">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5.23</v>
      </c>
      <c r="GN59" s="74"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74"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6.6667</v>
      </c>
      <c r="GP59" s="74"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74"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74"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74"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2.76</v>
      </c>
      <c r="GT59" s="74"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74"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14.05</v>
      </c>
      <c r="GV59" s="74"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74"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74"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74" t="n">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7.25</v>
      </c>
      <c r="GZ59" s="74"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74"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8.02</v>
      </c>
      <c r="HB59" s="74"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74"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74"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74"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13.54</v>
      </c>
      <c r="HF59" s="74"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74"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12.57</v>
      </c>
      <c r="HH59" s="74"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74"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74"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74" t="n">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6.92</v>
      </c>
      <c r="HL59" s="74"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74"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11.01</v>
      </c>
      <c r="HN59" s="74"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74"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74"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74"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13.66</v>
      </c>
      <c r="HR59" s="74"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74"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10.49</v>
      </c>
      <c r="HT59" s="74"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74"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74"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74" t="n">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4.97</v>
      </c>
      <c r="HX59" s="74"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74"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9.7067</v>
      </c>
      <c r="HZ59" s="74"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74"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74"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74"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2.65</v>
      </c>
      <c r="ID59" s="74"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74"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13.09</v>
      </c>
      <c r="IF59" s="74"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74"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74"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74" t="n">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8.89</v>
      </c>
      <c r="IJ59" s="74"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74"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8.21</v>
      </c>
    </row>
    <row r="60" customFormat="false" ht="15" hidden="false" customHeight="true" outlineLevel="0" collapsed="false">
      <c r="A60" s="263" t="s">
        <v>417</v>
      </c>
      <c r="B60" s="263" t="s">
        <v>331</v>
      </c>
      <c r="C60" s="264" t="n">
        <v>1300</v>
      </c>
      <c r="D60" s="265"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65"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65"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65"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15.6</v>
      </c>
      <c r="H60" s="265"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65"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14.36</v>
      </c>
      <c r="J60" s="265"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65"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65"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65" t="n">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3.21</v>
      </c>
      <c r="N60" s="265"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58"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11.0567</v>
      </c>
      <c r="P60" s="265"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65"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65"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65"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2.85</v>
      </c>
      <c r="T60" s="265"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65"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15.11</v>
      </c>
      <c r="V60" s="265"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65"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65"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65" t="n">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4.33</v>
      </c>
      <c r="Z60" s="265"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58"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7.43</v>
      </c>
      <c r="AB60" s="265"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65"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65"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65"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16.11</v>
      </c>
      <c r="AF60" s="265"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65"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15.86</v>
      </c>
      <c r="AH60" s="265"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65"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65"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65" t="n">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5.96</v>
      </c>
      <c r="AL60" s="265"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59"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12.6433</v>
      </c>
      <c r="AN60" s="266"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66"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66"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66"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16.33</v>
      </c>
      <c r="AR60" s="266"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66"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12.97</v>
      </c>
      <c r="AT60" s="266"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66"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66"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66" t="n">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4.1</v>
      </c>
      <c r="AX60" s="266"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59"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11.1333</v>
      </c>
      <c r="AZ60" s="266"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66"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66"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66"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3</v>
      </c>
      <c r="BD60" s="266"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66"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16.54</v>
      </c>
      <c r="BF60" s="266"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66"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66"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66" t="n">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3.37</v>
      </c>
      <c r="BJ60" s="266"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59"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7.6367</v>
      </c>
      <c r="BM60" s="74"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74"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74"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74"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12.78</v>
      </c>
      <c r="BQ60" s="74"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74"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12.46</v>
      </c>
      <c r="BS60" s="74"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74"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74"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74" t="n">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3.1</v>
      </c>
      <c r="BW60" s="74"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74"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9.4467</v>
      </c>
      <c r="BY60" s="74"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74"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74"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74"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2.8</v>
      </c>
      <c r="CC60" s="74"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74"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12.99</v>
      </c>
      <c r="CE60" s="74"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74"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74"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74" t="n">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4.08</v>
      </c>
      <c r="CI60" s="74"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74"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6.6233</v>
      </c>
      <c r="CK60" s="74"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74"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74"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74"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13.09</v>
      </c>
      <c r="CO60" s="74"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74"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13.51</v>
      </c>
      <c r="CQ60" s="74"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74"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74"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74" t="n">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5.45</v>
      </c>
      <c r="CU60" s="74"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74"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10.6833</v>
      </c>
      <c r="CW60" s="74"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74"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74"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74"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13.22</v>
      </c>
      <c r="DA60" s="74"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74"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11.45</v>
      </c>
      <c r="DC60" s="74"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74"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74"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74" t="n">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3.88</v>
      </c>
      <c r="DG60" s="74"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74"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9.5167</v>
      </c>
      <c r="DI60" s="74"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74"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74"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74"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2.94</v>
      </c>
      <c r="DM60" s="74"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74"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13.96</v>
      </c>
      <c r="DO60" s="74"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74"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74"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74" t="n">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3.25</v>
      </c>
      <c r="DS60" s="74"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74"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6.7167</v>
      </c>
      <c r="DU60" s="267"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67"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67"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67"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2.72</v>
      </c>
      <c r="DY60" s="267"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67"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13.7</v>
      </c>
      <c r="EA60" s="267"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67"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67"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67" t="n">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5.63</v>
      </c>
      <c r="EE60" s="267"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62"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7.35</v>
      </c>
      <c r="EG60" s="267"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67"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67"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67"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2.76</v>
      </c>
      <c r="EK60" s="267"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67"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16.62</v>
      </c>
      <c r="EM60" s="267"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67"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67"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67" t="n">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8.19</v>
      </c>
      <c r="EQ60" s="267"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62"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9.19</v>
      </c>
      <c r="ES60" s="267"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67"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67"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67"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16.83</v>
      </c>
      <c r="EW60" s="267"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67"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14.44</v>
      </c>
      <c r="EY60" s="267"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67"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67"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67" t="n">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7.75</v>
      </c>
      <c r="FC60" s="267"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62"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13.0067</v>
      </c>
      <c r="FE60" s="267"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67"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67"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67"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17.05</v>
      </c>
      <c r="FI60" s="267"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67"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11.64</v>
      </c>
      <c r="FK60" s="267"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67"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67"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67" t="n">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5.32</v>
      </c>
      <c r="FO60" s="267"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62"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11.3367</v>
      </c>
      <c r="FQ60" s="267"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67"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67"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67"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2.64</v>
      </c>
      <c r="FU60" s="267"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67"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15.19</v>
      </c>
      <c r="FW60" s="267"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67"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67"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67" t="n">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10.48</v>
      </c>
      <c r="GA60" s="267"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62"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9.4367</v>
      </c>
      <c r="GD60" s="74"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74"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74"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74"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2.68</v>
      </c>
      <c r="GH60" s="74"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74"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11.99</v>
      </c>
      <c r="GJ60" s="74"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74"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74"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74" t="n">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5.18</v>
      </c>
      <c r="GN60" s="74"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74"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6.6167</v>
      </c>
      <c r="GP60" s="74"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74"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74"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74"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2.72</v>
      </c>
      <c r="GT60" s="74"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74"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14.02</v>
      </c>
      <c r="GV60" s="74"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74"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74"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74" t="n">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7.19</v>
      </c>
      <c r="GZ60" s="74"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74"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7.9767</v>
      </c>
      <c r="HB60" s="74"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74"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74"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74"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13.51</v>
      </c>
      <c r="HF60" s="74"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74"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12.52</v>
      </c>
      <c r="HH60" s="74"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74"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74"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74" t="n">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6.86</v>
      </c>
      <c r="HL60" s="74"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74"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10.9633</v>
      </c>
      <c r="HN60" s="74"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74"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74"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74"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13.64</v>
      </c>
      <c r="HR60" s="74"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74"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10.43</v>
      </c>
      <c r="HT60" s="74"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74"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74"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74" t="n">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4.92</v>
      </c>
      <c r="HX60" s="74"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74"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9.6633</v>
      </c>
      <c r="HZ60" s="74"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74"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74"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74"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2.6</v>
      </c>
      <c r="ID60" s="74"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74"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13.05</v>
      </c>
      <c r="IF60" s="74"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74"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74"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74" t="n">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8.83</v>
      </c>
      <c r="IJ60" s="74"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74"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8.16</v>
      </c>
    </row>
    <row r="61" customFormat="false" ht="15" hidden="false" customHeight="true" outlineLevel="0" collapsed="false">
      <c r="A61" s="226" t="s">
        <v>418</v>
      </c>
      <c r="B61" s="226" t="s">
        <v>331</v>
      </c>
      <c r="C61" s="230" t="n">
        <v>1350</v>
      </c>
      <c r="D61" s="231"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31"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31"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31"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15.59</v>
      </c>
      <c r="H61" s="231"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31"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14.33</v>
      </c>
      <c r="J61" s="231"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31"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31"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31" t="n">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3.17</v>
      </c>
      <c r="N61" s="231"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58"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11.03</v>
      </c>
      <c r="P61" s="231"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31"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31"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31"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2.81</v>
      </c>
      <c r="T61" s="231"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31"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15.08</v>
      </c>
      <c r="V61" s="231"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31"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31"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31" t="n">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4.29</v>
      </c>
      <c r="Z61" s="231"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58"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7.3933</v>
      </c>
      <c r="AB61" s="231"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31"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31"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31"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16.1</v>
      </c>
      <c r="AF61" s="231"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31"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15.85</v>
      </c>
      <c r="AH61" s="231"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31"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31"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31" t="n">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5.92</v>
      </c>
      <c r="AL61" s="231"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59"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12.6233</v>
      </c>
      <c r="AN61" s="260"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60"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60"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60"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16.32</v>
      </c>
      <c r="AR61" s="260"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60"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12.93</v>
      </c>
      <c r="AT61" s="260"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60"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60"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60" t="n">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4.06</v>
      </c>
      <c r="AX61" s="260"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59"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11.1033</v>
      </c>
      <c r="AZ61" s="260"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60"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60"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60"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2.96</v>
      </c>
      <c r="BD61" s="260"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60"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16.53</v>
      </c>
      <c r="BF61" s="260"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60"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60"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60" t="n">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3.34</v>
      </c>
      <c r="BJ61" s="260"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59"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7.61</v>
      </c>
      <c r="BM61" s="74"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74"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74"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74"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12.76</v>
      </c>
      <c r="BQ61" s="74"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74"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12.44</v>
      </c>
      <c r="BS61" s="74"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74"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74"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74" t="n">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3.06</v>
      </c>
      <c r="BW61" s="74"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74"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9.42</v>
      </c>
      <c r="BY61" s="74"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74"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74"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74"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2.76</v>
      </c>
      <c r="CC61" s="74"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74"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12.97</v>
      </c>
      <c r="CE61" s="74"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74"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74"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74" t="n">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4.04</v>
      </c>
      <c r="CI61" s="74"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74"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6.59</v>
      </c>
      <c r="CK61" s="74"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74"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74"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74"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13.08</v>
      </c>
      <c r="CO61" s="74"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74"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13.5</v>
      </c>
      <c r="CQ61" s="74"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74"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74"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74" t="n">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5.41</v>
      </c>
      <c r="CU61" s="74"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74"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10.6633</v>
      </c>
      <c r="CW61" s="74"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74"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74"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74"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13.21</v>
      </c>
      <c r="DA61" s="74"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74"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11.41</v>
      </c>
      <c r="DC61" s="74"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74"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74"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74" t="n">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3.84</v>
      </c>
      <c r="DG61" s="74"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74"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9.4867</v>
      </c>
      <c r="DI61" s="74"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74"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74"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74"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2.9</v>
      </c>
      <c r="DM61" s="74"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74"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13.96</v>
      </c>
      <c r="DO61" s="74"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74"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74"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74" t="n">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3.21</v>
      </c>
      <c r="DS61" s="74"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74"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6.69</v>
      </c>
      <c r="DU61" s="261"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61"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61"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61"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2.68</v>
      </c>
      <c r="DY61" s="261"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61"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13.66</v>
      </c>
      <c r="EA61" s="261"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61"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61"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61" t="n">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5.59</v>
      </c>
      <c r="EE61" s="261"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62"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7.31</v>
      </c>
      <c r="EG61" s="261"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61"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61"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61"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2.72</v>
      </c>
      <c r="EK61" s="261"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61"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16.62</v>
      </c>
      <c r="EM61" s="261"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61"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61"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61" t="n">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8.14</v>
      </c>
      <c r="EQ61" s="261"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62"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9.16</v>
      </c>
      <c r="ES61" s="261"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61"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61"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61"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16.83</v>
      </c>
      <c r="EW61" s="261"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61"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14.41</v>
      </c>
      <c r="EY61" s="261"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61"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61"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61" t="n">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7.71</v>
      </c>
      <c r="FC61" s="261"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62"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12.9833</v>
      </c>
      <c r="FE61" s="261"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61"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61"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61"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17.05</v>
      </c>
      <c r="FI61" s="261"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61"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11.6</v>
      </c>
      <c r="FK61" s="261"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61"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61"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61" t="n">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5.28</v>
      </c>
      <c r="FO61" s="261"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62"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11.31</v>
      </c>
      <c r="FQ61" s="261"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61"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61"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61"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2.59</v>
      </c>
      <c r="FU61" s="261"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61"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15.17</v>
      </c>
      <c r="FW61" s="261"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61"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61"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61" t="n">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10.43</v>
      </c>
      <c r="GA61" s="261"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62"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9.3967</v>
      </c>
      <c r="GD61" s="74"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74"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74"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74"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2.64</v>
      </c>
      <c r="GH61" s="74"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74"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11.95</v>
      </c>
      <c r="GJ61" s="74"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74"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74"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74" t="n">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5.14</v>
      </c>
      <c r="GN61" s="74"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74"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6.5767</v>
      </c>
      <c r="GP61" s="74"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74"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74"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74"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2.67</v>
      </c>
      <c r="GT61" s="74"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74"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14.01</v>
      </c>
      <c r="GV61" s="74"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74"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74"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74" t="n">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7.14</v>
      </c>
      <c r="GZ61" s="74"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74"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7.94</v>
      </c>
      <c r="HB61" s="74"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74"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74"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74"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13.51</v>
      </c>
      <c r="HF61" s="74"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74"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12.5</v>
      </c>
      <c r="HH61" s="74"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74"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74"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74" t="n">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6.82</v>
      </c>
      <c r="HL61" s="74"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74"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10.9433</v>
      </c>
      <c r="HN61" s="74"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74"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74"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74"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13.63</v>
      </c>
      <c r="HR61" s="74"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74"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10.39</v>
      </c>
      <c r="HT61" s="74"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74"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74"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74" t="n">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4.88</v>
      </c>
      <c r="HX61" s="74"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74"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9.6333</v>
      </c>
      <c r="HZ61" s="74"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74"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74"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74"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2.56</v>
      </c>
      <c r="ID61" s="74"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74"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13.03</v>
      </c>
      <c r="IF61" s="74"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74"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74"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74" t="n">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8.78</v>
      </c>
      <c r="IJ61" s="74"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74"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8.1233</v>
      </c>
    </row>
    <row r="62" customFormat="false" ht="15" hidden="false" customHeight="true" outlineLevel="0" collapsed="false">
      <c r="A62" s="263" t="s">
        <v>419</v>
      </c>
      <c r="B62" s="263" t="s">
        <v>331</v>
      </c>
      <c r="C62" s="264" t="n">
        <v>1400</v>
      </c>
      <c r="D62" s="265"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65"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65"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65"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15.59</v>
      </c>
      <c r="H62" s="265"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65"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14.32</v>
      </c>
      <c r="J62" s="265"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65"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65"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65" t="n">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3.14</v>
      </c>
      <c r="N62" s="265"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58"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11.0167</v>
      </c>
      <c r="P62" s="265"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65"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65"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65"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2.78</v>
      </c>
      <c r="T62" s="265"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65"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15.08</v>
      </c>
      <c r="V62" s="265"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65"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65"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65" t="n">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4.26</v>
      </c>
      <c r="Z62" s="265"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58"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7.3733</v>
      </c>
      <c r="AB62" s="265"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65"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65"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65"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16.11</v>
      </c>
      <c r="AF62" s="265"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65"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15.85</v>
      </c>
      <c r="AH62" s="265"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65"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65"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65" t="n">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5.89</v>
      </c>
      <c r="AL62" s="265"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59"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12.6167</v>
      </c>
      <c r="AN62" s="266"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66"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66"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66"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16.33</v>
      </c>
      <c r="AR62" s="266"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66"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12.91</v>
      </c>
      <c r="AT62" s="266"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66"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66"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66" t="n">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4.03</v>
      </c>
      <c r="AX62" s="266"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59"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11.09</v>
      </c>
      <c r="AZ62" s="266"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66"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66"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66"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2.93</v>
      </c>
      <c r="BD62" s="266"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66"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16.55</v>
      </c>
      <c r="BF62" s="266"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66"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66"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66" t="n">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3.31</v>
      </c>
      <c r="BJ62" s="266"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59"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7.5967</v>
      </c>
      <c r="BM62" s="74"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74"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74"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74"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12.76</v>
      </c>
      <c r="BQ62" s="74"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74"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12.43</v>
      </c>
      <c r="BS62" s="74"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74"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74"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74" t="n">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3.03</v>
      </c>
      <c r="BW62" s="74"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74"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9.4067</v>
      </c>
      <c r="BY62" s="74"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74"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74"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74"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2.73</v>
      </c>
      <c r="CC62" s="74"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74"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12.97</v>
      </c>
      <c r="CE62" s="74"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74"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74"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74" t="n">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4.01</v>
      </c>
      <c r="CI62" s="74"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74"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6.57</v>
      </c>
      <c r="CK62" s="74"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74"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74"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74"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13.08</v>
      </c>
      <c r="CO62" s="74"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74"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13.5</v>
      </c>
      <c r="CQ62" s="74"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74"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74"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74" t="n">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5.37</v>
      </c>
      <c r="CU62" s="74"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74"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10.65</v>
      </c>
      <c r="CW62" s="74"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74"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74"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74"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13.22</v>
      </c>
      <c r="DA62" s="74"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74"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11.39</v>
      </c>
      <c r="DC62" s="74"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74"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74"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74" t="n">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3.81</v>
      </c>
      <c r="DG62" s="74"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74"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9.4733</v>
      </c>
      <c r="DI62" s="74"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74"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74"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74"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2.87</v>
      </c>
      <c r="DM62" s="74"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74"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13.97</v>
      </c>
      <c r="DO62" s="74"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74"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74"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74" t="n">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3.17</v>
      </c>
      <c r="DS62" s="74"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74"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6.67</v>
      </c>
      <c r="DU62" s="267"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67"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67"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67"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2.64</v>
      </c>
      <c r="DY62" s="267"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67"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13.65</v>
      </c>
      <c r="EA62" s="267"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67"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67"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67" t="n">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5.56</v>
      </c>
      <c r="EE62" s="267"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62"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7.2833</v>
      </c>
      <c r="EG62" s="267"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67"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67"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67"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2.68</v>
      </c>
      <c r="EK62" s="267"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67"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16.63</v>
      </c>
      <c r="EM62" s="267"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67"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67"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67" t="n">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8.11</v>
      </c>
      <c r="EQ62" s="267"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62"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9.14</v>
      </c>
      <c r="ES62" s="267"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67"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67"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67"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16.85</v>
      </c>
      <c r="EW62" s="267"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67"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14.4</v>
      </c>
      <c r="EY62" s="267"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67"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67"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67" t="n">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7.67</v>
      </c>
      <c r="FC62" s="267"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62"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12.9733</v>
      </c>
      <c r="FE62" s="267"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67"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67"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67"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17.08</v>
      </c>
      <c r="FI62" s="267"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67"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11.57</v>
      </c>
      <c r="FK62" s="267"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67"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67"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67" t="n">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5.25</v>
      </c>
      <c r="FO62" s="267"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62"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11.3</v>
      </c>
      <c r="FQ62" s="267"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67"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67"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67"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2.56</v>
      </c>
      <c r="FU62" s="267"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67"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15.16</v>
      </c>
      <c r="FW62" s="267"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67"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67"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67" t="n">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10.4</v>
      </c>
      <c r="GA62" s="267"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62"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9.3733</v>
      </c>
      <c r="GD62" s="74"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74"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74"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74"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2.6</v>
      </c>
      <c r="GH62" s="74"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74"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11.94</v>
      </c>
      <c r="GJ62" s="74"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74"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74"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74" t="n">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5.1</v>
      </c>
      <c r="GN62" s="74"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74"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6.5467</v>
      </c>
      <c r="GP62" s="74"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74"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74"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74"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2.64</v>
      </c>
      <c r="GT62" s="74"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74"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14.03</v>
      </c>
      <c r="GV62" s="74"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74"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74"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74" t="n">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7.11</v>
      </c>
      <c r="GZ62" s="74"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74"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7.9267</v>
      </c>
      <c r="HB62" s="74"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74"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74"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74"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13.52</v>
      </c>
      <c r="HF62" s="74"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74"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12.49</v>
      </c>
      <c r="HH62" s="74"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74"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74"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74" t="n">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6.78</v>
      </c>
      <c r="HL62" s="74"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74"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10.93</v>
      </c>
      <c r="HN62" s="74"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74"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74"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74"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13.65</v>
      </c>
      <c r="HR62" s="74"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74"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10.36</v>
      </c>
      <c r="HT62" s="74"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74"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74"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74" t="n">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4.85</v>
      </c>
      <c r="HX62" s="74"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74"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9.62</v>
      </c>
      <c r="HZ62" s="74"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74"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74"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74"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2.52</v>
      </c>
      <c r="ID62" s="74"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74"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13.03</v>
      </c>
      <c r="IF62" s="74"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74"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74"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74" t="n">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8.75</v>
      </c>
      <c r="IJ62" s="74"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74"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8.1</v>
      </c>
    </row>
    <row r="63" customFormat="false" ht="15" hidden="false" customHeight="true" outlineLevel="0" collapsed="false">
      <c r="A63" s="226" t="s">
        <v>420</v>
      </c>
      <c r="B63" s="226" t="s">
        <v>331</v>
      </c>
      <c r="C63" s="230" t="n">
        <v>1450</v>
      </c>
      <c r="D63" s="231"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31"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31"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31"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15.61</v>
      </c>
      <c r="H63" s="231"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31"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14.32</v>
      </c>
      <c r="J63" s="231"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31"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31"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31" t="n">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3.12</v>
      </c>
      <c r="N63" s="231"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58"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11.0167</v>
      </c>
      <c r="P63" s="231"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31"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31"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31"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2.75</v>
      </c>
      <c r="T63" s="231"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31"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15.1</v>
      </c>
      <c r="V63" s="231"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31"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31"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31" t="n">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4.24</v>
      </c>
      <c r="Z63" s="231"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58"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7.3633</v>
      </c>
      <c r="AB63" s="231"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31"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31"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31"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16.14</v>
      </c>
      <c r="AF63" s="231"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31"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15.88</v>
      </c>
      <c r="AH63" s="231"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31"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31"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31" t="n">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5.86</v>
      </c>
      <c r="AL63" s="231"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59"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12.6267</v>
      </c>
      <c r="AN63" s="260"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60"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60"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60"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16.37</v>
      </c>
      <c r="AR63" s="260"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60"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12.91</v>
      </c>
      <c r="AT63" s="260"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60"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60"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60" t="n">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4.01</v>
      </c>
      <c r="AX63" s="260"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59"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11.0967</v>
      </c>
      <c r="AZ63" s="260"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60"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60"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60"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2.91</v>
      </c>
      <c r="BD63" s="260"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60"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16.58</v>
      </c>
      <c r="BF63" s="260"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60"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60"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60" t="n">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3.28</v>
      </c>
      <c r="BJ63" s="260"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59"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7.59</v>
      </c>
      <c r="BM63" s="74"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74"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74"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74"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12.78</v>
      </c>
      <c r="BQ63" s="74"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74"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12.43</v>
      </c>
      <c r="BS63" s="74"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74"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74"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74" t="n">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3</v>
      </c>
      <c r="BW63" s="74"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74"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9.4033</v>
      </c>
      <c r="BY63" s="74"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74"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74"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74"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2.7</v>
      </c>
      <c r="CC63" s="74"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74"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12.98</v>
      </c>
      <c r="CE63" s="74"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74"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74"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74" t="n">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3.98</v>
      </c>
      <c r="CI63" s="74"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74"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6.5533</v>
      </c>
      <c r="CK63" s="74"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74"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74"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74"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13.11</v>
      </c>
      <c r="CO63" s="74"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74"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13.53</v>
      </c>
      <c r="CQ63" s="74"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74"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74"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74" t="n">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5.35</v>
      </c>
      <c r="CU63" s="74"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74"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10.6633</v>
      </c>
      <c r="CW63" s="74"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74"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74"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74"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13.24</v>
      </c>
      <c r="DA63" s="74"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74"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11.39</v>
      </c>
      <c r="DC63" s="74"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74"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74"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74" t="n">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3.78</v>
      </c>
      <c r="DG63" s="74"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74"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9.47</v>
      </c>
      <c r="DI63" s="74"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74"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74"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74"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2.84</v>
      </c>
      <c r="DM63" s="74"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74"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v>
      </c>
      <c r="DO63" s="74"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74"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74"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74" t="n">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3.15</v>
      </c>
      <c r="DS63" s="74"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74"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6.6633</v>
      </c>
      <c r="DU63" s="261"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61"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61"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61"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2.61</v>
      </c>
      <c r="DY63" s="261"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61"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13.65</v>
      </c>
      <c r="EA63" s="261"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61"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61"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61" t="n">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5.54</v>
      </c>
      <c r="EE63" s="261"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62"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7.2667</v>
      </c>
      <c r="EG63" s="261"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61"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61"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61"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2.65</v>
      </c>
      <c r="EK63" s="261"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61"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16.67</v>
      </c>
      <c r="EM63" s="261"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61"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61"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61" t="n">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8.08</v>
      </c>
      <c r="EQ63" s="261"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62"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9.1333</v>
      </c>
      <c r="ES63" s="261"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61"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61"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61"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16.89</v>
      </c>
      <c r="EW63" s="261"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61"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14.41</v>
      </c>
      <c r="EY63" s="261"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61"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61"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61" t="n">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7.65</v>
      </c>
      <c r="FC63" s="261"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62"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12.9833</v>
      </c>
      <c r="FE63" s="261"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61"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61"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61"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17.12</v>
      </c>
      <c r="FI63" s="261"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61"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11.56</v>
      </c>
      <c r="FK63" s="261"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61"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61"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61" t="n">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5.23</v>
      </c>
      <c r="FO63" s="261"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62"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11.3033</v>
      </c>
      <c r="FQ63" s="261"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61"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61"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61"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2.53</v>
      </c>
      <c r="FU63" s="261"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61"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15.18</v>
      </c>
      <c r="FW63" s="261"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61"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61"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61" t="n">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10.38</v>
      </c>
      <c r="GA63" s="261"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62"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9.3633</v>
      </c>
      <c r="GD63" s="74"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74"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74"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74"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2.57</v>
      </c>
      <c r="GH63" s="74"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74"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11.94</v>
      </c>
      <c r="GJ63" s="74"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74"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74"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74" t="n">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5.08</v>
      </c>
      <c r="GN63" s="74"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74"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6.53</v>
      </c>
      <c r="GP63" s="74"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74"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74"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74"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2.61</v>
      </c>
      <c r="GT63" s="74"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74"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14.06</v>
      </c>
      <c r="GV63" s="74"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74"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74"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74" t="n">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7.09</v>
      </c>
      <c r="GZ63" s="74"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74"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7.92</v>
      </c>
      <c r="HB63" s="74"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74"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74"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74"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13.56</v>
      </c>
      <c r="HF63" s="74"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74"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12.49</v>
      </c>
      <c r="HH63" s="74"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74"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74"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74" t="n">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6.76</v>
      </c>
      <c r="HL63" s="74"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74"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10.9367</v>
      </c>
      <c r="HN63" s="74"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74"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74"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74"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13.69</v>
      </c>
      <c r="HR63" s="74"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74"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10.35</v>
      </c>
      <c r="HT63" s="74"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74"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74"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74" t="n">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4.82</v>
      </c>
      <c r="HX63" s="74"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74"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9.62</v>
      </c>
      <c r="HZ63" s="74"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74"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74"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74"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2.49</v>
      </c>
      <c r="ID63" s="74"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74"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13.04</v>
      </c>
      <c r="IF63" s="74"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74"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74"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74" t="n">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8.73</v>
      </c>
      <c r="IJ63" s="74"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74"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8.0867</v>
      </c>
    </row>
    <row r="64" customFormat="false" ht="15" hidden="false" customHeight="true" outlineLevel="0" collapsed="false">
      <c r="A64" s="263" t="s">
        <v>421</v>
      </c>
      <c r="B64" s="263" t="s">
        <v>331</v>
      </c>
      <c r="C64" s="264" t="n">
        <v>1500</v>
      </c>
      <c r="D64" s="265"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65"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65"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65"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15.65</v>
      </c>
      <c r="H64" s="265"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65"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14.35</v>
      </c>
      <c r="J64" s="265"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65"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65"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65" t="n">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3.1</v>
      </c>
      <c r="N64" s="265"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58"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11.0333</v>
      </c>
      <c r="P64" s="265"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65"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65"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65"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2.73</v>
      </c>
      <c r="T64" s="265"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65"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15.13</v>
      </c>
      <c r="V64" s="265"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65"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65"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65" t="n">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4.22</v>
      </c>
      <c r="Z64" s="265"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58"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7.36</v>
      </c>
      <c r="AB64" s="265"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65"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65"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65"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16.19</v>
      </c>
      <c r="AF64" s="265"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65"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15.93</v>
      </c>
      <c r="AH64" s="265"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65"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65"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65" t="n">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5.85</v>
      </c>
      <c r="AL64" s="265"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59"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12.6567</v>
      </c>
      <c r="AN64" s="266"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66"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66"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66"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16.42</v>
      </c>
      <c r="AR64" s="266"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66"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12.92</v>
      </c>
      <c r="AT64" s="266"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66"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66"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66" t="n">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3.99</v>
      </c>
      <c r="AX64" s="266"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59"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11.11</v>
      </c>
      <c r="AZ64" s="266"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66"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66"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66"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2.88</v>
      </c>
      <c r="BD64" s="266"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66"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16.64</v>
      </c>
      <c r="BF64" s="266"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66"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66"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66" t="n">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3.26</v>
      </c>
      <c r="BJ64" s="266"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59"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7.5933</v>
      </c>
      <c r="BM64" s="74"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74"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74"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74"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12.81</v>
      </c>
      <c r="BQ64" s="74"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74"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12.45</v>
      </c>
      <c r="BS64" s="74"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74"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74"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74" t="n">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2.98</v>
      </c>
      <c r="BW64" s="74"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74"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9.4133</v>
      </c>
      <c r="BY64" s="74"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74"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74"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74"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2.67</v>
      </c>
      <c r="CC64" s="74"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74"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13.01</v>
      </c>
      <c r="CE64" s="74"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74"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74"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74" t="n">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3.97</v>
      </c>
      <c r="CI64" s="74"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74"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6.55</v>
      </c>
      <c r="CK64" s="74"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74"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74"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74"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13.14</v>
      </c>
      <c r="CO64" s="74"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74"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13.56</v>
      </c>
      <c r="CQ64" s="74"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74"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74"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74" t="n">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5.33</v>
      </c>
      <c r="CU64" s="74"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74"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10.6767</v>
      </c>
      <c r="CW64" s="74"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74"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74"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74"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13.28</v>
      </c>
      <c r="DA64" s="74"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74"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11.39</v>
      </c>
      <c r="DC64" s="74"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74"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74"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74" t="n">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3.76</v>
      </c>
      <c r="DG64" s="74"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74"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9.4767</v>
      </c>
      <c r="DI64" s="74"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74"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74"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74"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2.82</v>
      </c>
      <c r="DM64" s="74"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74"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14.05</v>
      </c>
      <c r="DO64" s="74"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74"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74"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74" t="n">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3.13</v>
      </c>
      <c r="DS64" s="74"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74"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6.6667</v>
      </c>
      <c r="DU64" s="267"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67"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67"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67"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2.59</v>
      </c>
      <c r="DY64" s="267"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67"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13.67</v>
      </c>
      <c r="EA64" s="267"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67"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67"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67" t="n">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5.52</v>
      </c>
      <c r="EE64" s="267"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62"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7.26</v>
      </c>
      <c r="EG64" s="267"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67"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67"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67"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2.63</v>
      </c>
      <c r="EK64" s="267"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67"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16.73</v>
      </c>
      <c r="EM64" s="267"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67"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67"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67" t="n">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8.07</v>
      </c>
      <c r="EQ64" s="267"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62"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9.1433</v>
      </c>
      <c r="ES64" s="267"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67"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67"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67"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16.95</v>
      </c>
      <c r="EW64" s="267"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67"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14.43</v>
      </c>
      <c r="EY64" s="267"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67"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67"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67" t="n">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7.64</v>
      </c>
      <c r="FC64" s="267"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62"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13.0067</v>
      </c>
      <c r="FE64" s="267"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67"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67"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67"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17.19</v>
      </c>
      <c r="FI64" s="267"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67"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11.56</v>
      </c>
      <c r="FK64" s="267"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67"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67"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67" t="n">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5.21</v>
      </c>
      <c r="FO64" s="267"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62"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11.32</v>
      </c>
      <c r="FQ64" s="267"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67"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67"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67"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2.5</v>
      </c>
      <c r="FU64" s="267"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67"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15.22</v>
      </c>
      <c r="FW64" s="267"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67"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67"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67" t="n">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10.37</v>
      </c>
      <c r="GA64" s="267"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62"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9.3633</v>
      </c>
      <c r="GD64" s="74"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74"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74"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74"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2.54</v>
      </c>
      <c r="GH64" s="74"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74"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11.95</v>
      </c>
      <c r="GJ64" s="74"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74"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74"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74" t="n">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5.06</v>
      </c>
      <c r="GN64" s="74"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74"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6.5167</v>
      </c>
      <c r="GP64" s="74"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74"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74"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74"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2.58</v>
      </c>
      <c r="GT64" s="74"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74"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14.1</v>
      </c>
      <c r="GV64" s="74"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74"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74"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74" t="n">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7.08</v>
      </c>
      <c r="GZ64" s="74"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74"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7.92</v>
      </c>
      <c r="HB64" s="74"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74"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74"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74"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13.6</v>
      </c>
      <c r="HF64" s="74"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74"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12.51</v>
      </c>
      <c r="HH64" s="74"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74"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74"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74" t="n">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6.74</v>
      </c>
      <c r="HL64" s="74"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74"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10.95</v>
      </c>
      <c r="HN64" s="74"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74"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74"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74"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13.74</v>
      </c>
      <c r="HR64" s="74"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74"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10.35</v>
      </c>
      <c r="HT64" s="74"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74"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74"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74" t="n">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4.81</v>
      </c>
      <c r="HX64" s="74"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74"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9.6333</v>
      </c>
      <c r="HZ64" s="74"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74"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74"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74"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2.46</v>
      </c>
      <c r="ID64" s="74"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74"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13.07</v>
      </c>
      <c r="IF64" s="74"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74"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74"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74" t="n">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8.73</v>
      </c>
      <c r="IJ64" s="74"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74"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8.0867</v>
      </c>
    </row>
    <row r="65" customFormat="false" ht="15" hidden="false" customHeight="true" outlineLevel="0" collapsed="false">
      <c r="A65" s="226" t="s">
        <v>422</v>
      </c>
      <c r="B65" s="226" t="s">
        <v>331</v>
      </c>
      <c r="C65" s="230" t="n">
        <v>1550</v>
      </c>
      <c r="D65" s="231"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31"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31"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31"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15.71</v>
      </c>
      <c r="H65" s="231"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31"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14.39</v>
      </c>
      <c r="J65" s="231"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31"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31"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31" t="n">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3.08</v>
      </c>
      <c r="N65" s="231"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58"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11.06</v>
      </c>
      <c r="P65" s="231"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31"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31"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31"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2.71</v>
      </c>
      <c r="T65" s="231"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31"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15.18</v>
      </c>
      <c r="V65" s="231"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31"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31"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31" t="n">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4.21</v>
      </c>
      <c r="Z65" s="231"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58"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7.3667</v>
      </c>
      <c r="AB65" s="231"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31"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31"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31"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16.25</v>
      </c>
      <c r="AF65" s="231"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31"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15.99</v>
      </c>
      <c r="AH65" s="231"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31"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31"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31" t="n">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5.84</v>
      </c>
      <c r="AL65" s="231"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59"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12.6933</v>
      </c>
      <c r="AN65" s="260"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60"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60"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60"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16.49</v>
      </c>
      <c r="AR65" s="260"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60"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12.94</v>
      </c>
      <c r="AT65" s="260"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60"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60"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60" t="n">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3.98</v>
      </c>
      <c r="AX65" s="260"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59"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11.1367</v>
      </c>
      <c r="AZ65" s="260"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60"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60"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60"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2.87</v>
      </c>
      <c r="BD65" s="260"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60"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16.71</v>
      </c>
      <c r="BF65" s="260"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60"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60"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60" t="n">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3.25</v>
      </c>
      <c r="BJ65" s="260"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59"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7.61</v>
      </c>
      <c r="BM65" s="74"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74"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74"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74"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12.86</v>
      </c>
      <c r="BQ65" s="74"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74"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12.49</v>
      </c>
      <c r="BS65" s="74"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74"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74"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74" t="n">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2.96</v>
      </c>
      <c r="BW65" s="74"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74"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9.4367</v>
      </c>
      <c r="BY65" s="74"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74"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74"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74"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2.65</v>
      </c>
      <c r="CC65" s="74"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74"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13.05</v>
      </c>
      <c r="CE65" s="74"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74"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74"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74" t="n">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3.95</v>
      </c>
      <c r="CI65" s="74"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74"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6.55</v>
      </c>
      <c r="CK65" s="74"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74"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74"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74"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13.19</v>
      </c>
      <c r="CO65" s="74"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74"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13.61</v>
      </c>
      <c r="CQ65" s="74"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74"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74"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74" t="n">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5.32</v>
      </c>
      <c r="CU65" s="74"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74"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10.7067</v>
      </c>
      <c r="CW65" s="74"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74"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74"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74"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13.34</v>
      </c>
      <c r="DA65" s="74"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74"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11.42</v>
      </c>
      <c r="DC65" s="74"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74"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74"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74" t="n">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3.75</v>
      </c>
      <c r="DG65" s="74"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74"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9.5033</v>
      </c>
      <c r="DI65" s="74"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74"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74"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74"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2.8</v>
      </c>
      <c r="DM65" s="74"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74"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v>
      </c>
      <c r="DO65" s="74"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74"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74"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74" t="n">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3.11</v>
      </c>
      <c r="DS65" s="74"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74"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6.67</v>
      </c>
      <c r="DU65" s="261"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61"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61"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61"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2.57</v>
      </c>
      <c r="DY65" s="261"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61"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13.7</v>
      </c>
      <c r="EA65" s="261"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61"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61"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61" t="n">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5.51</v>
      </c>
      <c r="EE65" s="261"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62"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7.26</v>
      </c>
      <c r="EG65" s="261"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61"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61"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61"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2.61</v>
      </c>
      <c r="EK65" s="261"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61"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16.8</v>
      </c>
      <c r="EM65" s="261"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61"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61"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61" t="n">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8.07</v>
      </c>
      <c r="EQ65" s="261"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62"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9.16</v>
      </c>
      <c r="ES65" s="261"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61"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61"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61"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17.03</v>
      </c>
      <c r="EW65" s="261"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61"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14.48</v>
      </c>
      <c r="EY65" s="261"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61"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61"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61" t="n">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7.63</v>
      </c>
      <c r="FC65" s="261"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62"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13.0467</v>
      </c>
      <c r="FE65" s="261"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61"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61"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61"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17.27</v>
      </c>
      <c r="FI65" s="261"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61"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11.57</v>
      </c>
      <c r="FK65" s="261"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61"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61"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61" t="n">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5.2</v>
      </c>
      <c r="FO65" s="261"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62"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11.3467</v>
      </c>
      <c r="FQ65" s="261"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61"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61"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61"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2.48</v>
      </c>
      <c r="FU65" s="261"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61"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15.27</v>
      </c>
      <c r="FW65" s="261"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61"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61"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61" t="n">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10.38</v>
      </c>
      <c r="GA65" s="261"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62"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9.3767</v>
      </c>
      <c r="GD65" s="74"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74"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74"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74"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2.52</v>
      </c>
      <c r="GH65" s="74"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74"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11.98</v>
      </c>
      <c r="GJ65" s="74"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74"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74"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74" t="n">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5.05</v>
      </c>
      <c r="GN65" s="74"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74"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6.5167</v>
      </c>
      <c r="GP65" s="74"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74"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74"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74"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2.56</v>
      </c>
      <c r="GT65" s="74"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74"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14.17</v>
      </c>
      <c r="GV65" s="74"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74"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74"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74" t="n">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7.07</v>
      </c>
      <c r="GZ65" s="74"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74"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7.9333</v>
      </c>
      <c r="HB65" s="74"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74"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74"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74"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13.66</v>
      </c>
      <c r="HF65" s="74"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74"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12.55</v>
      </c>
      <c r="HH65" s="74"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74"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74"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74" t="n">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6.74</v>
      </c>
      <c r="HL65" s="74"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74"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10.9833</v>
      </c>
      <c r="HN65" s="74"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74"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74"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74"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13.8</v>
      </c>
      <c r="HR65" s="74"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74"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10.36</v>
      </c>
      <c r="HT65" s="74"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74"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74"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74" t="n">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4.8</v>
      </c>
      <c r="HX65" s="74"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74"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9.6533</v>
      </c>
      <c r="HZ65" s="74"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74"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74"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74"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2.44</v>
      </c>
      <c r="ID65" s="74"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74"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13.11</v>
      </c>
      <c r="IF65" s="74"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74"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74"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74" t="n">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8.73</v>
      </c>
      <c r="IJ65" s="74"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74"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8.0933</v>
      </c>
    </row>
    <row r="66" customFormat="false" ht="15" hidden="false" customHeight="true" outlineLevel="0" collapsed="false">
      <c r="A66" s="263" t="s">
        <v>423</v>
      </c>
      <c r="B66" s="263" t="s">
        <v>331</v>
      </c>
      <c r="C66" s="264" t="n">
        <v>1600</v>
      </c>
      <c r="D66" s="265"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65"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65"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65"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15.78</v>
      </c>
      <c r="H66" s="265"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65"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14.44</v>
      </c>
      <c r="J66" s="265"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65"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65"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65" t="n">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3.07</v>
      </c>
      <c r="N66" s="265"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58"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11.0967</v>
      </c>
      <c r="P66" s="265"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65"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65"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65"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2.7</v>
      </c>
      <c r="T66" s="265"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65"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15.24</v>
      </c>
      <c r="V66" s="265"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65"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65"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65" t="n">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4.2</v>
      </c>
      <c r="Z66" s="265"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58"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7.38</v>
      </c>
      <c r="AB66" s="265"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65"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65"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65"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16.33</v>
      </c>
      <c r="AF66" s="265"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65"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16.06</v>
      </c>
      <c r="AH66" s="265"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65"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65"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65" t="n">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5.84</v>
      </c>
      <c r="AL66" s="265"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59"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12.7433</v>
      </c>
      <c r="AN66" s="266"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66"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66"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66"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16.57</v>
      </c>
      <c r="AR66" s="266"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66"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12.98</v>
      </c>
      <c r="AT66" s="266"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66"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66"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66" t="n">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3.97</v>
      </c>
      <c r="AX66" s="266"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59"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11.1733</v>
      </c>
      <c r="AZ66" s="266"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66"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66"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66"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2.85</v>
      </c>
      <c r="BD66" s="266"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66"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v>
      </c>
      <c r="BF66" s="266"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66"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66"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66" t="n">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3.24</v>
      </c>
      <c r="BJ66" s="266"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59"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7.63</v>
      </c>
      <c r="BM66" s="74"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74"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74"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74"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12.92</v>
      </c>
      <c r="BQ66" s="74"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74"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12.53</v>
      </c>
      <c r="BS66" s="74"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74"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74"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74" t="n">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2.95</v>
      </c>
      <c r="BW66" s="74"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74"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9.4667</v>
      </c>
      <c r="BY66" s="74"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74"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74"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74"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2.64</v>
      </c>
      <c r="CC66" s="74"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74"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13.11</v>
      </c>
      <c r="CE66" s="74"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74"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74"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74" t="n">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3.94</v>
      </c>
      <c r="CI66" s="74"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74"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6.5633</v>
      </c>
      <c r="CK66" s="74"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74"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74"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74"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13.26</v>
      </c>
      <c r="CO66" s="74"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74"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13.68</v>
      </c>
      <c r="CQ66" s="74"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74"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74"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74" t="n">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5.32</v>
      </c>
      <c r="CU66" s="74"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74"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10.7533</v>
      </c>
      <c r="CW66" s="74"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74"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74"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74"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13.4</v>
      </c>
      <c r="DA66" s="74"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74"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11.45</v>
      </c>
      <c r="DC66" s="74"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74"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74"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74" t="n">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3.74</v>
      </c>
      <c r="DG66" s="74"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74"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9.53</v>
      </c>
      <c r="DI66" s="74"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74"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74"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74"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2.78</v>
      </c>
      <c r="DM66" s="74"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74"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14.18</v>
      </c>
      <c r="DO66" s="74"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74"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74"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74" t="n">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3.1</v>
      </c>
      <c r="DS66" s="74"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74"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6.6867</v>
      </c>
      <c r="DU66" s="267"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67"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67"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67"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2.55</v>
      </c>
      <c r="DY66" s="267"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67"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13.74</v>
      </c>
      <c r="EA66" s="267"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67"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67"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67" t="n">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5.51</v>
      </c>
      <c r="EE66" s="267"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62"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7.2667</v>
      </c>
      <c r="EG66" s="267"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67"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67"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67"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2.6</v>
      </c>
      <c r="EK66" s="267"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67"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16.89</v>
      </c>
      <c r="EM66" s="267"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67"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67"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67" t="n">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8.07</v>
      </c>
      <c r="EQ66" s="267"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62"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9.1867</v>
      </c>
      <c r="ES66" s="267"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67"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67"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67"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17.12</v>
      </c>
      <c r="EW66" s="267"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67"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14.53</v>
      </c>
      <c r="EY66" s="267"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67"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67"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67" t="n">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7.64</v>
      </c>
      <c r="FC66" s="267"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62"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13.0967</v>
      </c>
      <c r="FE66" s="267"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67"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67"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67"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17.36</v>
      </c>
      <c r="FI66" s="267"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67"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11.6</v>
      </c>
      <c r="FK66" s="267"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67"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67"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67" t="n">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5.2</v>
      </c>
      <c r="FO66" s="267"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62"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11.3867</v>
      </c>
      <c r="FQ66" s="267"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67"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67"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67"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2.46</v>
      </c>
      <c r="FU66" s="267"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67"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15.33</v>
      </c>
      <c r="FW66" s="267"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67"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67"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67" t="n">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10.4</v>
      </c>
      <c r="GA66" s="267"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62"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9.3967</v>
      </c>
      <c r="GD66" s="74"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74"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74"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74"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2.51</v>
      </c>
      <c r="GH66" s="74"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74"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12.02</v>
      </c>
      <c r="GJ66" s="74"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74"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74"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74" t="n">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5.05</v>
      </c>
      <c r="GN66" s="74"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74"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6.5267</v>
      </c>
      <c r="GP66" s="74"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74"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74"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74"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2.54</v>
      </c>
      <c r="GT66" s="74"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74"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14.24</v>
      </c>
      <c r="GV66" s="74"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74"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74"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74" t="n">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7.07</v>
      </c>
      <c r="GZ66" s="74"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74"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7.95</v>
      </c>
      <c r="HB66" s="74"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74"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74"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74"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13.74</v>
      </c>
      <c r="HF66" s="74"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74"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12.59</v>
      </c>
      <c r="HH66" s="74"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74"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74"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74" t="n">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6.74</v>
      </c>
      <c r="HL66" s="74"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74"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11.0233</v>
      </c>
      <c r="HN66" s="74"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74"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74"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74"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13.88</v>
      </c>
      <c r="HR66" s="74"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74"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10.38</v>
      </c>
      <c r="HT66" s="74"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74"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74"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74" t="n">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4.79</v>
      </c>
      <c r="HX66" s="74"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74"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9.6833</v>
      </c>
      <c r="HZ66" s="74"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74"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74"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74"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2.42</v>
      </c>
      <c r="ID66" s="74"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74"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13.17</v>
      </c>
      <c r="IF66" s="74"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74"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74"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74" t="n">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8.74</v>
      </c>
      <c r="IJ66" s="74"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74"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8.11</v>
      </c>
    </row>
    <row r="67" customFormat="false" ht="15" hidden="false" customHeight="true" outlineLevel="0" collapsed="false">
      <c r="A67" s="226" t="s">
        <v>424</v>
      </c>
      <c r="B67" s="226" t="s">
        <v>331</v>
      </c>
      <c r="C67" s="230" t="n">
        <v>1650</v>
      </c>
      <c r="D67" s="231"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31"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31"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31"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15.87</v>
      </c>
      <c r="H67" s="231"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31"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14.51</v>
      </c>
      <c r="J67" s="231"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31"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31"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31" t="n">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3.07</v>
      </c>
      <c r="N67" s="231"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58"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11.15</v>
      </c>
      <c r="P67" s="231"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31"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31"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31"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2.69</v>
      </c>
      <c r="T67" s="231"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31"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15.32</v>
      </c>
      <c r="V67" s="231"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31"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31"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31" t="n">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4.2</v>
      </c>
      <c r="Z67" s="231"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58"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7.4033</v>
      </c>
      <c r="AB67" s="231"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31"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31"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31"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16.42</v>
      </c>
      <c r="AF67" s="231"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31"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16.15</v>
      </c>
      <c r="AH67" s="231"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31"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31"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31" t="n">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5.84</v>
      </c>
      <c r="AL67" s="231"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59"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12.8033</v>
      </c>
      <c r="AN67" s="260"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60"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60"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60"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16.67</v>
      </c>
      <c r="AR67" s="260"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60"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13.03</v>
      </c>
      <c r="AT67" s="260"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60"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60"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60" t="n">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3.97</v>
      </c>
      <c r="AX67" s="260"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59"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11.2233</v>
      </c>
      <c r="AZ67" s="260"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60"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60"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60"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2.85</v>
      </c>
      <c r="BD67" s="260"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60"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v>
      </c>
      <c r="BF67" s="260"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60"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60"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60" t="n">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3.23</v>
      </c>
      <c r="BJ67" s="260"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59"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7.66</v>
      </c>
      <c r="BM67" s="74"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74"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74"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74"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12.98</v>
      </c>
      <c r="BQ67" s="74"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74"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12.59</v>
      </c>
      <c r="BS67" s="74"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74"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74"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74" t="n">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2.94</v>
      </c>
      <c r="BW67" s="74"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74"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9.5033</v>
      </c>
      <c r="BY67" s="74"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74"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74"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74"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2.63</v>
      </c>
      <c r="CC67" s="74"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74"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13.17</v>
      </c>
      <c r="CE67" s="74"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74"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74"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74" t="n">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3.94</v>
      </c>
      <c r="CI67" s="74"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74"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6.58</v>
      </c>
      <c r="CK67" s="74"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74"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74"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74"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13.33</v>
      </c>
      <c r="CO67" s="74"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74"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13.75</v>
      </c>
      <c r="CQ67" s="74"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74"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74"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74" t="n">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5.32</v>
      </c>
      <c r="CU67" s="74"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74"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10.8</v>
      </c>
      <c r="CW67" s="74"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74"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74"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74"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13.48</v>
      </c>
      <c r="DA67" s="74"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74"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11.49</v>
      </c>
      <c r="DC67" s="74"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74"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74"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74" t="n">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3.74</v>
      </c>
      <c r="DG67" s="74"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74"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9.57</v>
      </c>
      <c r="DI67" s="74"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74"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74"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74"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2.77</v>
      </c>
      <c r="DM67" s="74"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74"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14.26</v>
      </c>
      <c r="DO67" s="74"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74"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74"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74" t="n">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3.09</v>
      </c>
      <c r="DS67" s="74"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74"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6.7067</v>
      </c>
      <c r="DU67" s="261"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61"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61"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61"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2.54</v>
      </c>
      <c r="DY67" s="261"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61"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13.8</v>
      </c>
      <c r="EA67" s="261"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61"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61"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61" t="n">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5.51</v>
      </c>
      <c r="EE67" s="261"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62"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7.2833</v>
      </c>
      <c r="EG67" s="261"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61"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61"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61"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2.58</v>
      </c>
      <c r="EK67" s="261"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61"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16.99</v>
      </c>
      <c r="EM67" s="261"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61"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61"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61" t="n">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8.09</v>
      </c>
      <c r="EQ67" s="261"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62"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9.22</v>
      </c>
      <c r="ES67" s="261"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61"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61"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61"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17.23</v>
      </c>
      <c r="EW67" s="261"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61"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14.6</v>
      </c>
      <c r="EY67" s="261"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61"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61"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61" t="n">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7.65</v>
      </c>
      <c r="FC67" s="261"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62"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13.16</v>
      </c>
      <c r="FE67" s="261"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61"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61"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61"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17.47</v>
      </c>
      <c r="FI67" s="261"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61"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11.63</v>
      </c>
      <c r="FK67" s="261"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61"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61"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61" t="n">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5.2</v>
      </c>
      <c r="FO67" s="261"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62"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11.4333</v>
      </c>
      <c r="FQ67" s="261"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61"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61"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61"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2.45</v>
      </c>
      <c r="FU67" s="261"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61"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15.41</v>
      </c>
      <c r="FW67" s="261"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61"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61"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61" t="n">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10.42</v>
      </c>
      <c r="GA67" s="261"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62"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9.4267</v>
      </c>
      <c r="GD67" s="74"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74"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74"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74"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2.49</v>
      </c>
      <c r="GH67" s="74"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74"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12.07</v>
      </c>
      <c r="GJ67" s="74"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74"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74"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74" t="n">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5.05</v>
      </c>
      <c r="GN67" s="74"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74"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6.5367</v>
      </c>
      <c r="GP67" s="74"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74"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74"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74"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2.53</v>
      </c>
      <c r="GT67" s="74"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74"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14.32</v>
      </c>
      <c r="GV67" s="74"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74"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74"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74" t="n">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7.08</v>
      </c>
      <c r="GZ67" s="74"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74"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7.9767</v>
      </c>
      <c r="HB67" s="74"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74"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74"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74"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13.82</v>
      </c>
      <c r="HF67" s="74"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74"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12.65</v>
      </c>
      <c r="HH67" s="74"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74"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74"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74" t="n">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6.75</v>
      </c>
      <c r="HL67" s="74"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74"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11.0733</v>
      </c>
      <c r="HN67" s="74"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74"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74"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74"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13.96</v>
      </c>
      <c r="HR67" s="74"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74"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10.41</v>
      </c>
      <c r="HT67" s="74"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74"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74"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74" t="n">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4.79</v>
      </c>
      <c r="HX67" s="74"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74"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9.72</v>
      </c>
      <c r="HZ67" s="74"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74"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74"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74"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2.41</v>
      </c>
      <c r="ID67" s="74"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74"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13.23</v>
      </c>
      <c r="IF67" s="74"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74"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74"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74" t="n">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8.76</v>
      </c>
      <c r="IJ67" s="74"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74"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8.1333</v>
      </c>
    </row>
    <row r="68" customFormat="false" ht="15" hidden="false" customHeight="true" outlineLevel="0" collapsed="false">
      <c r="A68" s="263" t="s">
        <v>425</v>
      </c>
      <c r="B68" s="263" t="s">
        <v>331</v>
      </c>
      <c r="C68" s="264" t="n">
        <v>1700</v>
      </c>
      <c r="D68" s="265"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65"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65"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65"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15.96</v>
      </c>
      <c r="H68" s="265"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65"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14.59</v>
      </c>
      <c r="J68" s="265"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65"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65"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65" t="n">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3.06</v>
      </c>
      <c r="N68" s="265"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58"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11.2033</v>
      </c>
      <c r="P68" s="265"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65"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65"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65"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2.68</v>
      </c>
      <c r="T68" s="265"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65"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15.41</v>
      </c>
      <c r="V68" s="265"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65"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65"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65" t="n">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4.21</v>
      </c>
      <c r="Z68" s="265"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58"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7.4333</v>
      </c>
      <c r="AB68" s="265"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65"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65"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65"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16.53</v>
      </c>
      <c r="AF68" s="265"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65"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16.25</v>
      </c>
      <c r="AH68" s="265"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65"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65"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65" t="n">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5.85</v>
      </c>
      <c r="AL68" s="265"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59"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12.8767</v>
      </c>
      <c r="AN68" s="266"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66"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66"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66"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16.77</v>
      </c>
      <c r="AR68" s="266"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66"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13.09</v>
      </c>
      <c r="AT68" s="266"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66"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66"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66" t="n">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3.97</v>
      </c>
      <c r="AX68" s="266"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59"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11.2767</v>
      </c>
      <c r="AZ68" s="266"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66"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66"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66"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2.84</v>
      </c>
      <c r="BD68" s="266"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66"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17.01</v>
      </c>
      <c r="BF68" s="266"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66"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66"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66" t="n">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3.23</v>
      </c>
      <c r="BJ68" s="266"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59"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7.6933</v>
      </c>
      <c r="BM68" s="74"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74"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74"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74"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13.06</v>
      </c>
      <c r="BQ68" s="74"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74"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12.65</v>
      </c>
      <c r="BS68" s="74"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74"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74"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74" t="n">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2.94</v>
      </c>
      <c r="BW68" s="74"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74"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9.55</v>
      </c>
      <c r="BY68" s="74"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74"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74"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74"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2.62</v>
      </c>
      <c r="CC68" s="74"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74"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13.24</v>
      </c>
      <c r="CE68" s="74"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74"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74"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74" t="n">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3.94</v>
      </c>
      <c r="CI68" s="74"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74"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6.6</v>
      </c>
      <c r="CK68" s="74"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74"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74"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74"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13.41</v>
      </c>
      <c r="CO68" s="74"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74"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13.83</v>
      </c>
      <c r="CQ68" s="74"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74"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74"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74" t="n">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5.33</v>
      </c>
      <c r="CU68" s="74"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74"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10.8567</v>
      </c>
      <c r="CW68" s="74"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74"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74"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74"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13.57</v>
      </c>
      <c r="DA68" s="74"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74"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11.54</v>
      </c>
      <c r="DC68" s="74"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74"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74"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74" t="n">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3.74</v>
      </c>
      <c r="DG68" s="74"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74"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9.6167</v>
      </c>
      <c r="DI68" s="74"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74"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74"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74"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2.77</v>
      </c>
      <c r="DM68" s="74"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74"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14.36</v>
      </c>
      <c r="DO68" s="74"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74"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74"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74" t="n">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3.09</v>
      </c>
      <c r="DS68" s="74"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74"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6.74</v>
      </c>
      <c r="DU68" s="267"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67"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67"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67"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2.53</v>
      </c>
      <c r="DY68" s="267"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67"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13.87</v>
      </c>
      <c r="EA68" s="267"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67"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67"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67" t="n">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5.52</v>
      </c>
      <c r="EE68" s="267"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62"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7.3067</v>
      </c>
      <c r="EG68" s="267"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67"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67"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67"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2.58</v>
      </c>
      <c r="EK68" s="267"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67"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17.11</v>
      </c>
      <c r="EM68" s="267"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67"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67"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67" t="n">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8.11</v>
      </c>
      <c r="EQ68" s="267"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62"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9.2667</v>
      </c>
      <c r="ES68" s="267"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67"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67"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67"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17.35</v>
      </c>
      <c r="EW68" s="267"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67"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14.68</v>
      </c>
      <c r="EY68" s="267"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67"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67"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67" t="n">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7.67</v>
      </c>
      <c r="FC68" s="267"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62"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13.2333</v>
      </c>
      <c r="FE68" s="267"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67"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67"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67"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17.6</v>
      </c>
      <c r="FI68" s="267"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67"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11.68</v>
      </c>
      <c r="FK68" s="267"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67"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67"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67" t="n">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5.21</v>
      </c>
      <c r="FO68" s="267"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62"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11.4967</v>
      </c>
      <c r="FQ68" s="267"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67"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67"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67"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2.44</v>
      </c>
      <c r="FU68" s="267"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67"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15.5</v>
      </c>
      <c r="FW68" s="267"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67"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67"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67" t="n">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10.46</v>
      </c>
      <c r="GA68" s="267"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62"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9.4667</v>
      </c>
      <c r="GD68" s="74"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74"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74"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74"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2.48</v>
      </c>
      <c r="GH68" s="74"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74"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12.13</v>
      </c>
      <c r="GJ68" s="74"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74"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74"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74" t="n">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5.06</v>
      </c>
      <c r="GN68" s="74"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74"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6.5567</v>
      </c>
      <c r="GP68" s="74"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74"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74"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74"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2.52</v>
      </c>
      <c r="GT68" s="74"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74"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14.42</v>
      </c>
      <c r="GV68" s="74"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74"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74"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74" t="n">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7.1</v>
      </c>
      <c r="GZ68" s="74"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74"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8.0133</v>
      </c>
      <c r="HB68" s="74"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74"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74"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74"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13.91</v>
      </c>
      <c r="HF68" s="74"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74"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12.72</v>
      </c>
      <c r="HH68" s="74"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74"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74"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74" t="n">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6.76</v>
      </c>
      <c r="HL68" s="74"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74"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11.13</v>
      </c>
      <c r="HN68" s="74"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74"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74"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74"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14.06</v>
      </c>
      <c r="HR68" s="74"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74"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10.45</v>
      </c>
      <c r="HT68" s="74"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74"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74"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74" t="n">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4.8</v>
      </c>
      <c r="HX68" s="74"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74"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9.77</v>
      </c>
      <c r="HZ68" s="74"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74"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74"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74"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2.39</v>
      </c>
      <c r="ID68" s="74"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74"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13.31</v>
      </c>
      <c r="IF68" s="74"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74"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74"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74" t="n">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8.79</v>
      </c>
      <c r="IJ68" s="74"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74"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8.1633</v>
      </c>
    </row>
    <row r="69" customFormat="false" ht="15" hidden="false" customHeight="true" outlineLevel="0" collapsed="false">
      <c r="A69" s="226" t="s">
        <v>426</v>
      </c>
      <c r="B69" s="226" t="s">
        <v>331</v>
      </c>
      <c r="C69" s="230" t="n">
        <v>1750</v>
      </c>
      <c r="D69" s="231"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31"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31"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31"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16.07</v>
      </c>
      <c r="H69" s="231"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31"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14.67</v>
      </c>
      <c r="J69" s="231"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31"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31"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31" t="n">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3.06</v>
      </c>
      <c r="N69" s="231"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58"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11.2667</v>
      </c>
      <c r="P69" s="231"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31"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31"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31"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2.68</v>
      </c>
      <c r="T69" s="231"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31"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15.51</v>
      </c>
      <c r="V69" s="231"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31"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31"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31" t="n">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4.21</v>
      </c>
      <c r="Z69" s="231"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58"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7.4667</v>
      </c>
      <c r="AB69" s="231"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31"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31"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31"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16.65</v>
      </c>
      <c r="AF69" s="231"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31"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16.36</v>
      </c>
      <c r="AH69" s="231"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31"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31"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31" t="n">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5.87</v>
      </c>
      <c r="AL69" s="231"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59"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12.96</v>
      </c>
      <c r="AN69" s="260"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60"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60"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60"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16.89</v>
      </c>
      <c r="AR69" s="260"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60"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13.16</v>
      </c>
      <c r="AT69" s="260"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60"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60"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60" t="n">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3.98</v>
      </c>
      <c r="AX69" s="260"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59"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11.3433</v>
      </c>
      <c r="AZ69" s="260"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60"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60"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60"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2.84</v>
      </c>
      <c r="BD69" s="260"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60"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17.14</v>
      </c>
      <c r="BF69" s="260"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60"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60"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60" t="n">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3.23</v>
      </c>
      <c r="BJ69" s="260"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59"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7.7367</v>
      </c>
      <c r="BM69" s="74"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74"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74"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74"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13.15</v>
      </c>
      <c r="BQ69" s="74"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74"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12.73</v>
      </c>
      <c r="BS69" s="74"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74"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74"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74" t="n">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2.94</v>
      </c>
      <c r="BW69" s="74"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74"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9.6067</v>
      </c>
      <c r="BY69" s="74"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74"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74"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74"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2.61</v>
      </c>
      <c r="CC69" s="74"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74"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13.33</v>
      </c>
      <c r="CE69" s="74"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74"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74"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74" t="n">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3.95</v>
      </c>
      <c r="CI69" s="74"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74"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6.63</v>
      </c>
      <c r="CK69" s="74"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74"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74"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74"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13.51</v>
      </c>
      <c r="CO69" s="74"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74"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13.93</v>
      </c>
      <c r="CQ69" s="74"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74"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74"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74" t="n">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5.34</v>
      </c>
      <c r="CU69" s="74"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74"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10.9267</v>
      </c>
      <c r="CW69" s="74"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74"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74"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74"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13.66</v>
      </c>
      <c r="DA69" s="74"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74"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11.6</v>
      </c>
      <c r="DC69" s="74"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74"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74"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74" t="n">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3.74</v>
      </c>
      <c r="DG69" s="74"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74"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9.6667</v>
      </c>
      <c r="DI69" s="74"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74"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74"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74"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2.76</v>
      </c>
      <c r="DM69" s="74"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74"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14.46</v>
      </c>
      <c r="DO69" s="74"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74"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74"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74" t="n">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3.09</v>
      </c>
      <c r="DS69" s="74"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74"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6.77</v>
      </c>
      <c r="DU69" s="261"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61"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61"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61"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2.53</v>
      </c>
      <c r="DY69" s="261"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61"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13.95</v>
      </c>
      <c r="EA69" s="261"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61"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61"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61" t="n">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5.54</v>
      </c>
      <c r="EE69" s="261"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62"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7.34</v>
      </c>
      <c r="EG69" s="261"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61"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61"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61"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2.57</v>
      </c>
      <c r="EK69" s="261"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61"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17.23</v>
      </c>
      <c r="EM69" s="261"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61"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61"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61" t="n">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8.14</v>
      </c>
      <c r="EQ69" s="261"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62"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9.3133</v>
      </c>
      <c r="ES69" s="261"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61"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61"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61"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17.48</v>
      </c>
      <c r="EW69" s="261"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61"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14.76</v>
      </c>
      <c r="EY69" s="261"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61"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61"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61" t="n">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7.69</v>
      </c>
      <c r="FC69" s="261"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62"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13.31</v>
      </c>
      <c r="FE69" s="261"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61"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61"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61"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17.73</v>
      </c>
      <c r="FI69" s="261"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61"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11.73</v>
      </c>
      <c r="FK69" s="261"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61"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61"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61" t="n">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5.22</v>
      </c>
      <c r="FO69" s="261"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62"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11.56</v>
      </c>
      <c r="FQ69" s="261"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61"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61"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61"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2.43</v>
      </c>
      <c r="FU69" s="261"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61"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15.6</v>
      </c>
      <c r="FW69" s="261"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61"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61"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61" t="n">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10.5</v>
      </c>
      <c r="GA69" s="261"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62"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9.51</v>
      </c>
      <c r="GD69" s="74"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74"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74"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74"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2.47</v>
      </c>
      <c r="GH69" s="74"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74"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12.2</v>
      </c>
      <c r="GJ69" s="74"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74"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74"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74" t="n">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5.07</v>
      </c>
      <c r="GN69" s="74"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74"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6.58</v>
      </c>
      <c r="GP69" s="74"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74"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74"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74"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2.51</v>
      </c>
      <c r="GT69" s="74"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74"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14.52</v>
      </c>
      <c r="GV69" s="74"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74"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74"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74" t="n">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7.12</v>
      </c>
      <c r="GZ69" s="74"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74"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8.05</v>
      </c>
      <c r="HB69" s="74"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74"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74"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74"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14.02</v>
      </c>
      <c r="HF69" s="74"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74"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12.79</v>
      </c>
      <c r="HH69" s="74"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74"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74"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74" t="n">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6.78</v>
      </c>
      <c r="HL69" s="74"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74"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11.1967</v>
      </c>
      <c r="HN69" s="74"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74"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74"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74"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14.17</v>
      </c>
      <c r="HR69" s="74"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74"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10.5</v>
      </c>
      <c r="HT69" s="74"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74"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74"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74" t="n">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4.81</v>
      </c>
      <c r="HX69" s="74"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74"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9.8267</v>
      </c>
      <c r="HZ69" s="74"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74"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74"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74"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2.39</v>
      </c>
      <c r="ID69" s="74"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74"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13.4</v>
      </c>
      <c r="IF69" s="74"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74"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74"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74" t="n">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8.83</v>
      </c>
      <c r="IJ69" s="74"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74"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8.2067</v>
      </c>
    </row>
    <row r="70" customFormat="false" ht="15" hidden="false" customHeight="true" outlineLevel="0" collapsed="false">
      <c r="A70" s="249" t="s">
        <v>427</v>
      </c>
      <c r="B70" s="250" t="s">
        <v>395</v>
      </c>
      <c r="C70" s="251" t="n">
        <v>1800</v>
      </c>
      <c r="D70" s="252"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52"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52"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52"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16.19</v>
      </c>
      <c r="H70" s="252"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52"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14.77</v>
      </c>
      <c r="J70" s="252"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52"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52"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52" t="n">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3.07</v>
      </c>
      <c r="N70" s="252"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53"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11.3433</v>
      </c>
      <c r="P70" s="252"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52"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52"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52"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2.68</v>
      </c>
      <c r="T70" s="252"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52"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15.62</v>
      </c>
      <c r="V70" s="252"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52"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52"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52" t="n">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4.22</v>
      </c>
      <c r="Z70" s="252"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53"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7.5067</v>
      </c>
      <c r="AB70" s="252"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52"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52"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52"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16.77</v>
      </c>
      <c r="AF70" s="252"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52"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16.48</v>
      </c>
      <c r="AH70" s="252"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52"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52"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52" t="n">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5.89</v>
      </c>
      <c r="AL70" s="252"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54"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13.0467</v>
      </c>
      <c r="AN70" s="255"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55"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55"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55"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17.03</v>
      </c>
      <c r="AR70" s="255"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55"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13.24</v>
      </c>
      <c r="AT70" s="255"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55"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55"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55" t="n">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3.99</v>
      </c>
      <c r="AX70" s="255"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54"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11.42</v>
      </c>
      <c r="AZ70" s="255"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55"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55"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55"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2.84</v>
      </c>
      <c r="BD70" s="255"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55"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17.27</v>
      </c>
      <c r="BF70" s="255"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55"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55"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55" t="n">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3.24</v>
      </c>
      <c r="BJ70" s="255"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54"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7.7833</v>
      </c>
      <c r="BM70" s="74"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74"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74"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74"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13.24</v>
      </c>
      <c r="BQ70" s="74"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74"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12.81</v>
      </c>
      <c r="BS70" s="74"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74"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74"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74" t="n">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2.94</v>
      </c>
      <c r="BW70" s="74"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74"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9.6633</v>
      </c>
      <c r="BY70" s="74"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74"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74"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74"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2.61</v>
      </c>
      <c r="CC70" s="74"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74"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13.42</v>
      </c>
      <c r="CE70" s="74"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74"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74"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74" t="n">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3.96</v>
      </c>
      <c r="CI70" s="74"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74"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6.6633</v>
      </c>
      <c r="CK70" s="74"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74"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74"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74"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13.61</v>
      </c>
      <c r="CO70" s="74"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74"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14.03</v>
      </c>
      <c r="CQ70" s="74"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74"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74"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74" t="n">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5.36</v>
      </c>
      <c r="CU70" s="74"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74"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11</v>
      </c>
      <c r="CW70" s="74"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74"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74"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74"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13.77</v>
      </c>
      <c r="DA70" s="74"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74"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11.67</v>
      </c>
      <c r="DC70" s="74"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74"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74"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74" t="n">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3.75</v>
      </c>
      <c r="DG70" s="74"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74"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9.73</v>
      </c>
      <c r="DI70" s="74"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74"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74"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74"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2.76</v>
      </c>
      <c r="DM70" s="74"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74"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14.57</v>
      </c>
      <c r="DO70" s="74"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74"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74"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74" t="n">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3.09</v>
      </c>
      <c r="DS70" s="74"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74"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6.8067</v>
      </c>
      <c r="DU70" s="256"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56"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56"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56"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2.53</v>
      </c>
      <c r="DY70" s="256"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56"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14.04</v>
      </c>
      <c r="EA70" s="256"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56"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56"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56" t="n">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5.56</v>
      </c>
      <c r="EE70" s="256"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57"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7.3767</v>
      </c>
      <c r="EG70" s="256"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56"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56"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56"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2.57</v>
      </c>
      <c r="EK70" s="256"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56"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17.37</v>
      </c>
      <c r="EM70" s="256"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56"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56"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56" t="n">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8.17</v>
      </c>
      <c r="EQ70" s="256"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57"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9.37</v>
      </c>
      <c r="ES70" s="256"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56"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56"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56"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17.62</v>
      </c>
      <c r="EW70" s="256"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56"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14.86</v>
      </c>
      <c r="EY70" s="256"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56"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56"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56" t="n">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7.72</v>
      </c>
      <c r="FC70" s="256"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57"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v>
      </c>
      <c r="FE70" s="256"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56"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56"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56"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17.88</v>
      </c>
      <c r="FI70" s="256"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56"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11.8</v>
      </c>
      <c r="FK70" s="256"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56"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56"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56" t="n">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5.24</v>
      </c>
      <c r="FO70" s="256"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57"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11.64</v>
      </c>
      <c r="FQ70" s="256"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56"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56"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56"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2.43</v>
      </c>
      <c r="FU70" s="256"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56"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15.71</v>
      </c>
      <c r="FW70" s="256"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56"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56"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56" t="n">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10.56</v>
      </c>
      <c r="GA70" s="256"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57"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9.5667</v>
      </c>
      <c r="GD70" s="74"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74"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74"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74"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2.47</v>
      </c>
      <c r="GH70" s="74"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74"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12.27</v>
      </c>
      <c r="GJ70" s="74"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74"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74"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74" t="n">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5.08</v>
      </c>
      <c r="GN70" s="74"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74"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6.6067</v>
      </c>
      <c r="GP70" s="74"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74"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74"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74"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2.51</v>
      </c>
      <c r="GT70" s="74"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74"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14.64</v>
      </c>
      <c r="GV70" s="74"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74"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74"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74" t="n">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7.15</v>
      </c>
      <c r="GZ70" s="74"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74"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8.1</v>
      </c>
      <c r="HB70" s="74"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74"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74"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74"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14.13</v>
      </c>
      <c r="HF70" s="74"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74"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12.88</v>
      </c>
      <c r="HH70" s="74"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74"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74"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74" t="n">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6.81</v>
      </c>
      <c r="HL70" s="74"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74"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11.2733</v>
      </c>
      <c r="HN70" s="74"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74"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74"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74"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14.28</v>
      </c>
      <c r="HR70" s="74"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74"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10.56</v>
      </c>
      <c r="HT70" s="74"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74"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74"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74" t="n">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4.82</v>
      </c>
      <c r="HX70" s="74"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74"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9.8867</v>
      </c>
      <c r="HZ70" s="74"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74"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74"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74"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2.38</v>
      </c>
      <c r="ID70" s="74"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74"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13.49</v>
      </c>
      <c r="IF70" s="74"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74"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74"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74" t="n">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8.87</v>
      </c>
      <c r="IJ70" s="74"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74"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8.2467</v>
      </c>
    </row>
    <row r="71" customFormat="false" ht="15" hidden="false" customHeight="true" outlineLevel="0" collapsed="false">
      <c r="A71" s="226" t="s">
        <v>428</v>
      </c>
      <c r="B71" s="226" t="s">
        <v>331</v>
      </c>
      <c r="C71" s="230" t="n">
        <v>1850</v>
      </c>
      <c r="D71" s="231"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31"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31"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31"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16.31</v>
      </c>
      <c r="H71" s="231"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31"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14.88</v>
      </c>
      <c r="J71" s="231"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31"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31"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31" t="n">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3.07</v>
      </c>
      <c r="N71" s="231"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58"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11.42</v>
      </c>
      <c r="P71" s="231"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31"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31"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31"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2.68</v>
      </c>
      <c r="T71" s="231"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31"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15.73</v>
      </c>
      <c r="V71" s="231"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31"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31"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31" t="n">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4.24</v>
      </c>
      <c r="Z71" s="231"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58"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7.55</v>
      </c>
      <c r="AB71" s="231"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31"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31"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31"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16.91</v>
      </c>
      <c r="AF71" s="231"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31"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16.62</v>
      </c>
      <c r="AH71" s="231"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31"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31"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31" t="n">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5.91</v>
      </c>
      <c r="AL71" s="231"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59"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13.1467</v>
      </c>
      <c r="AN71" s="260"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60"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60"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60"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17.16</v>
      </c>
      <c r="AR71" s="260"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60"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13.32</v>
      </c>
      <c r="AT71" s="260"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60"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60"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60" t="n">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4</v>
      </c>
      <c r="AX71" s="260"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59"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11.4933</v>
      </c>
      <c r="AZ71" s="260"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60"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60"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60"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2.84</v>
      </c>
      <c r="BD71" s="260"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60"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17.42</v>
      </c>
      <c r="BF71" s="260"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60"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60"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60" t="n">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3.24</v>
      </c>
      <c r="BJ71" s="260"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59"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7.8333</v>
      </c>
      <c r="BM71" s="74"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74"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74"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74"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13.35</v>
      </c>
      <c r="BQ71" s="74"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74"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12.9</v>
      </c>
      <c r="BS71" s="74"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74"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74"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74" t="n">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2.94</v>
      </c>
      <c r="BW71" s="74"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74"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9.73</v>
      </c>
      <c r="BY71" s="74"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74"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74"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74"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2.61</v>
      </c>
      <c r="CC71" s="74"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74"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13.52</v>
      </c>
      <c r="CE71" s="74"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74"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74"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74" t="n">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3.97</v>
      </c>
      <c r="CI71" s="74"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74"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6.7</v>
      </c>
      <c r="CK71" s="74"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74"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74"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74"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13.72</v>
      </c>
      <c r="CO71" s="74"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74"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14.14</v>
      </c>
      <c r="CQ71" s="74"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74"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74"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74" t="n">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5.38</v>
      </c>
      <c r="CU71" s="74"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74"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11.08</v>
      </c>
      <c r="CW71" s="74"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74"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74"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74"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13.88</v>
      </c>
      <c r="DA71" s="74"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74"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11.74</v>
      </c>
      <c r="DC71" s="74"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74"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74"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74" t="n">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3.76</v>
      </c>
      <c r="DG71" s="74"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74"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9.7933</v>
      </c>
      <c r="DI71" s="74"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74"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74"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74"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2.77</v>
      </c>
      <c r="DM71" s="74"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74"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14.69</v>
      </c>
      <c r="DO71" s="74"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74"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74"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74" t="n">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3.09</v>
      </c>
      <c r="DS71" s="74"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74"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6.85</v>
      </c>
      <c r="DU71" s="261"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61"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61"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61"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2.53</v>
      </c>
      <c r="DY71" s="261"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61"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14.13</v>
      </c>
      <c r="EA71" s="261"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61"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61"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61" t="n">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5.58</v>
      </c>
      <c r="EE71" s="261"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62"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7.4133</v>
      </c>
      <c r="EG71" s="261"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61"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61"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61"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2.57</v>
      </c>
      <c r="EK71" s="261"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61"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17.51</v>
      </c>
      <c r="EM71" s="261"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61"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61"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61" t="n">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8.21</v>
      </c>
      <c r="EQ71" s="261"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62"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9.43</v>
      </c>
      <c r="ES71" s="261"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61"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61"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61"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17.77</v>
      </c>
      <c r="EW71" s="261"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61"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14.97</v>
      </c>
      <c r="EY71" s="261"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61"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61"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61" t="n">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7.76</v>
      </c>
      <c r="FC71" s="261"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62"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v>
      </c>
      <c r="FE71" s="261"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61"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61"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61"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18.03</v>
      </c>
      <c r="FI71" s="261"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61"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11.87</v>
      </c>
      <c r="FK71" s="261"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61"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61"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61" t="n">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5.26</v>
      </c>
      <c r="FO71" s="261"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62"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11.72</v>
      </c>
      <c r="FQ71" s="261"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61"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61"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61"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2.43</v>
      </c>
      <c r="FU71" s="261"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61"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15.83</v>
      </c>
      <c r="FW71" s="261"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61"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61"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61" t="n">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10.61</v>
      </c>
      <c r="GA71" s="261"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62"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9.6233</v>
      </c>
      <c r="GD71" s="74"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74"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74"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74"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2.47</v>
      </c>
      <c r="GH71" s="74"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74"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12.35</v>
      </c>
      <c r="GJ71" s="74"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74"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74"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74" t="n">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5.1</v>
      </c>
      <c r="GN71" s="74"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74"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6.64</v>
      </c>
      <c r="GP71" s="74"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74"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74"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74"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2.51</v>
      </c>
      <c r="GT71" s="74"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74"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14.76</v>
      </c>
      <c r="GV71" s="74"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74"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74"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74" t="n">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7.18</v>
      </c>
      <c r="GZ71" s="74"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74"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8.15</v>
      </c>
      <c r="HB71" s="74"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74"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74"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74"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14.25</v>
      </c>
      <c r="HF71" s="74"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74"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12.97</v>
      </c>
      <c r="HH71" s="74"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74"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74"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74" t="n">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6.84</v>
      </c>
      <c r="HL71" s="74"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74"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11.3533</v>
      </c>
      <c r="HN71" s="74"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74"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74"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74"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14.4</v>
      </c>
      <c r="HR71" s="74"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74"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10.62</v>
      </c>
      <c r="HT71" s="74"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74"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74"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74" t="n">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4.84</v>
      </c>
      <c r="HX71" s="74"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74"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9.9533</v>
      </c>
      <c r="HZ71" s="74"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74"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74"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74"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2.38</v>
      </c>
      <c r="ID71" s="74"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74"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13.59</v>
      </c>
      <c r="IF71" s="74"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74"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74"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74" t="n">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8.92</v>
      </c>
      <c r="IJ71" s="74"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74"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8.2967</v>
      </c>
    </row>
    <row r="72" customFormat="false" ht="15" hidden="false" customHeight="true" outlineLevel="0" collapsed="false">
      <c r="A72" s="263" t="s">
        <v>429</v>
      </c>
      <c r="B72" s="263" t="s">
        <v>331</v>
      </c>
      <c r="C72" s="264" t="n">
        <v>1900</v>
      </c>
      <c r="D72" s="265"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65"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65"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65"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16.45</v>
      </c>
      <c r="H72" s="265"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65"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14.99</v>
      </c>
      <c r="J72" s="265"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65"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65"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65" t="n">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3.08</v>
      </c>
      <c r="N72" s="265"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58"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11.5067</v>
      </c>
      <c r="P72" s="265"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65"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65"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65"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2.68</v>
      </c>
      <c r="T72" s="265"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65"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15.86</v>
      </c>
      <c r="V72" s="265"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65"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65"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65" t="n">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4.25</v>
      </c>
      <c r="Z72" s="265"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58"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7.5967</v>
      </c>
      <c r="AB72" s="265"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65"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65"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65"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17.05</v>
      </c>
      <c r="AF72" s="265"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65"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16.75</v>
      </c>
      <c r="AH72" s="265"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65"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65"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65" t="n">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5.94</v>
      </c>
      <c r="AL72" s="265"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59"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13.2467</v>
      </c>
      <c r="AN72" s="266"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66"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66"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66"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17.31</v>
      </c>
      <c r="AR72" s="266"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66"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13.42</v>
      </c>
      <c r="AT72" s="266"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66"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66"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66" t="n">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4.01</v>
      </c>
      <c r="AX72" s="266"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59"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11.58</v>
      </c>
      <c r="AZ72" s="266"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66"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66"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66"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2.85</v>
      </c>
      <c r="BD72" s="266"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66"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17.57</v>
      </c>
      <c r="BF72" s="266"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66"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66"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66" t="n">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3.25</v>
      </c>
      <c r="BJ72" s="266"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59"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7.89</v>
      </c>
      <c r="BM72" s="74"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74"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74"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74"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13.45</v>
      </c>
      <c r="BQ72" s="74"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74"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13</v>
      </c>
      <c r="BS72" s="74"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74"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74"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74" t="n">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2.95</v>
      </c>
      <c r="BW72" s="74"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74"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9.8</v>
      </c>
      <c r="BY72" s="74"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74"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74"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74"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2.61</v>
      </c>
      <c r="CC72" s="74"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74"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13.63</v>
      </c>
      <c r="CE72" s="74"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74"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74"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74" t="n">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3.98</v>
      </c>
      <c r="CI72" s="74"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74"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6.74</v>
      </c>
      <c r="CK72" s="74"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74"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74"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74"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13.84</v>
      </c>
      <c r="CO72" s="74"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74"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14.26</v>
      </c>
      <c r="CQ72" s="74"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74"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74"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74" t="n">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5.4</v>
      </c>
      <c r="CU72" s="74"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74"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11.1667</v>
      </c>
      <c r="CW72" s="74"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74"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74"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74"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14</v>
      </c>
      <c r="DA72" s="74"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74"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11.83</v>
      </c>
      <c r="DC72" s="74"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74"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74"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74" t="n">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3.77</v>
      </c>
      <c r="DG72" s="74"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74"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9.8667</v>
      </c>
      <c r="DI72" s="74"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74"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74"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74"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2.77</v>
      </c>
      <c r="DM72" s="74"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74"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14.82</v>
      </c>
      <c r="DO72" s="74"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74"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74"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74" t="n">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3.1</v>
      </c>
      <c r="DS72" s="74"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74"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6.8967</v>
      </c>
      <c r="DU72" s="267"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67"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67"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67"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2.53</v>
      </c>
      <c r="DY72" s="267"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67"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14.24</v>
      </c>
      <c r="EA72" s="267"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67"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67"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67" t="n">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5.6</v>
      </c>
      <c r="EE72" s="267"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62"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7.4567</v>
      </c>
      <c r="EG72" s="267"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67"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67"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67"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2.57</v>
      </c>
      <c r="EK72" s="267"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67"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17.67</v>
      </c>
      <c r="EM72" s="267"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67"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67"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67" t="n">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8.25</v>
      </c>
      <c r="EQ72" s="267"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62"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9.4967</v>
      </c>
      <c r="ES72" s="267"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67"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67"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67"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17.93</v>
      </c>
      <c r="EW72" s="267"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67"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15.08</v>
      </c>
      <c r="EY72" s="267"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67"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67"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67" t="n">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7.8</v>
      </c>
      <c r="FC72" s="267"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62"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13.6033</v>
      </c>
      <c r="FE72" s="267"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67"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67"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67"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18.2</v>
      </c>
      <c r="FI72" s="267"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67"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11.94</v>
      </c>
      <c r="FK72" s="267"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67"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67"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67" t="n">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5.28</v>
      </c>
      <c r="FO72" s="267"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62"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11.8067</v>
      </c>
      <c r="FQ72" s="267"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67"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67"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67"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2.43</v>
      </c>
      <c r="FU72" s="267"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67"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15.96</v>
      </c>
      <c r="FW72" s="267"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67"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67"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67" t="n">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10.68</v>
      </c>
      <c r="GA72" s="267"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62"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9.69</v>
      </c>
      <c r="GD72" s="74"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74"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74"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74"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2.47</v>
      </c>
      <c r="GH72" s="74"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74"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12.44</v>
      </c>
      <c r="GJ72" s="74"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74"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74"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74" t="n">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5.12</v>
      </c>
      <c r="GN72" s="74"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74"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6.6767</v>
      </c>
      <c r="GP72" s="74"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74"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74"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74"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2.51</v>
      </c>
      <c r="GT72" s="74"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74"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14.89</v>
      </c>
      <c r="GV72" s="74"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74"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74"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74" t="n">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7.22</v>
      </c>
      <c r="GZ72" s="74"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74"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8.2067</v>
      </c>
      <c r="HB72" s="74"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74"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74"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74"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14.37</v>
      </c>
      <c r="HF72" s="74"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74"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13.07</v>
      </c>
      <c r="HH72" s="74"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74"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74"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74" t="n">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6.87</v>
      </c>
      <c r="HL72" s="74"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74"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11.4367</v>
      </c>
      <c r="HN72" s="74"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74"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74"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74"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14.53</v>
      </c>
      <c r="HR72" s="74"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74"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10.69</v>
      </c>
      <c r="HT72" s="74"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74"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74"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74" t="n">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4.86</v>
      </c>
      <c r="HX72" s="74"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74"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10.0267</v>
      </c>
      <c r="HZ72" s="74"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74"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74"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74"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2.38</v>
      </c>
      <c r="ID72" s="74"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74"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13.7</v>
      </c>
      <c r="IF72" s="74"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74"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74"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74" t="n">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8.97</v>
      </c>
      <c r="IJ72" s="74"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74"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8.35</v>
      </c>
    </row>
    <row r="73" customFormat="false" ht="15" hidden="false" customHeight="true" outlineLevel="0" collapsed="false">
      <c r="A73" s="226" t="s">
        <v>430</v>
      </c>
      <c r="B73" s="226" t="s">
        <v>331</v>
      </c>
      <c r="C73" s="230" t="n">
        <v>1950</v>
      </c>
      <c r="D73" s="231"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31"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31"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31"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16.59</v>
      </c>
      <c r="H73" s="231"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31"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15.11</v>
      </c>
      <c r="J73" s="231"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31"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31"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31" t="n">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3.09</v>
      </c>
      <c r="N73" s="231"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58"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11.5967</v>
      </c>
      <c r="P73" s="231"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31"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31"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31"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2.69</v>
      </c>
      <c r="T73" s="231"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31"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15.99</v>
      </c>
      <c r="V73" s="231"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31"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31"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31" t="n">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4.27</v>
      </c>
      <c r="Z73" s="231"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58"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7.65</v>
      </c>
      <c r="AB73" s="231"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31"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31"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31"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17.2</v>
      </c>
      <c r="AF73" s="231"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31"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16.9</v>
      </c>
      <c r="AH73" s="231"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31"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31"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31" t="n">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5.97</v>
      </c>
      <c r="AL73" s="231"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59"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13.3567</v>
      </c>
      <c r="AN73" s="260"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60"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60"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60"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17.47</v>
      </c>
      <c r="AR73" s="260"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60"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13.52</v>
      </c>
      <c r="AT73" s="260"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60"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60"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60" t="n">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4.03</v>
      </c>
      <c r="AX73" s="260"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59"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11.6733</v>
      </c>
      <c r="AZ73" s="260"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60"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60"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60"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2.86</v>
      </c>
      <c r="BD73" s="260"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60"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17.73</v>
      </c>
      <c r="BF73" s="260"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60"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60"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60" t="n">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3.27</v>
      </c>
      <c r="BJ73" s="260"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59"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7.9533</v>
      </c>
      <c r="BM73" s="74"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74"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74"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74"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13.57</v>
      </c>
      <c r="BQ73" s="74"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74"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13.1</v>
      </c>
      <c r="BS73" s="74"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74"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74"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74" t="n">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2.96</v>
      </c>
      <c r="BW73" s="74"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74"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9.8767</v>
      </c>
      <c r="BY73" s="74"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74"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74"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74"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2.62</v>
      </c>
      <c r="CC73" s="74"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74"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13.74</v>
      </c>
      <c r="CE73" s="74"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74"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74"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74" t="n">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4</v>
      </c>
      <c r="CI73" s="74"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74"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6.7867</v>
      </c>
      <c r="CK73" s="74"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74"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74"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74"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13.96</v>
      </c>
      <c r="CO73" s="74"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74"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14.39</v>
      </c>
      <c r="CQ73" s="74"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74"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74"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74" t="n">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5.43</v>
      </c>
      <c r="CU73" s="74"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74"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11.26</v>
      </c>
      <c r="CW73" s="74"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74"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74"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74"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14.12</v>
      </c>
      <c r="DA73" s="74"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74"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11.91</v>
      </c>
      <c r="DC73" s="74"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74"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74"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74" t="n">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3.79</v>
      </c>
      <c r="DG73" s="74"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74"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9.94</v>
      </c>
      <c r="DI73" s="74"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74"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74"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74"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2.78</v>
      </c>
      <c r="DM73" s="74"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74"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14.96</v>
      </c>
      <c r="DO73" s="74"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74"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74"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74" t="n">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3.11</v>
      </c>
      <c r="DS73" s="74"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74"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6.95</v>
      </c>
      <c r="DU73" s="261"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61"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61"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61"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2.53</v>
      </c>
      <c r="DY73" s="261"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61"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14.35</v>
      </c>
      <c r="EA73" s="261"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61"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61"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61" t="n">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5.63</v>
      </c>
      <c r="EE73" s="261"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62"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7.5033</v>
      </c>
      <c r="EG73" s="261"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61"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61"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61"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2.58</v>
      </c>
      <c r="EK73" s="261"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61"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17.83</v>
      </c>
      <c r="EM73" s="261"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61"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61"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61" t="n">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8.3</v>
      </c>
      <c r="EQ73" s="261"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62"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9.57</v>
      </c>
      <c r="ES73" s="261"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61"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61"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61"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18.1</v>
      </c>
      <c r="EW73" s="261"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61"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15.21</v>
      </c>
      <c r="EY73" s="261"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61"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61"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61" t="n">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7.84</v>
      </c>
      <c r="FC73" s="261"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62"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13.7167</v>
      </c>
      <c r="FE73" s="261"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61"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61"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61"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18.37</v>
      </c>
      <c r="FI73" s="261"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61"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12.03</v>
      </c>
      <c r="FK73" s="261"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61"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61"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61" t="n">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5.31</v>
      </c>
      <c r="FO73" s="261"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62"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11.9033</v>
      </c>
      <c r="FQ73" s="261"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61"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61"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61"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2.43</v>
      </c>
      <c r="FU73" s="261"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61"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16.09</v>
      </c>
      <c r="FW73" s="261"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61"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61"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61" t="n">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10.75</v>
      </c>
      <c r="GA73" s="261"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62"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9.7567</v>
      </c>
      <c r="GD73" s="74"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74"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74"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74"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2.48</v>
      </c>
      <c r="GH73" s="74"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74"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12.54</v>
      </c>
      <c r="GJ73" s="74"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74"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74"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74" t="n">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5.15</v>
      </c>
      <c r="GN73" s="74"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74"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6.7233</v>
      </c>
      <c r="GP73" s="74"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74"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74"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74"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2.52</v>
      </c>
      <c r="GT73" s="74"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74"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15.03</v>
      </c>
      <c r="GV73" s="74"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74"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74"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74" t="n">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7.26</v>
      </c>
      <c r="GZ73" s="74"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74"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8.27</v>
      </c>
      <c r="HB73" s="74"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74"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74"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74"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14.51</v>
      </c>
      <c r="HF73" s="74"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74"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13.17</v>
      </c>
      <c r="HH73" s="74"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74"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74"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74" t="n">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6.91</v>
      </c>
      <c r="HL73" s="74"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74"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11.53</v>
      </c>
      <c r="HN73" s="74"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74"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74"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74"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14.67</v>
      </c>
      <c r="HR73" s="74"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74"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10.76</v>
      </c>
      <c r="HT73" s="74"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74"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74"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74" t="n">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4.88</v>
      </c>
      <c r="HX73" s="74"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74"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10.1033</v>
      </c>
      <c r="HZ73" s="74"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74"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74"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74"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2.38</v>
      </c>
      <c r="ID73" s="74"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74"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13.81</v>
      </c>
      <c r="IF73" s="74"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74"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74"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74" t="n">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9.03</v>
      </c>
      <c r="IJ73" s="74"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74"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8.4067</v>
      </c>
    </row>
    <row r="74" customFormat="false" ht="15" hidden="false" customHeight="true" outlineLevel="0" collapsed="false">
      <c r="A74" s="263" t="s">
        <v>431</v>
      </c>
      <c r="B74" s="263" t="s">
        <v>331</v>
      </c>
      <c r="C74" s="264" t="n">
        <v>2000</v>
      </c>
      <c r="D74" s="265"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65"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65"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65"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16.74</v>
      </c>
      <c r="H74" s="265"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65"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15.24</v>
      </c>
      <c r="J74" s="265"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65"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65"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65" t="n">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3.1</v>
      </c>
      <c r="N74" s="265"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58"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11.6933</v>
      </c>
      <c r="P74" s="265"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65"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65"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65"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2.7</v>
      </c>
      <c r="T74" s="265"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65"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16.14</v>
      </c>
      <c r="V74" s="265"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65"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65"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65" t="n">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4.3</v>
      </c>
      <c r="Z74" s="265"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58"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7.7133</v>
      </c>
      <c r="AB74" s="265"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65"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65"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65"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17.36</v>
      </c>
      <c r="AF74" s="265"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65"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17.06</v>
      </c>
      <c r="AH74" s="265"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65"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65"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65" t="n">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6.01</v>
      </c>
      <c r="AL74" s="265"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59"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13.4767</v>
      </c>
      <c r="AN74" s="266"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66"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66"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66"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17.63</v>
      </c>
      <c r="AR74" s="266"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66"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13.62</v>
      </c>
      <c r="AT74" s="266"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66"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66"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66" t="n">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4.05</v>
      </c>
      <c r="AX74" s="266"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59"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11.7667</v>
      </c>
      <c r="AZ74" s="266"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66"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66"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66"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2.87</v>
      </c>
      <c r="BD74" s="266"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66"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17.9</v>
      </c>
      <c r="BF74" s="266"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66"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66"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66" t="n">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3.28</v>
      </c>
      <c r="BJ74" s="266"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59"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8.0167</v>
      </c>
      <c r="BM74" s="74"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74"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74"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74"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13.69</v>
      </c>
      <c r="BQ74" s="74"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74"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13.22</v>
      </c>
      <c r="BS74" s="74"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74"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74"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74" t="n">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2.97</v>
      </c>
      <c r="BW74" s="74"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74"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9.96</v>
      </c>
      <c r="BY74" s="74"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74"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74"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74"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2.63</v>
      </c>
      <c r="CC74" s="74"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74"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13.86</v>
      </c>
      <c r="CE74" s="74"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74"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74"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74" t="n">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4.02</v>
      </c>
      <c r="CI74" s="74"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74"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6.8367</v>
      </c>
      <c r="CK74" s="74"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74"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74"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74"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14.09</v>
      </c>
      <c r="CO74" s="74"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74"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14.52</v>
      </c>
      <c r="CQ74" s="74"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74"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74"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74" t="n">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5.46</v>
      </c>
      <c r="CU74" s="74"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74"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11.3567</v>
      </c>
      <c r="CW74" s="74"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74"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74"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74"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14.26</v>
      </c>
      <c r="DA74" s="74"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74"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12.01</v>
      </c>
      <c r="DC74" s="74"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74"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74"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74" t="n">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3.81</v>
      </c>
      <c r="DG74" s="74"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74"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10.0267</v>
      </c>
      <c r="DI74" s="74"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74"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74"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74"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2.79</v>
      </c>
      <c r="DM74" s="74"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74"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v>
      </c>
      <c r="DO74" s="74"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74"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74"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74" t="n">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3.13</v>
      </c>
      <c r="DS74" s="74"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74"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7.0067</v>
      </c>
      <c r="DU74" s="267"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67"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67"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67"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2.54</v>
      </c>
      <c r="DY74" s="267"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67"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14.46</v>
      </c>
      <c r="EA74" s="267"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67"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67"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67" t="n">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5.66</v>
      </c>
      <c r="EE74" s="267"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62"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7.5533</v>
      </c>
      <c r="EG74" s="267"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67"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67"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67"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2.59</v>
      </c>
      <c r="EK74" s="267"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67"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18</v>
      </c>
      <c r="EM74" s="267"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67"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67"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67" t="n">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8.35</v>
      </c>
      <c r="EQ74" s="267"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62"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9.6467</v>
      </c>
      <c r="ES74" s="267"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67"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67"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67"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18.27</v>
      </c>
      <c r="EW74" s="267"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67"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15.34</v>
      </c>
      <c r="EY74" s="267"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67"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67"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67" t="n">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7.89</v>
      </c>
      <c r="FC74" s="267"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62"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13.8333</v>
      </c>
      <c r="FE74" s="267"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67"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67"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67"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18.55</v>
      </c>
      <c r="FI74" s="267"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67"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12.12</v>
      </c>
      <c r="FK74" s="267"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67"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67"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67" t="n">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5.34</v>
      </c>
      <c r="FO74" s="267"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62"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12.0033</v>
      </c>
      <c r="FQ74" s="267"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67"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67"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67"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2.44</v>
      </c>
      <c r="FU74" s="267"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67"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16.24</v>
      </c>
      <c r="FW74" s="267"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67"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67"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67" t="n">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10.82</v>
      </c>
      <c r="GA74" s="267"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62"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9.8333</v>
      </c>
      <c r="GD74" s="74"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74"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74"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74"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2.48</v>
      </c>
      <c r="GH74" s="74"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74"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12.64</v>
      </c>
      <c r="GJ74" s="74"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74"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74"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74" t="n">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5.18</v>
      </c>
      <c r="GN74" s="74"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74"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6.7667</v>
      </c>
      <c r="GP74" s="74"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74"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74"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74"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2.52</v>
      </c>
      <c r="GT74" s="74"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74"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15.17</v>
      </c>
      <c r="GV74" s="74"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74"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74"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74" t="n">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7.3</v>
      </c>
      <c r="GZ74" s="74"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74"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8.33</v>
      </c>
      <c r="HB74" s="74"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74"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74"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74"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14.65</v>
      </c>
      <c r="HF74" s="74"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74"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13.29</v>
      </c>
      <c r="HH74" s="74"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74"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74"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74" t="n">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6.95</v>
      </c>
      <c r="HL74" s="74"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74"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11.63</v>
      </c>
      <c r="HN74" s="74"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74"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74"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74"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14.81</v>
      </c>
      <c r="HR74" s="74"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74"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10.84</v>
      </c>
      <c r="HT74" s="74"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74"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74"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74" t="n">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4.91</v>
      </c>
      <c r="HX74" s="74"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74"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10.1867</v>
      </c>
      <c r="HZ74" s="74"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74"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74"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74"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2.39</v>
      </c>
      <c r="ID74" s="74"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74"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13.94</v>
      </c>
      <c r="IF74" s="74"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74"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74"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74" t="n">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9.09</v>
      </c>
      <c r="IJ74" s="74"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74"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8.4733</v>
      </c>
    </row>
    <row r="75" customFormat="false" ht="15" hidden="false" customHeight="true" outlineLevel="0" collapsed="false">
      <c r="A75" s="226" t="s">
        <v>432</v>
      </c>
      <c r="B75" s="226" t="s">
        <v>331</v>
      </c>
      <c r="C75" s="230" t="n">
        <v>2050</v>
      </c>
      <c r="D75" s="231"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31"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31"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31"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16.9</v>
      </c>
      <c r="H75" s="231"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31"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15.37</v>
      </c>
      <c r="J75" s="231"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31"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31"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31" t="n">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3.12</v>
      </c>
      <c r="N75" s="231"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58"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11.7967</v>
      </c>
      <c r="P75" s="231"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31"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31"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31"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2.71</v>
      </c>
      <c r="T75" s="231"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31"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16.28</v>
      </c>
      <c r="V75" s="231"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31"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31"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31" t="n">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4.32</v>
      </c>
      <c r="Z75" s="231"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58"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7.77</v>
      </c>
      <c r="AB75" s="231"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31"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31"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31"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17.53</v>
      </c>
      <c r="AF75" s="231"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31"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17.22</v>
      </c>
      <c r="AH75" s="231"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31"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31"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31" t="n">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6.04</v>
      </c>
      <c r="AL75" s="231"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59"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13.5967</v>
      </c>
      <c r="AN75" s="260"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60"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60"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60"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17.81</v>
      </c>
      <c r="AR75" s="260"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60"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13.73</v>
      </c>
      <c r="AT75" s="260"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60"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60"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60" t="n">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4.08</v>
      </c>
      <c r="AX75" s="260"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59"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11.8733</v>
      </c>
      <c r="AZ75" s="260"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60"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60"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60"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2.88</v>
      </c>
      <c r="BD75" s="260"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60"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18.07</v>
      </c>
      <c r="BF75" s="260"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60"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60"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60" t="n">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3.3</v>
      </c>
      <c r="BJ75" s="260"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59"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8.0833</v>
      </c>
      <c r="BM75" s="74"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74"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74"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74"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13.82</v>
      </c>
      <c r="BQ75" s="74"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74"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13.33</v>
      </c>
      <c r="BS75" s="74"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74"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74"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74" t="n">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2.98</v>
      </c>
      <c r="BW75" s="74"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74"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10.0433</v>
      </c>
      <c r="BY75" s="74"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74"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74"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74"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2.64</v>
      </c>
      <c r="CC75" s="74"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74"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13.99</v>
      </c>
      <c r="CE75" s="74"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74"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74"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74" t="n">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4.04</v>
      </c>
      <c r="CI75" s="74"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74"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6.89</v>
      </c>
      <c r="CK75" s="74"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74"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74"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74"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14.22</v>
      </c>
      <c r="CO75" s="74"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74"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14.65</v>
      </c>
      <c r="CQ75" s="74"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74"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74"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74" t="n">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5.49</v>
      </c>
      <c r="CU75" s="74"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74"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11.4533</v>
      </c>
      <c r="CW75" s="74"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74"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74"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74"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14.39</v>
      </c>
      <c r="DA75" s="74"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74"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12.11</v>
      </c>
      <c r="DC75" s="74"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74"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74"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74" t="n">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3.83</v>
      </c>
      <c r="DG75" s="74"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74"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10.11</v>
      </c>
      <c r="DI75" s="74"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74"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74"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74"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2.8</v>
      </c>
      <c r="DM75" s="74"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74"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15.25</v>
      </c>
      <c r="DO75" s="74"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74"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74"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74" t="n">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3.14</v>
      </c>
      <c r="DS75" s="74"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74"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7.0633</v>
      </c>
      <c r="DU75" s="261"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61"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61"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61"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2.55</v>
      </c>
      <c r="DY75" s="261"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61"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14.59</v>
      </c>
      <c r="EA75" s="261"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61"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61"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61" t="n">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5.7</v>
      </c>
      <c r="EE75" s="261"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62"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7.6133</v>
      </c>
      <c r="EG75" s="261"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61"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61"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61"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2.6</v>
      </c>
      <c r="EK75" s="261"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61"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18.18</v>
      </c>
      <c r="EM75" s="261"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61"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61"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61" t="n">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8.41</v>
      </c>
      <c r="EQ75" s="261"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62"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9.73</v>
      </c>
      <c r="ES75" s="261"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61"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61"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61"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18.45</v>
      </c>
      <c r="EW75" s="261"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61"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15.47</v>
      </c>
      <c r="EY75" s="261"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61"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61"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61" t="n">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7.94</v>
      </c>
      <c r="FC75" s="261"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62"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13.9533</v>
      </c>
      <c r="FE75" s="261"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61"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61"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61"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18.73</v>
      </c>
      <c r="FI75" s="261"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61"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12.21</v>
      </c>
      <c r="FK75" s="261"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61"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61"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61" t="n">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5.37</v>
      </c>
      <c r="FO75" s="261"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62"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12.1033</v>
      </c>
      <c r="FQ75" s="261"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61"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61"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61"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2.45</v>
      </c>
      <c r="FU75" s="261"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61"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16.38</v>
      </c>
      <c r="FW75" s="261"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61"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61"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61" t="n">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10.9</v>
      </c>
      <c r="GA75" s="261"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62"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9.91</v>
      </c>
      <c r="GD75" s="74"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74"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74"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74"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2.49</v>
      </c>
      <c r="GH75" s="74"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74"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12.75</v>
      </c>
      <c r="GJ75" s="74"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74"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74"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74" t="n">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5.21</v>
      </c>
      <c r="GN75" s="74"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74"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6.8167</v>
      </c>
      <c r="GP75" s="74"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74"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74"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74"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2.53</v>
      </c>
      <c r="GT75" s="74"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74"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15.32</v>
      </c>
      <c r="GV75" s="74"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74"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74"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74" t="n">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7.35</v>
      </c>
      <c r="GZ75" s="74"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74"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8.4</v>
      </c>
      <c r="HB75" s="74"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74"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74"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74"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14.79</v>
      </c>
      <c r="HF75" s="74"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74"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13.4</v>
      </c>
      <c r="HH75" s="74"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74"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74"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74" t="n">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7</v>
      </c>
      <c r="HL75" s="74"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74"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11.73</v>
      </c>
      <c r="HN75" s="74"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74"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74"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74"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14.96</v>
      </c>
      <c r="HR75" s="74"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74"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10.92</v>
      </c>
      <c r="HT75" s="74"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74"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74"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74" t="n">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4.93</v>
      </c>
      <c r="HX75" s="74"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74"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10.27</v>
      </c>
      <c r="HZ75" s="74"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74"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74"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74"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2.39</v>
      </c>
      <c r="ID75" s="74"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74"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14.06</v>
      </c>
      <c r="IF75" s="74"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74"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74"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74" t="n">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9.15</v>
      </c>
      <c r="IJ75" s="74"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74"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8.5333</v>
      </c>
    </row>
    <row r="76" customFormat="false" ht="15" hidden="false" customHeight="true" outlineLevel="0" collapsed="false">
      <c r="A76" s="263" t="s">
        <v>433</v>
      </c>
      <c r="B76" s="263" t="s">
        <v>331</v>
      </c>
      <c r="C76" s="264" t="n">
        <v>2100</v>
      </c>
      <c r="D76" s="265"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65"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65"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65"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17.06</v>
      </c>
      <c r="H76" s="265"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65"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15.51</v>
      </c>
      <c r="J76" s="265"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65"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65"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65" t="n">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3.14</v>
      </c>
      <c r="N76" s="265"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58"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11.9033</v>
      </c>
      <c r="P76" s="265"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65"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65"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65"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2.72</v>
      </c>
      <c r="T76" s="265"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65"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16.44</v>
      </c>
      <c r="V76" s="265"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65"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65"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65" t="n">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4.35</v>
      </c>
      <c r="Z76" s="265"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58"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7.8367</v>
      </c>
      <c r="AB76" s="265"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65"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65"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65"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17.7</v>
      </c>
      <c r="AF76" s="265"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65"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17.39</v>
      </c>
      <c r="AH76" s="265"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65"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65"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65" t="n">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6.09</v>
      </c>
      <c r="AL76" s="265"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59"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13.7267</v>
      </c>
      <c r="AN76" s="266"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66"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66"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66"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17.98</v>
      </c>
      <c r="AR76" s="266"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66"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13.85</v>
      </c>
      <c r="AT76" s="266"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66"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66"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66" t="n">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4.1</v>
      </c>
      <c r="AX76" s="266"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59"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11.9767</v>
      </c>
      <c r="AZ76" s="266"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66"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66"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66"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2.9</v>
      </c>
      <c r="BD76" s="266"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66"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18.25</v>
      </c>
      <c r="BF76" s="266"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66"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66"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66" t="n">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3.32</v>
      </c>
      <c r="BJ76" s="266"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59"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8.1567</v>
      </c>
      <c r="BM76" s="74"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74"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74"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74"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13.95</v>
      </c>
      <c r="BQ76" s="74"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74"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13.45</v>
      </c>
      <c r="BS76" s="74"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74"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74"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74" t="n">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2.99</v>
      </c>
      <c r="BW76" s="74"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74"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10.13</v>
      </c>
      <c r="BY76" s="74"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74"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74"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74"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2.65</v>
      </c>
      <c r="CC76" s="74"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74"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14.12</v>
      </c>
      <c r="CE76" s="74"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74"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74"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74" t="n">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4.06</v>
      </c>
      <c r="CI76" s="74"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74"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6.9433</v>
      </c>
      <c r="CK76" s="74"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74"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74"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74"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14.36</v>
      </c>
      <c r="CO76" s="74"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74"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14.8</v>
      </c>
      <c r="CQ76" s="74"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74"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74"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74" t="n">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5.53</v>
      </c>
      <c r="CU76" s="74"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74"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11.5633</v>
      </c>
      <c r="CW76" s="74"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74"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74"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74"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14.54</v>
      </c>
      <c r="DA76" s="74"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74"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12.21</v>
      </c>
      <c r="DC76" s="74"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74"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74"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74" t="n">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3.85</v>
      </c>
      <c r="DG76" s="74"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74"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v>
      </c>
      <c r="DI76" s="74"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74"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74"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74"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2.81</v>
      </c>
      <c r="DM76" s="74"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74"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v>
      </c>
      <c r="DO76" s="74"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74"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74"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74" t="n">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3.16</v>
      </c>
      <c r="DS76" s="74"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74"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7.1233</v>
      </c>
      <c r="DU76" s="267"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67"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67"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67"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2.56</v>
      </c>
      <c r="DY76" s="267"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67"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14.72</v>
      </c>
      <c r="EA76" s="267"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67"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67"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67" t="n">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5.74</v>
      </c>
      <c r="EE76" s="267"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62"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7.6733</v>
      </c>
      <c r="EG76" s="267"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67"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67"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67"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2.61</v>
      </c>
      <c r="EK76" s="267"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67"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18.36</v>
      </c>
      <c r="EM76" s="267"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67"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67"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67" t="n">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8.47</v>
      </c>
      <c r="EQ76" s="267"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62"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9.8133</v>
      </c>
      <c r="ES76" s="267"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67"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67"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67"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18.64</v>
      </c>
      <c r="EW76" s="267"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67"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15.61</v>
      </c>
      <c r="EY76" s="267"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67"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67"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67" t="n">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8</v>
      </c>
      <c r="FC76" s="267"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62"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14.0833</v>
      </c>
      <c r="FE76" s="267"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67"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67"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67"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18.93</v>
      </c>
      <c r="FI76" s="267"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67"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12.31</v>
      </c>
      <c r="FK76" s="267"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67"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67"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67" t="n">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5.41</v>
      </c>
      <c r="FO76" s="267"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62"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12.2167</v>
      </c>
      <c r="FQ76" s="267"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67"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67"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67"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2.46</v>
      </c>
      <c r="FU76" s="267"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67"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16.54</v>
      </c>
      <c r="FW76" s="267"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67"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67"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67" t="n">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10.99</v>
      </c>
      <c r="GA76" s="267"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62"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9.9967</v>
      </c>
      <c r="GD76" s="74"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74"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74"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74"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2.5</v>
      </c>
      <c r="GH76" s="74"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74"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12.86</v>
      </c>
      <c r="GJ76" s="74"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74"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74"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74" t="n">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5.24</v>
      </c>
      <c r="GN76" s="74"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74"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6.8667</v>
      </c>
      <c r="GP76" s="74"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74"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74"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74"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2.54</v>
      </c>
      <c r="GT76" s="74"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74"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15.47</v>
      </c>
      <c r="GV76" s="74"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74"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74"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74" t="n">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7.4</v>
      </c>
      <c r="GZ76" s="74"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74"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8.47</v>
      </c>
      <c r="HB76" s="74"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74"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74"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74"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14.94</v>
      </c>
      <c r="HF76" s="74"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74"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13.53</v>
      </c>
      <c r="HH76" s="74"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74"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74"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74" t="n">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7.04</v>
      </c>
      <c r="HL76" s="74"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74"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11.8367</v>
      </c>
      <c r="HN76" s="74"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74"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74"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74"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15.12</v>
      </c>
      <c r="HR76" s="74"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74"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11.01</v>
      </c>
      <c r="HT76" s="74"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74"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74"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74" t="n">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4.97</v>
      </c>
      <c r="HX76" s="74"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74"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10.3667</v>
      </c>
      <c r="HZ76" s="74"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74"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74"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74"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2.4</v>
      </c>
      <c r="ID76" s="74"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74"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14.2</v>
      </c>
      <c r="IF76" s="74"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74"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74"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74" t="n">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9.22</v>
      </c>
      <c r="IJ76" s="74"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74"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8.6067</v>
      </c>
    </row>
    <row r="77" customFormat="false" ht="15" hidden="false" customHeight="true" outlineLevel="0" collapsed="false">
      <c r="A77" s="226" t="s">
        <v>434</v>
      </c>
      <c r="B77" s="226" t="s">
        <v>331</v>
      </c>
      <c r="C77" s="230" t="n">
        <v>2150</v>
      </c>
      <c r="D77" s="231"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31"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31"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31"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17.23</v>
      </c>
      <c r="H77" s="231"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31"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15.66</v>
      </c>
      <c r="J77" s="231"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31"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31"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31" t="n">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3.16</v>
      </c>
      <c r="N77" s="231"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58"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12.0167</v>
      </c>
      <c r="P77" s="231"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31"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31"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31"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2.74</v>
      </c>
      <c r="T77" s="231"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31"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16.6</v>
      </c>
      <c r="V77" s="231"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31"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31"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31" t="n">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4.38</v>
      </c>
      <c r="Z77" s="231"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58"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7.9067</v>
      </c>
      <c r="AB77" s="231"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31"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31"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31"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17.88</v>
      </c>
      <c r="AF77" s="231"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31"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17.56</v>
      </c>
      <c r="AH77" s="231"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31"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31"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31" t="n">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6.13</v>
      </c>
      <c r="AL77" s="231"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59"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13.8567</v>
      </c>
      <c r="AN77" s="260"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60"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60"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60"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18.17</v>
      </c>
      <c r="AR77" s="260"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60"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13.98</v>
      </c>
      <c r="AT77" s="260"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60"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60"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60" t="n">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4.13</v>
      </c>
      <c r="AX77" s="260"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59"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12.0933</v>
      </c>
      <c r="AZ77" s="260"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60"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60"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60"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2.91</v>
      </c>
      <c r="BD77" s="260"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60"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18.44</v>
      </c>
      <c r="BF77" s="260"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60"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60"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60" t="n">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3.34</v>
      </c>
      <c r="BJ77" s="260"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59"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8.23</v>
      </c>
      <c r="BM77" s="74"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74"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74"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74"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14.09</v>
      </c>
      <c r="BQ77" s="74"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74"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13.58</v>
      </c>
      <c r="BS77" s="74"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74"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74"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74" t="n">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3.01</v>
      </c>
      <c r="BW77" s="74"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74"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10.2267</v>
      </c>
      <c r="BY77" s="74"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74"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74"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74"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2.66</v>
      </c>
      <c r="CC77" s="74"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74"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14.26</v>
      </c>
      <c r="CE77" s="74"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74"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74"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74" t="n">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4.09</v>
      </c>
      <c r="CI77" s="74"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74"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7.0033</v>
      </c>
      <c r="CK77" s="74"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74"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74"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74"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14.51</v>
      </c>
      <c r="CO77" s="74"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74"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14.94</v>
      </c>
      <c r="CQ77" s="74"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74"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74"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74" t="n">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5.56</v>
      </c>
      <c r="CU77" s="74"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74"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11.67</v>
      </c>
      <c r="CW77" s="74"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74"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74"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74"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14.68</v>
      </c>
      <c r="DA77" s="74"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74"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12.32</v>
      </c>
      <c r="DC77" s="74"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74"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74"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74" t="n">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3.87</v>
      </c>
      <c r="DG77" s="74"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74"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10.29</v>
      </c>
      <c r="DI77" s="74"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74"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74"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74"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2.83</v>
      </c>
      <c r="DM77" s="74"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74"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15.56</v>
      </c>
      <c r="DO77" s="74"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74"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74"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74" t="n">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3.17</v>
      </c>
      <c r="DS77" s="74"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74"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7.1867</v>
      </c>
      <c r="DU77" s="261"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61"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61"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61"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2.57</v>
      </c>
      <c r="DY77" s="261"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61"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14.85</v>
      </c>
      <c r="EA77" s="261"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61"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61"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61" t="n">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5.78</v>
      </c>
      <c r="EE77" s="261"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62"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7.7333</v>
      </c>
      <c r="EG77" s="261"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61"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61"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61"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2.62</v>
      </c>
      <c r="EK77" s="261"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61"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18.55</v>
      </c>
      <c r="EM77" s="261"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61"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61"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61" t="n">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8.53</v>
      </c>
      <c r="EQ77" s="261"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62"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9.9</v>
      </c>
      <c r="ES77" s="261"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61"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61"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61"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18.84</v>
      </c>
      <c r="EW77" s="261"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61"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15.76</v>
      </c>
      <c r="EY77" s="261"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61"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61"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61" t="n">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8.06</v>
      </c>
      <c r="FC77" s="261"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62"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14.22</v>
      </c>
      <c r="FE77" s="261"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61"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61"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61"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19.13</v>
      </c>
      <c r="FI77" s="261"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61"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12.41</v>
      </c>
      <c r="FK77" s="261"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61"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61"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61" t="n">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5.45</v>
      </c>
      <c r="FO77" s="261"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62"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12.33</v>
      </c>
      <c r="FQ77" s="261"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61"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61"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61"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2.47</v>
      </c>
      <c r="FU77" s="261"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61"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16.7</v>
      </c>
      <c r="FW77" s="261"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61"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61"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61" t="n">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11.08</v>
      </c>
      <c r="GA77" s="261"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62"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10.0833</v>
      </c>
      <c r="GD77" s="74"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74"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74"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74"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2.51</v>
      </c>
      <c r="GH77" s="74"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74"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12.98</v>
      </c>
      <c r="GJ77" s="74"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74"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74"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74" t="n">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5.28</v>
      </c>
      <c r="GN77" s="74"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74"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6.9233</v>
      </c>
      <c r="GP77" s="74"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74"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74"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74"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2.55</v>
      </c>
      <c r="GT77" s="74"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74"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15.63</v>
      </c>
      <c r="GV77" s="74"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74"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74"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74" t="n">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7.46</v>
      </c>
      <c r="GZ77" s="74"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74"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8.5467</v>
      </c>
      <c r="HB77" s="74"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74"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74"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74"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15.1</v>
      </c>
      <c r="HF77" s="74"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74"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13.65</v>
      </c>
      <c r="HH77" s="74"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74"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74"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74" t="n">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7.1</v>
      </c>
      <c r="HL77" s="74"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74"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11.95</v>
      </c>
      <c r="HN77" s="74"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74"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74"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74"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15.27</v>
      </c>
      <c r="HR77" s="74"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74"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11.1</v>
      </c>
      <c r="HT77" s="74"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74"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74"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74" t="n">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5</v>
      </c>
      <c r="HX77" s="74"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74"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10.4567</v>
      </c>
      <c r="HZ77" s="74"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74"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74"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74"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2.41</v>
      </c>
      <c r="ID77" s="74"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74"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14.33</v>
      </c>
      <c r="IF77" s="74"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74"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74"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74" t="n">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9.3</v>
      </c>
      <c r="IJ77" s="74"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74"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8.68</v>
      </c>
    </row>
    <row r="78" customFormat="false" ht="15" hidden="false" customHeight="true" outlineLevel="0" collapsed="false">
      <c r="A78" s="263" t="s">
        <v>435</v>
      </c>
      <c r="B78" s="263" t="s">
        <v>331</v>
      </c>
      <c r="C78" s="264" t="n">
        <v>2200</v>
      </c>
      <c r="D78" s="265"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65"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65"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65"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17.4</v>
      </c>
      <c r="H78" s="265"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65"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15.81</v>
      </c>
      <c r="J78" s="265"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65"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65"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65" t="n">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3.18</v>
      </c>
      <c r="N78" s="265"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58"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12.13</v>
      </c>
      <c r="P78" s="265"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65"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65"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65"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2.75</v>
      </c>
      <c r="T78" s="265"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65"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16.76</v>
      </c>
      <c r="V78" s="265"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65"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65"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65" t="n">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4.41</v>
      </c>
      <c r="Z78" s="265"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58"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7.9733</v>
      </c>
      <c r="AB78" s="265"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65"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65"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65"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18.07</v>
      </c>
      <c r="AF78" s="265"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65"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17.74</v>
      </c>
      <c r="AH78" s="265"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65"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65"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65" t="n">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6.17</v>
      </c>
      <c r="AL78" s="265"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59"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13.9933</v>
      </c>
      <c r="AN78" s="266"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66"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66"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66"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18.36</v>
      </c>
      <c r="AR78" s="266"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66"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14.1</v>
      </c>
      <c r="AT78" s="266"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66"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66"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66" t="n">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4.16</v>
      </c>
      <c r="AX78" s="266"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59"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12.2067</v>
      </c>
      <c r="AZ78" s="266"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66"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66"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66"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2.93</v>
      </c>
      <c r="BD78" s="266"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66"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18.64</v>
      </c>
      <c r="BF78" s="266"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66"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66"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66" t="n">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3.36</v>
      </c>
      <c r="BJ78" s="266"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59"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8.31</v>
      </c>
      <c r="BM78" s="74"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74"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74"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74"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14.23</v>
      </c>
      <c r="BQ78" s="74"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74"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13.71</v>
      </c>
      <c r="BS78" s="74"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74"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74"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74" t="n">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3.03</v>
      </c>
      <c r="BW78" s="74"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74"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10.3233</v>
      </c>
      <c r="BY78" s="74"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74"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74"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74"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2.68</v>
      </c>
      <c r="CC78" s="74"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74"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14.4</v>
      </c>
      <c r="CE78" s="74"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74"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74"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74" t="n">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4.12</v>
      </c>
      <c r="CI78" s="74"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74"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7.0667</v>
      </c>
      <c r="CK78" s="74"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74"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74"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74"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14.65</v>
      </c>
      <c r="CO78" s="74"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74"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15.1</v>
      </c>
      <c r="CQ78" s="74"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74"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74"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74" t="n">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5.61</v>
      </c>
      <c r="CU78" s="74"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74"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11.7867</v>
      </c>
      <c r="CW78" s="74"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74"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74"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74"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14.84</v>
      </c>
      <c r="DA78" s="74"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74"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12.43</v>
      </c>
      <c r="DC78" s="74"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74"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74"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74" t="n">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3.9</v>
      </c>
      <c r="DG78" s="74"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74"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10.39</v>
      </c>
      <c r="DI78" s="74"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74"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74"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74"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2.84</v>
      </c>
      <c r="DM78" s="74"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74"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15.72</v>
      </c>
      <c r="DO78" s="74"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74"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74"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74" t="n">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3.19</v>
      </c>
      <c r="DS78" s="74"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74"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7.25</v>
      </c>
      <c r="DU78" s="267"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67"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67"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67"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2.59</v>
      </c>
      <c r="DY78" s="267"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67"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14.99</v>
      </c>
      <c r="EA78" s="267"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67"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67"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67" t="n">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5.82</v>
      </c>
      <c r="EE78" s="267"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62"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7.8</v>
      </c>
      <c r="EG78" s="267"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67"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67"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67"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2.64</v>
      </c>
      <c r="EK78" s="267"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67"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18.75</v>
      </c>
      <c r="EM78" s="267"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67"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67"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67" t="n">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8.6</v>
      </c>
      <c r="EQ78" s="267"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62"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9.9967</v>
      </c>
      <c r="ES78" s="267"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67"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67"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67"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19.04</v>
      </c>
      <c r="EW78" s="267"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67"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15.91</v>
      </c>
      <c r="EY78" s="267"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67"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67"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67" t="n">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8.12</v>
      </c>
      <c r="FC78" s="267"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62"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14.3567</v>
      </c>
      <c r="FE78" s="267"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67"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67"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67"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19.33</v>
      </c>
      <c r="FI78" s="267"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67"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12.52</v>
      </c>
      <c r="FK78" s="267"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67"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67"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67" t="n">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5.48</v>
      </c>
      <c r="FO78" s="267"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62"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12.4433</v>
      </c>
      <c r="FQ78" s="267"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67"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67"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67"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2.48</v>
      </c>
      <c r="FU78" s="267"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67"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16.87</v>
      </c>
      <c r="FW78" s="267"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67"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67"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67" t="n">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11.17</v>
      </c>
      <c r="GA78" s="267"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62"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10.1733</v>
      </c>
      <c r="GD78" s="74"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74"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74"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74"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2.52</v>
      </c>
      <c r="GH78" s="74"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74"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13.1</v>
      </c>
      <c r="GJ78" s="74"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74"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74"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74" t="n">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5.31</v>
      </c>
      <c r="GN78" s="74"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74"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6.9767</v>
      </c>
      <c r="GP78" s="74"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74"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74"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74"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2.57</v>
      </c>
      <c r="GT78" s="74"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74"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15.8</v>
      </c>
      <c r="GV78" s="74"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74"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74"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74" t="n">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7.51</v>
      </c>
      <c r="GZ78" s="74"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74"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8.6267</v>
      </c>
      <c r="HB78" s="74"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74"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74"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74"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15.26</v>
      </c>
      <c r="HF78" s="74"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74"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13.78</v>
      </c>
      <c r="HH78" s="74"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74"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74"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74" t="n">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7.15</v>
      </c>
      <c r="HL78" s="74"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74"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12.0633</v>
      </c>
      <c r="HN78" s="74"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74"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74"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74"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15.44</v>
      </c>
      <c r="HR78" s="74"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74"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11.2</v>
      </c>
      <c r="HT78" s="74"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74"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74"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74" t="n">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5.03</v>
      </c>
      <c r="HX78" s="74"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74"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10.5567</v>
      </c>
      <c r="HZ78" s="74"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74"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74"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74"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2.42</v>
      </c>
      <c r="ID78" s="74"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74"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14.47</v>
      </c>
      <c r="IF78" s="74"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74"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74"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74" t="n">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9.38</v>
      </c>
      <c r="IJ78" s="74"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74"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8.7567</v>
      </c>
    </row>
    <row r="79" customFormat="false" ht="15" hidden="false" customHeight="true" outlineLevel="0" collapsed="false">
      <c r="A79" s="226" t="s">
        <v>436</v>
      </c>
      <c r="B79" s="226" t="s">
        <v>331</v>
      </c>
      <c r="C79" s="230" t="n">
        <v>2250</v>
      </c>
      <c r="D79" s="231"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31"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31"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31"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17.58</v>
      </c>
      <c r="H79" s="231"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31"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15.96</v>
      </c>
      <c r="J79" s="231"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31"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31"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31" t="n">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3.2</v>
      </c>
      <c r="N79" s="231"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58"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12.2467</v>
      </c>
      <c r="P79" s="231"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31"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31"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31"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2.77</v>
      </c>
      <c r="T79" s="231"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31"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16.93</v>
      </c>
      <c r="V79" s="231"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31"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31"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31" t="n">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4.44</v>
      </c>
      <c r="Z79" s="231"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58"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8.0467</v>
      </c>
      <c r="AB79" s="231"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31"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31"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31"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18.26</v>
      </c>
      <c r="AF79" s="231"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31"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17.92</v>
      </c>
      <c r="AH79" s="231"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31"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31"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31" t="n">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6.22</v>
      </c>
      <c r="AL79" s="231"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59"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14.1333</v>
      </c>
      <c r="AN79" s="260"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60"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60"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60"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18.55</v>
      </c>
      <c r="AR79" s="260"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60"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14.24</v>
      </c>
      <c r="AT79" s="260"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60"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60"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60" t="n">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4.19</v>
      </c>
      <c r="AX79" s="260"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59"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12.3267</v>
      </c>
      <c r="AZ79" s="260"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60"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60"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60"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2.95</v>
      </c>
      <c r="BD79" s="260"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60"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18.84</v>
      </c>
      <c r="BF79" s="260"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60"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60"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60" t="n">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3.38</v>
      </c>
      <c r="BJ79" s="260"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59"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8.39</v>
      </c>
      <c r="BM79" s="74"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74"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74"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74"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14.38</v>
      </c>
      <c r="BQ79" s="74"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74"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13.84</v>
      </c>
      <c r="BS79" s="74"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74"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74"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74" t="n">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3.05</v>
      </c>
      <c r="BW79" s="74"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74"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10.4233</v>
      </c>
      <c r="BY79" s="74"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74"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74"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74"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2.69</v>
      </c>
      <c r="CC79" s="74"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74"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14.54</v>
      </c>
      <c r="CE79" s="74"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74"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74"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74" t="n">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4.15</v>
      </c>
      <c r="CI79" s="74"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74"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7.1267</v>
      </c>
      <c r="CK79" s="74"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74"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74"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74"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14.81</v>
      </c>
      <c r="CO79" s="74"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74"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15.25</v>
      </c>
      <c r="CQ79" s="74"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74"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74"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74" t="n">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5.65</v>
      </c>
      <c r="CU79" s="74"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74"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11.9033</v>
      </c>
      <c r="CW79" s="74"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74"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74"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74"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14.99</v>
      </c>
      <c r="DA79" s="74"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74"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12.54</v>
      </c>
      <c r="DC79" s="74"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74"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74"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74" t="n">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3.93</v>
      </c>
      <c r="DG79" s="74"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74"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10.4867</v>
      </c>
      <c r="DI79" s="74"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74"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74"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74"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2.86</v>
      </c>
      <c r="DM79" s="74"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74"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15.89</v>
      </c>
      <c r="DO79" s="74"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74"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74"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74" t="n">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3.22</v>
      </c>
      <c r="DS79" s="74"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74"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7.3233</v>
      </c>
      <c r="DU79" s="261"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61"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61"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61"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2.6</v>
      </c>
      <c r="DY79" s="261"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61"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15.13</v>
      </c>
      <c r="EA79" s="261"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61"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61"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61" t="n">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5.86</v>
      </c>
      <c r="EE79" s="261"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62"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7.8633</v>
      </c>
      <c r="EG79" s="261"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61"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61"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61"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2.65</v>
      </c>
      <c r="EK79" s="261"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61"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18.95</v>
      </c>
      <c r="EM79" s="261"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61"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61"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61" t="n">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8.67</v>
      </c>
      <c r="EQ79" s="261"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62"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10.09</v>
      </c>
      <c r="ES79" s="261"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61"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61"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61"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19.24</v>
      </c>
      <c r="EW79" s="261"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61"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16.07</v>
      </c>
      <c r="EY79" s="261"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61"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61"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61" t="n">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8.19</v>
      </c>
      <c r="FC79" s="261"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62"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14.5</v>
      </c>
      <c r="FE79" s="261"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61"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61"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61"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19.54</v>
      </c>
      <c r="FI79" s="261"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61"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12.63</v>
      </c>
      <c r="FK79" s="261"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61"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61"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61" t="n">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5.53</v>
      </c>
      <c r="FO79" s="261"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62"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12.5667</v>
      </c>
      <c r="FQ79" s="261"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61"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61"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61"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2.5</v>
      </c>
      <c r="FU79" s="261"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61"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17.04</v>
      </c>
      <c r="FW79" s="261"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61"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61"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61" t="n">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11.27</v>
      </c>
      <c r="GA79" s="261"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62"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10.27</v>
      </c>
      <c r="GD79" s="74"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74"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74"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74"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2.54</v>
      </c>
      <c r="GH79" s="74"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74"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13.23</v>
      </c>
      <c r="GJ79" s="74"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74"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74"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74" t="n">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5.35</v>
      </c>
      <c r="GN79" s="74"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74"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7.04</v>
      </c>
      <c r="GP79" s="74"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74"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74"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74"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2.58</v>
      </c>
      <c r="GT79" s="74"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74"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15.96</v>
      </c>
      <c r="GV79" s="74"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74"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74"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74" t="n">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7.57</v>
      </c>
      <c r="GZ79" s="74"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74"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8.7033</v>
      </c>
      <c r="HB79" s="74"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74"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74"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74"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15.42</v>
      </c>
      <c r="HF79" s="74"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74"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13.92</v>
      </c>
      <c r="HH79" s="74"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74"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74"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74" t="n">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7.21</v>
      </c>
      <c r="HL79" s="74"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74"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12.1833</v>
      </c>
      <c r="HN79" s="74"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74"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74"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74"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15.61</v>
      </c>
      <c r="HR79" s="74"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74"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11.3</v>
      </c>
      <c r="HT79" s="74"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74"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74"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74" t="n">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5.07</v>
      </c>
      <c r="HX79" s="74"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74"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10.66</v>
      </c>
      <c r="HZ79" s="74"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74"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74"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74"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2.44</v>
      </c>
      <c r="ID79" s="74"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74"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14.62</v>
      </c>
      <c r="IF79" s="74"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74"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74"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74" t="n">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9.46</v>
      </c>
      <c r="IJ79" s="74"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74"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8.84</v>
      </c>
    </row>
    <row r="80" customFormat="false" ht="15" hidden="false" customHeight="true" outlineLevel="0" collapsed="false">
      <c r="A80" s="263" t="s">
        <v>437</v>
      </c>
      <c r="B80" s="263" t="s">
        <v>331</v>
      </c>
      <c r="C80" s="264" t="n">
        <v>2300</v>
      </c>
      <c r="D80" s="265"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65"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65"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65"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17.77</v>
      </c>
      <c r="H80" s="265"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65"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16.12</v>
      </c>
      <c r="J80" s="265"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65"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65"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65" t="n">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3.22</v>
      </c>
      <c r="N80" s="265"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58"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12.37</v>
      </c>
      <c r="P80" s="265"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65"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65"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65"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2.79</v>
      </c>
      <c r="T80" s="265"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65"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17.1</v>
      </c>
      <c r="V80" s="265"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65"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65"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65" t="n">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4.48</v>
      </c>
      <c r="Z80" s="265"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58"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8.1233</v>
      </c>
      <c r="AB80" s="265"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65"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65"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65"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18.45</v>
      </c>
      <c r="AF80" s="265"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65"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18.11</v>
      </c>
      <c r="AH80" s="265"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65"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65"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65" t="n">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6.27</v>
      </c>
      <c r="AL80" s="265"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59"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14.2767</v>
      </c>
      <c r="AN80" s="266"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66"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66"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66"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18.75</v>
      </c>
      <c r="AR80" s="266"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66"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14.37</v>
      </c>
      <c r="AT80" s="266"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66"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66"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66" t="n">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4.22</v>
      </c>
      <c r="AX80" s="266"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59"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12.4467</v>
      </c>
      <c r="AZ80" s="266"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66"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66"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66"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2.97</v>
      </c>
      <c r="BD80" s="266"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66"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19.04</v>
      </c>
      <c r="BF80" s="266"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66"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66"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66" t="n">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3.41</v>
      </c>
      <c r="BJ80" s="266"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59"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8.4733</v>
      </c>
      <c r="BM80" s="74"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74"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74"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74"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14.53</v>
      </c>
      <c r="BQ80" s="74"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74"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13.98</v>
      </c>
      <c r="BS80" s="74"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74"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74"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74" t="n">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3.07</v>
      </c>
      <c r="BW80" s="74"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74"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10.5267</v>
      </c>
      <c r="BY80" s="74"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74"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74"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74"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2.71</v>
      </c>
      <c r="CC80" s="74"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74"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14.69</v>
      </c>
      <c r="CE80" s="74"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74"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74"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74" t="n">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4.18</v>
      </c>
      <c r="CI80" s="74"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74"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7.1933</v>
      </c>
      <c r="CK80" s="74"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74"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74"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74"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14.96</v>
      </c>
      <c r="CO80" s="74"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74"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15.41</v>
      </c>
      <c r="CQ80" s="74"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74"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74"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74" t="n">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5.69</v>
      </c>
      <c r="CU80" s="74"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74"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12.02</v>
      </c>
      <c r="CW80" s="74"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74"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74"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74"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15.15</v>
      </c>
      <c r="DA80" s="74"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74"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12.66</v>
      </c>
      <c r="DC80" s="74"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74"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74"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74" t="n">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3.96</v>
      </c>
      <c r="DG80" s="74"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74"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10.59</v>
      </c>
      <c r="DI80" s="74"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74"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74"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74"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2.88</v>
      </c>
      <c r="DM80" s="74"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74"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16.06</v>
      </c>
      <c r="DO80" s="74"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74"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74"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74" t="n">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3.24</v>
      </c>
      <c r="DS80" s="74"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74"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7.3933</v>
      </c>
      <c r="DU80" s="267"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67"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67"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67"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2.62</v>
      </c>
      <c r="DY80" s="267"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67"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15.28</v>
      </c>
      <c r="EA80" s="267"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67"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67"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67" t="n">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5.91</v>
      </c>
      <c r="EE80" s="267"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62"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7.9367</v>
      </c>
      <c r="EG80" s="267"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67"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67"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67"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2.67</v>
      </c>
      <c r="EK80" s="267"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67"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19.15</v>
      </c>
      <c r="EM80" s="267"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67"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67"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67" t="n">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8.74</v>
      </c>
      <c r="EQ80" s="267"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62"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10.1867</v>
      </c>
      <c r="ES80" s="267"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67"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67"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67"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19.45</v>
      </c>
      <c r="EW80" s="267"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67"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16.23</v>
      </c>
      <c r="EY80" s="267"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67"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67"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67" t="n">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8.25</v>
      </c>
      <c r="FC80" s="267"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62"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14.6433</v>
      </c>
      <c r="FE80" s="267"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67"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67"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67"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19.76</v>
      </c>
      <c r="FI80" s="267"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67"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12.75</v>
      </c>
      <c r="FK80" s="267"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67"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67"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67" t="n">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5.57</v>
      </c>
      <c r="FO80" s="267"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62"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12.6933</v>
      </c>
      <c r="FQ80" s="267"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67"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67"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67"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2.51</v>
      </c>
      <c r="FU80" s="267"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67"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17.21</v>
      </c>
      <c r="FW80" s="267"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67"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67"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67" t="n">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11.37</v>
      </c>
      <c r="GA80" s="267"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62"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10.3633</v>
      </c>
      <c r="GD80" s="74"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74"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74"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74"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2.55</v>
      </c>
      <c r="GH80" s="74"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74"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13.35</v>
      </c>
      <c r="GJ80" s="74"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74"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74"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74" t="n">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5.4</v>
      </c>
      <c r="GN80" s="74"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74"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7.1</v>
      </c>
      <c r="GP80" s="74"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74"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74"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74"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2.6</v>
      </c>
      <c r="GT80" s="74"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74"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16.14</v>
      </c>
      <c r="GV80" s="74"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74"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74"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74" t="n">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7.64</v>
      </c>
      <c r="GZ80" s="74"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74"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8.7933</v>
      </c>
      <c r="HB80" s="74"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74"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74"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74"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15.59</v>
      </c>
      <c r="HF80" s="74"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74"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14.06</v>
      </c>
      <c r="HH80" s="74"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74"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74"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74" t="n">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7.27</v>
      </c>
      <c r="HL80" s="74"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74"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12.3067</v>
      </c>
      <c r="HN80" s="74"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74"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74"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74"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15.78</v>
      </c>
      <c r="HR80" s="74"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74"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11.4</v>
      </c>
      <c r="HT80" s="74"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74"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74"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74" t="n">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5.11</v>
      </c>
      <c r="HX80" s="74"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74"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10.7633</v>
      </c>
      <c r="HZ80" s="74"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74"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74"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74"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2.45</v>
      </c>
      <c r="ID80" s="74"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74"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14.77</v>
      </c>
      <c r="IF80" s="74"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74"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74"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74" t="n">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9.54</v>
      </c>
      <c r="IJ80" s="74"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74"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8.92</v>
      </c>
    </row>
    <row r="81" customFormat="false" ht="15" hidden="false" customHeight="true" outlineLevel="0" collapsed="false">
      <c r="A81" s="226" t="s">
        <v>438</v>
      </c>
      <c r="B81" s="226" t="s">
        <v>331</v>
      </c>
      <c r="C81" s="230" t="n">
        <v>2350</v>
      </c>
      <c r="D81" s="231"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31"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31"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31"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17.95</v>
      </c>
      <c r="H81" s="231"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31"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16.29</v>
      </c>
      <c r="J81" s="231"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31"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31"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31" t="n">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3.25</v>
      </c>
      <c r="N81" s="231"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58"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12.4967</v>
      </c>
      <c r="P81" s="231"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31"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31"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31"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2.81</v>
      </c>
      <c r="T81" s="231"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31"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17.28</v>
      </c>
      <c r="V81" s="231"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31"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31"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31" t="n">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4.51</v>
      </c>
      <c r="Z81" s="231"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58"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8.2</v>
      </c>
      <c r="AB81" s="231"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31"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31"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31"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18.65</v>
      </c>
      <c r="AF81" s="231"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31"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18.31</v>
      </c>
      <c r="AH81" s="231"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31"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31"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31" t="n">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6.32</v>
      </c>
      <c r="AL81" s="231"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59"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14.4267</v>
      </c>
      <c r="AN81" s="260"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60"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60"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60"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18.95</v>
      </c>
      <c r="AR81" s="260"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60"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14.51</v>
      </c>
      <c r="AT81" s="260"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60"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60"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60" t="n">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4.25</v>
      </c>
      <c r="AX81" s="260"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59"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12.57</v>
      </c>
      <c r="AZ81" s="260"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60"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60"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60"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2.99</v>
      </c>
      <c r="BD81" s="260"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60"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19.25</v>
      </c>
      <c r="BF81" s="260"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60"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60"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60" t="n">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3.43</v>
      </c>
      <c r="BJ81" s="260"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59"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8.5567</v>
      </c>
      <c r="BM81" s="74"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74"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74"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74"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14.68</v>
      </c>
      <c r="BQ81" s="74"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74"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14.12</v>
      </c>
      <c r="BS81" s="74"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74"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74"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74" t="n">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3.09</v>
      </c>
      <c r="BW81" s="74"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74"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10.63</v>
      </c>
      <c r="BY81" s="74"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74"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74"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74"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2.73</v>
      </c>
      <c r="CC81" s="74"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74"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14.85</v>
      </c>
      <c r="CE81" s="74"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74"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74"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74" t="n">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4.21</v>
      </c>
      <c r="CI81" s="74"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74"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7.2633</v>
      </c>
      <c r="CK81" s="74"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74"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74"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74"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15.12</v>
      </c>
      <c r="CO81" s="74"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74"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15.58</v>
      </c>
      <c r="CQ81" s="74"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74"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74"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74" t="n">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5.74</v>
      </c>
      <c r="CU81" s="74"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74"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12.1467</v>
      </c>
      <c r="CW81" s="74"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74"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74"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74"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15.32</v>
      </c>
      <c r="DA81" s="74"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74"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12.79</v>
      </c>
      <c r="DC81" s="74"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74"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74"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74" t="n">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3.99</v>
      </c>
      <c r="DG81" s="74"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74"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10.7</v>
      </c>
      <c r="DI81" s="74"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74"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74"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74"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2.9</v>
      </c>
      <c r="DM81" s="74"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74"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16.23</v>
      </c>
      <c r="DO81" s="74"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74"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74"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74" t="n">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3.26</v>
      </c>
      <c r="DS81" s="74"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74"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7.4633</v>
      </c>
      <c r="DU81" s="261"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61"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61"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61"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2.64</v>
      </c>
      <c r="DY81" s="261"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61"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15.44</v>
      </c>
      <c r="EA81" s="261"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61"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61"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61" t="n">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5.96</v>
      </c>
      <c r="EE81" s="261"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62"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8.0133</v>
      </c>
      <c r="EG81" s="261"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61"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61"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61"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2.69</v>
      </c>
      <c r="EK81" s="261"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61"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19.36</v>
      </c>
      <c r="EM81" s="261"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61"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61"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61" t="n">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8.82</v>
      </c>
      <c r="EQ81" s="261"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62"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10.29</v>
      </c>
      <c r="ES81" s="261"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61"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61"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61"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19.67</v>
      </c>
      <c r="EW81" s="261"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61"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16.4</v>
      </c>
      <c r="EY81" s="261"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61"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61"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61" t="n">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8.32</v>
      </c>
      <c r="FC81" s="261"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62"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14.7967</v>
      </c>
      <c r="FE81" s="261"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61"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61"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61"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19.98</v>
      </c>
      <c r="FI81" s="261"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61"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12.87</v>
      </c>
      <c r="FK81" s="261"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61"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61"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61" t="n">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5.62</v>
      </c>
      <c r="FO81" s="261"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62"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12.8233</v>
      </c>
      <c r="FQ81" s="261"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61"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61"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61"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2.53</v>
      </c>
      <c r="FU81" s="261"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61"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17.39</v>
      </c>
      <c r="FW81" s="261"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61"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61"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61" t="n">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11.47</v>
      </c>
      <c r="GA81" s="261"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62"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10.4633</v>
      </c>
      <c r="GD81" s="74"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74"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74"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74"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2.57</v>
      </c>
      <c r="GH81" s="74"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74"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13.49</v>
      </c>
      <c r="GJ81" s="74"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74"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74"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74" t="n">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5.44</v>
      </c>
      <c r="GN81" s="74"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74"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7.1667</v>
      </c>
      <c r="GP81" s="74"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74"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74"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74"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2.62</v>
      </c>
      <c r="GT81" s="74"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74"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16.31</v>
      </c>
      <c r="GV81" s="74"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74"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74"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74" t="n">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7.7</v>
      </c>
      <c r="GZ81" s="74"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74"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8.8767</v>
      </c>
      <c r="HB81" s="74"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74"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74"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74"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15.76</v>
      </c>
      <c r="HF81" s="74"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74"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14.2</v>
      </c>
      <c r="HH81" s="74"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74"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74"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74" t="n">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7.33</v>
      </c>
      <c r="HL81" s="74"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74"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12.43</v>
      </c>
      <c r="HN81" s="74"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74"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74"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74"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15.95</v>
      </c>
      <c r="HR81" s="74"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74"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11.51</v>
      </c>
      <c r="HT81" s="74"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74"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74"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74" t="n">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5.15</v>
      </c>
      <c r="HX81" s="74"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74"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10.87</v>
      </c>
      <c r="HZ81" s="74"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74"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74"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74"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2.47</v>
      </c>
      <c r="ID81" s="74"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74"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14.93</v>
      </c>
      <c r="IF81" s="74"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74"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74"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74" t="n">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9.62</v>
      </c>
      <c r="IJ81" s="74"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74"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9.0067</v>
      </c>
    </row>
    <row r="82" customFormat="false" ht="15" hidden="false" customHeight="true" outlineLevel="0" collapsed="false">
      <c r="A82" s="263" t="s">
        <v>439</v>
      </c>
      <c r="B82" s="263" t="s">
        <v>331</v>
      </c>
      <c r="C82" s="264" t="n">
        <v>2400</v>
      </c>
      <c r="D82" s="265"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65"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65"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65"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18.15</v>
      </c>
      <c r="H82" s="265"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65"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16.46</v>
      </c>
      <c r="J82" s="265"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65"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65"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65" t="n">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3.27</v>
      </c>
      <c r="N82" s="265"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58"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12.6267</v>
      </c>
      <c r="P82" s="265"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65"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65"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65"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2.83</v>
      </c>
      <c r="T82" s="265"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65"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17.46</v>
      </c>
      <c r="V82" s="265"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65"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65"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65" t="n">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4.55</v>
      </c>
      <c r="Z82" s="265"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58"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8.28</v>
      </c>
      <c r="AB82" s="265"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65"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65"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65"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18.85</v>
      </c>
      <c r="AF82" s="265"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65"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18.5</v>
      </c>
      <c r="AH82" s="265"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65"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65"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65" t="n">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6.38</v>
      </c>
      <c r="AL82" s="265"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59"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14.5767</v>
      </c>
      <c r="AN82" s="266"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66"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66"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66"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19.16</v>
      </c>
      <c r="AR82" s="266"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66"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14.66</v>
      </c>
      <c r="AT82" s="266"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66"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66"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66" t="n">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4.29</v>
      </c>
      <c r="AX82" s="266"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59"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12.7033</v>
      </c>
      <c r="AZ82" s="266"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66"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66"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66"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3.02</v>
      </c>
      <c r="BD82" s="266"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66"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19.46</v>
      </c>
      <c r="BF82" s="266"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66"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66"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66" t="n">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3.46</v>
      </c>
      <c r="BJ82" s="266"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59"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8.6467</v>
      </c>
      <c r="BM82" s="74"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74"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74"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74"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14.84</v>
      </c>
      <c r="BQ82" s="74"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74"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14.27</v>
      </c>
      <c r="BS82" s="74"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74"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74"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74" t="n">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3.12</v>
      </c>
      <c r="BW82" s="74"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74"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10.7433</v>
      </c>
      <c r="BY82" s="74"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74"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74"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74"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2.75</v>
      </c>
      <c r="CC82" s="74"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74"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15</v>
      </c>
      <c r="CE82" s="74"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74"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74"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74" t="n">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4.25</v>
      </c>
      <c r="CI82" s="74"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74"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7.3333</v>
      </c>
      <c r="CK82" s="74"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74"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74"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74"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15.29</v>
      </c>
      <c r="CO82" s="74"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74"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15.74</v>
      </c>
      <c r="CQ82" s="74"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74"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74"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74" t="n">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5.79</v>
      </c>
      <c r="CU82" s="74"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74"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12.2733</v>
      </c>
      <c r="CW82" s="74"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74"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74"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74"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15.48</v>
      </c>
      <c r="DA82" s="74"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74"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12.91</v>
      </c>
      <c r="DC82" s="74"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74"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74"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74" t="n">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4.02</v>
      </c>
      <c r="DG82" s="74"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74"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10.8033</v>
      </c>
      <c r="DI82" s="74"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74"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74"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74"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2.92</v>
      </c>
      <c r="DM82" s="74"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74"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16.41</v>
      </c>
      <c r="DO82" s="74"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74"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74"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74" t="n">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3.29</v>
      </c>
      <c r="DS82" s="74"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74"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7.54</v>
      </c>
      <c r="DU82" s="267"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67"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67"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67"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2.66</v>
      </c>
      <c r="DY82" s="267"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67"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15.59</v>
      </c>
      <c r="EA82" s="267"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67"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67"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67" t="n">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6.01</v>
      </c>
      <c r="EE82" s="267"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62"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8.0867</v>
      </c>
      <c r="EG82" s="267"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67"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67"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67"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2.71</v>
      </c>
      <c r="EK82" s="267"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67"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19.58</v>
      </c>
      <c r="EM82" s="267"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67"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67"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67" t="n">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8.89</v>
      </c>
      <c r="EQ82" s="267"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62"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10.3933</v>
      </c>
      <c r="ES82" s="267"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67"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67"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67"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19.89</v>
      </c>
      <c r="EW82" s="267"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67"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16.57</v>
      </c>
      <c r="EY82" s="267"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67"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67"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67" t="n">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8.4</v>
      </c>
      <c r="FC82" s="267"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62"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14.9533</v>
      </c>
      <c r="FE82" s="267"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67"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67"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67"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20.2</v>
      </c>
      <c r="FI82" s="267"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67"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12.99</v>
      </c>
      <c r="FK82" s="267"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67"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67"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67" t="n">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5.66</v>
      </c>
      <c r="FO82" s="267"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62"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12.95</v>
      </c>
      <c r="FQ82" s="267"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67"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67"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67"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2.55</v>
      </c>
      <c r="FU82" s="267"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67"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17.58</v>
      </c>
      <c r="FW82" s="267"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67"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67"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67" t="n">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11.58</v>
      </c>
      <c r="GA82" s="267"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62"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10.57</v>
      </c>
      <c r="GD82" s="74"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74"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74"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74"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2.59</v>
      </c>
      <c r="GH82" s="74"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74"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13.62</v>
      </c>
      <c r="GJ82" s="74"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74"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74"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74" t="n">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5.48</v>
      </c>
      <c r="GN82" s="74"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74"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7.23</v>
      </c>
      <c r="GP82" s="74"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74"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74"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74"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2.64</v>
      </c>
      <c r="GT82" s="74"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74"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16.49</v>
      </c>
      <c r="GV82" s="74"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74"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74"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74" t="n">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7.77</v>
      </c>
      <c r="GZ82" s="74"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74"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8.9667</v>
      </c>
      <c r="HB82" s="74"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74"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74"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74"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15.94</v>
      </c>
      <c r="HF82" s="74"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74"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14.35</v>
      </c>
      <c r="HH82" s="74"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74"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74"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74" t="n">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7.39</v>
      </c>
      <c r="HL82" s="74"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74"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12.56</v>
      </c>
      <c r="HN82" s="74"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74"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74"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74"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16.13</v>
      </c>
      <c r="HR82" s="74"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74"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11.62</v>
      </c>
      <c r="HT82" s="74"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74"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74"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74" t="n">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5.2</v>
      </c>
      <c r="HX82" s="74"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74"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10.9833</v>
      </c>
      <c r="HZ82" s="74"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74"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74"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74"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2.48</v>
      </c>
      <c r="ID82" s="74"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74"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15.08</v>
      </c>
      <c r="IF82" s="74"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74"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74"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74" t="n">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9.71</v>
      </c>
      <c r="IJ82" s="74"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74"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9.09</v>
      </c>
    </row>
    <row r="83" customFormat="false" ht="15" hidden="false" customHeight="true" outlineLevel="0" collapsed="false">
      <c r="A83" s="249" t="s">
        <v>440</v>
      </c>
      <c r="B83" s="250" t="s">
        <v>396</v>
      </c>
      <c r="C83" s="251" t="n">
        <v>2450</v>
      </c>
      <c r="D83" s="252"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52"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52"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52"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18.34</v>
      </c>
      <c r="H83" s="252"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52"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16.63</v>
      </c>
      <c r="J83" s="252"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52"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52"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52" t="n">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3.3</v>
      </c>
      <c r="N83" s="252"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53"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12.7567</v>
      </c>
      <c r="P83" s="252"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52"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52"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52"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2.85</v>
      </c>
      <c r="T83" s="252"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52"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17.65</v>
      </c>
      <c r="V83" s="252"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52"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52"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52" t="n">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4.59</v>
      </c>
      <c r="Z83" s="252"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53"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8.3633</v>
      </c>
      <c r="AB83" s="252"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52"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52"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52"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19.06</v>
      </c>
      <c r="AF83" s="252"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52"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18.71</v>
      </c>
      <c r="AH83" s="252"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52"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52"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52" t="n">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6.43</v>
      </c>
      <c r="AL83" s="252"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54"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14.7333</v>
      </c>
      <c r="AN83" s="255"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55"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55"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55"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19.37</v>
      </c>
      <c r="AR83" s="255"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55"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14.8</v>
      </c>
      <c r="AT83" s="255"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55"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55"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55" t="n">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4.33</v>
      </c>
      <c r="AX83" s="255"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54"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12.8333</v>
      </c>
      <c r="AZ83" s="255"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55"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55"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55"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3.04</v>
      </c>
      <c r="BD83" s="255"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55"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19.68</v>
      </c>
      <c r="BF83" s="255"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55"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55"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55" t="n">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3.49</v>
      </c>
      <c r="BJ83" s="255"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54"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8.7367</v>
      </c>
      <c r="BM83" s="74"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74"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74"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74"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15</v>
      </c>
      <c r="BQ83" s="74"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74"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14.42</v>
      </c>
      <c r="BS83" s="74"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74"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74"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74" t="n">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3.14</v>
      </c>
      <c r="BW83" s="74"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74"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10.8533</v>
      </c>
      <c r="BY83" s="74"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74"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74"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74"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2.77</v>
      </c>
      <c r="CC83" s="74"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74"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15.16</v>
      </c>
      <c r="CE83" s="74"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74"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74"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74" t="n">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4.28</v>
      </c>
      <c r="CI83" s="74"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74"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7.4033</v>
      </c>
      <c r="CK83" s="74"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74"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74"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74"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15.46</v>
      </c>
      <c r="CO83" s="74"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74"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15.92</v>
      </c>
      <c r="CQ83" s="74"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74"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74"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74" t="n">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5.84</v>
      </c>
      <c r="CU83" s="74"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74"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12.4067</v>
      </c>
      <c r="CW83" s="74"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74"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74"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74"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15.65</v>
      </c>
      <c r="DA83" s="74"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74"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13.04</v>
      </c>
      <c r="DC83" s="74"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74"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74"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74" t="n">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4.05</v>
      </c>
      <c r="DG83" s="74"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74"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10.9133</v>
      </c>
      <c r="DI83" s="74"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74"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74"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74"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2.95</v>
      </c>
      <c r="DM83" s="74"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74"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16.59</v>
      </c>
      <c r="DO83" s="74"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74"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74"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74" t="n">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3.31</v>
      </c>
      <c r="DS83" s="74"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74"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7.6167</v>
      </c>
      <c r="DU83" s="256"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56"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56"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56"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2.68</v>
      </c>
      <c r="DY83" s="256"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56"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15.75</v>
      </c>
      <c r="EA83" s="256"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56"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56"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56" t="n">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6.06</v>
      </c>
      <c r="EE83" s="256"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57"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8.1633</v>
      </c>
      <c r="EG83" s="256"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56"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56"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56"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2.73</v>
      </c>
      <c r="EK83" s="256"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56"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19.8</v>
      </c>
      <c r="EM83" s="256"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56"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56"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56" t="n">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8.97</v>
      </c>
      <c r="EQ83" s="256"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57"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10.5</v>
      </c>
      <c r="ES83" s="256"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56"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56"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56"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20.11</v>
      </c>
      <c r="EW83" s="256"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56"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16.74</v>
      </c>
      <c r="EY83" s="256"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56"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56"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56" t="n">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8.47</v>
      </c>
      <c r="FC83" s="256"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57"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15.1067</v>
      </c>
      <c r="FE83" s="256"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56"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56"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56"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20.43</v>
      </c>
      <c r="FI83" s="256"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56"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13.12</v>
      </c>
      <c r="FK83" s="256"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56"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56"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56" t="n">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5.71</v>
      </c>
      <c r="FO83" s="256"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57"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13.0867</v>
      </c>
      <c r="FQ83" s="256"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56"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56"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56"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2.57</v>
      </c>
      <c r="FU83" s="256"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56"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17.76</v>
      </c>
      <c r="FW83" s="256"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56"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56"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56" t="n">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11.69</v>
      </c>
      <c r="GA83" s="256"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57"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10.6733</v>
      </c>
      <c r="GD83" s="74"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74"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74"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74"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2.61</v>
      </c>
      <c r="GH83" s="74"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74"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13.76</v>
      </c>
      <c r="GJ83" s="74"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74"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74"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74" t="n">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5.53</v>
      </c>
      <c r="GN83" s="74"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74"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7.3</v>
      </c>
      <c r="GP83" s="74"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74"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74"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74"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2.65</v>
      </c>
      <c r="GT83" s="74"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74"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16.68</v>
      </c>
      <c r="GV83" s="74"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74"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74"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74" t="n">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7.84</v>
      </c>
      <c r="GZ83" s="74"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74"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9.0567</v>
      </c>
      <c r="HB83" s="74"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74"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74"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74"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16.11</v>
      </c>
      <c r="HF83" s="74"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74"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14.5</v>
      </c>
      <c r="HH83" s="74"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74"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74"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74" t="n">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7.46</v>
      </c>
      <c r="HL83" s="74"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74"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12.69</v>
      </c>
      <c r="HN83" s="74"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74"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74"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74"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16.31</v>
      </c>
      <c r="HR83" s="74"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74"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11.73</v>
      </c>
      <c r="HT83" s="74"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74"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74"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74" t="n">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5.24</v>
      </c>
      <c r="HX83" s="74"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74"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11.0933</v>
      </c>
      <c r="HZ83" s="74"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74"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74"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74"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2.5</v>
      </c>
      <c r="ID83" s="74"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74"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15.24</v>
      </c>
      <c r="IF83" s="74"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74"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74"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74" t="n">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9.8</v>
      </c>
      <c r="IJ83" s="74"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74"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9.18</v>
      </c>
    </row>
    <row r="84" customFormat="false" ht="15" hidden="false" customHeight="true" outlineLevel="0" collapsed="false">
      <c r="A84" s="263" t="s">
        <v>441</v>
      </c>
      <c r="B84" s="263" t="s">
        <v>331</v>
      </c>
      <c r="C84" s="264" t="n">
        <v>2500</v>
      </c>
      <c r="D84" s="265"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65"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65"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65"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18.54</v>
      </c>
      <c r="H84" s="265"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65"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16.8</v>
      </c>
      <c r="J84" s="265"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65"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65"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65" t="n">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3.33</v>
      </c>
      <c r="N84" s="265"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58"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12.89</v>
      </c>
      <c r="P84" s="265"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65"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65"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65"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2.88</v>
      </c>
      <c r="T84" s="265"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65"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17.84</v>
      </c>
      <c r="V84" s="265"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65"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65"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65" t="n">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4.63</v>
      </c>
      <c r="Z84" s="265"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58"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8.45</v>
      </c>
      <c r="AB84" s="265"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65"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65"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65"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19.27</v>
      </c>
      <c r="AF84" s="265"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65"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18.91</v>
      </c>
      <c r="AH84" s="265"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65"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65"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65" t="n">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6.49</v>
      </c>
      <c r="AL84" s="265"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59"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14.89</v>
      </c>
      <c r="AN84" s="266"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66"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66"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66"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19.59</v>
      </c>
      <c r="AR84" s="266"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66"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14.95</v>
      </c>
      <c r="AT84" s="266"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66"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66"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66" t="n">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4.36</v>
      </c>
      <c r="AX84" s="266"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59"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12.9667</v>
      </c>
      <c r="AZ84" s="266"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66"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66"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66"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3.07</v>
      </c>
      <c r="BD84" s="266"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66"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19.9</v>
      </c>
      <c r="BF84" s="266"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66"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66"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66" t="n">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3.52</v>
      </c>
      <c r="BJ84" s="266"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59"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8.83</v>
      </c>
      <c r="BM84" s="74"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74"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74"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74"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15.16</v>
      </c>
      <c r="BQ84" s="74"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74"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14.57</v>
      </c>
      <c r="BS84" s="74"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74"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74"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74" t="n">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3.17</v>
      </c>
      <c r="BW84" s="74"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74"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10.9667</v>
      </c>
      <c r="BY84" s="74"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74"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74"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74"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2.79</v>
      </c>
      <c r="CC84" s="74"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74"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15.32</v>
      </c>
      <c r="CE84" s="74"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74"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74"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74" t="n">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4.32</v>
      </c>
      <c r="CI84" s="74"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74"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7.4767</v>
      </c>
      <c r="CK84" s="74"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74"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74"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74"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15.63</v>
      </c>
      <c r="CO84" s="74"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74"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16.09</v>
      </c>
      <c r="CQ84" s="74"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74"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74"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74" t="n">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5.89</v>
      </c>
      <c r="CU84" s="74"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74"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12.5367</v>
      </c>
      <c r="CW84" s="74"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74"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74"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74"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15.83</v>
      </c>
      <c r="DA84" s="74"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74"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13.17</v>
      </c>
      <c r="DC84" s="74"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74"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74"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74" t="n">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4.09</v>
      </c>
      <c r="DG84" s="74"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74"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11.03</v>
      </c>
      <c r="DI84" s="74"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74"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74"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74"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2.97</v>
      </c>
      <c r="DM84" s="74"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74"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16.78</v>
      </c>
      <c r="DO84" s="74"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74"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74"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74" t="n">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3.34</v>
      </c>
      <c r="DS84" s="74"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74"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7.6967</v>
      </c>
      <c r="DU84" s="267"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67"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67"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67"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2.7</v>
      </c>
      <c r="DY84" s="267"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67"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15.91</v>
      </c>
      <c r="EA84" s="267"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67"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67"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67" t="n">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6.12</v>
      </c>
      <c r="EE84" s="267"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62"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8.2433</v>
      </c>
      <c r="EG84" s="267"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67"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67"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67"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2.75</v>
      </c>
      <c r="EK84" s="267"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67"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20.02</v>
      </c>
      <c r="EM84" s="267"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67"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67"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67" t="n">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9.06</v>
      </c>
      <c r="EQ84" s="267"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62"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10.61</v>
      </c>
      <c r="ES84" s="267"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67"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67"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67"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20.34</v>
      </c>
      <c r="EW84" s="267"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67"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16.91</v>
      </c>
      <c r="EY84" s="267"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67"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67"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67" t="n">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8.55</v>
      </c>
      <c r="FC84" s="267"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62"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15.2667</v>
      </c>
      <c r="FE84" s="267"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67"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67"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67"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20.66</v>
      </c>
      <c r="FI84" s="267"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67"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13.25</v>
      </c>
      <c r="FK84" s="267"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67"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67"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67" t="n">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5.76</v>
      </c>
      <c r="FO84" s="267"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62"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13.2233</v>
      </c>
      <c r="FQ84" s="267"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67"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67"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67"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2.59</v>
      </c>
      <c r="FU84" s="267"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67"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17.95</v>
      </c>
      <c r="FW84" s="267"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67"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67"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67" t="n">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11.8</v>
      </c>
      <c r="GA84" s="267"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62"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10.78</v>
      </c>
      <c r="GD84" s="74"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74"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74"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74"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2.63</v>
      </c>
      <c r="GH84" s="74"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74"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13.9</v>
      </c>
      <c r="GJ84" s="74"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74"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74"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74" t="n">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5.58</v>
      </c>
      <c r="GN84" s="74"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74"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7.37</v>
      </c>
      <c r="GP84" s="74"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74"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74"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74"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2.68</v>
      </c>
      <c r="GT84" s="74"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74"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16.86</v>
      </c>
      <c r="GV84" s="74"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74"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74"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74" t="n">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7.91</v>
      </c>
      <c r="GZ84" s="74"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74"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9.15</v>
      </c>
      <c r="HB84" s="74"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74"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74"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74"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16.3</v>
      </c>
      <c r="HF84" s="74"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74"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14.65</v>
      </c>
      <c r="HH84" s="74"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74"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74"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74" t="n">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7.52</v>
      </c>
      <c r="HL84" s="74"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74"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12.8233</v>
      </c>
      <c r="HN84" s="74"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74"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74"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74"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16.5</v>
      </c>
      <c r="HR84" s="74"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74"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11.85</v>
      </c>
      <c r="HT84" s="74"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74"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74"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74" t="n">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5.29</v>
      </c>
      <c r="HX84" s="74"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74"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11.2133</v>
      </c>
      <c r="HZ84" s="74"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74"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74"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74"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2.52</v>
      </c>
      <c r="ID84" s="74"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74"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15.41</v>
      </c>
      <c r="IF84" s="74"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74"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74"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74" t="n">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9.9</v>
      </c>
      <c r="IJ84" s="74"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74"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9.2767</v>
      </c>
    </row>
    <row r="85" customFormat="false" ht="15" hidden="false" customHeight="true" outlineLevel="0" collapsed="false">
      <c r="A85" s="226" t="s">
        <v>442</v>
      </c>
      <c r="B85" s="226" t="s">
        <v>331</v>
      </c>
      <c r="C85" s="230" t="n">
        <v>2550</v>
      </c>
      <c r="D85" s="231"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31"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31"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31"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18.75</v>
      </c>
      <c r="H85" s="231"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31"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16.98</v>
      </c>
      <c r="J85" s="231"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31"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31"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31" t="n">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3.35</v>
      </c>
      <c r="N85" s="231"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58"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13.0267</v>
      </c>
      <c r="P85" s="231"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31"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31"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31"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2.9</v>
      </c>
      <c r="T85" s="231"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31"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18.03</v>
      </c>
      <c r="V85" s="231"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31"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31"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31" t="n">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4.67</v>
      </c>
      <c r="Z85" s="231"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58"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8.5333</v>
      </c>
      <c r="AB85" s="231"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31"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31"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31"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19.48</v>
      </c>
      <c r="AF85" s="231"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31"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19.12</v>
      </c>
      <c r="AH85" s="231"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31"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31"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31" t="n">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6.55</v>
      </c>
      <c r="AL85" s="231"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59"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15.05</v>
      </c>
      <c r="AN85" s="260"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60"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60"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60"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19.81</v>
      </c>
      <c r="AR85" s="260"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60"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15.11</v>
      </c>
      <c r="AT85" s="260"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60"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60"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60" t="n">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4.4</v>
      </c>
      <c r="AX85" s="260"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59"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13.1067</v>
      </c>
      <c r="AZ85" s="260"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60"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60"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60"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3.09</v>
      </c>
      <c r="BD85" s="260"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60"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20.12</v>
      </c>
      <c r="BF85" s="260"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60"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60"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60" t="n">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3.55</v>
      </c>
      <c r="BJ85" s="260"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59"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8.92</v>
      </c>
      <c r="BM85" s="74"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74"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74"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74"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15.33</v>
      </c>
      <c r="BQ85" s="74"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74"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14.72</v>
      </c>
      <c r="BS85" s="74"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74"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74"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74" t="n">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3.19</v>
      </c>
      <c r="BW85" s="74"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74"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11.08</v>
      </c>
      <c r="BY85" s="74"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74"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74"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74"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2.82</v>
      </c>
      <c r="CC85" s="74"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74"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15.49</v>
      </c>
      <c r="CE85" s="74"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74"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74"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74" t="n">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4.36</v>
      </c>
      <c r="CI85" s="74"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74"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7.5567</v>
      </c>
      <c r="CK85" s="74"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74"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74"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74"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15.8</v>
      </c>
      <c r="CO85" s="74"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74"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16.27</v>
      </c>
      <c r="CQ85" s="74"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74"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74"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74" t="n">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5.94</v>
      </c>
      <c r="CU85" s="74"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74"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12.67</v>
      </c>
      <c r="CW85" s="74"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74"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74"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74"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16</v>
      </c>
      <c r="DA85" s="74"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74"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13.31</v>
      </c>
      <c r="DC85" s="74"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74"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74"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74" t="n">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4.12</v>
      </c>
      <c r="DG85" s="74"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74"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11.1433</v>
      </c>
      <c r="DI85" s="74"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74"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74"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74"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3</v>
      </c>
      <c r="DM85" s="74"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74"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16.97</v>
      </c>
      <c r="DO85" s="74"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74"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74"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74" t="n">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3.37</v>
      </c>
      <c r="DS85" s="74"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74"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7.78</v>
      </c>
      <c r="DU85" s="261"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61"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61"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61"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2.72</v>
      </c>
      <c r="DY85" s="261"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61"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16.08</v>
      </c>
      <c r="EA85" s="261"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61"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61"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61" t="n">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6.17</v>
      </c>
      <c r="EE85" s="261"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62"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8.3233</v>
      </c>
      <c r="EG85" s="261"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61"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61"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61"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2.77</v>
      </c>
      <c r="EK85" s="261"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61"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20.25</v>
      </c>
      <c r="EM85" s="261"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61"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61"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61" t="n">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9.14</v>
      </c>
      <c r="EQ85" s="261"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62"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10.72</v>
      </c>
      <c r="ES85" s="261"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61"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61"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61"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20.57</v>
      </c>
      <c r="EW85" s="261"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61"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17.09</v>
      </c>
      <c r="EY85" s="261"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61"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61"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61" t="n">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8.63</v>
      </c>
      <c r="FC85" s="261"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62"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15.43</v>
      </c>
      <c r="FE85" s="261"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61"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61"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61"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20.9</v>
      </c>
      <c r="FI85" s="261"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61"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13.38</v>
      </c>
      <c r="FK85" s="261"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61"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61"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61" t="n">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5.82</v>
      </c>
      <c r="FO85" s="261"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62"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13.3667</v>
      </c>
      <c r="FQ85" s="261"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61"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61"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61"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2.61</v>
      </c>
      <c r="FU85" s="261"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61"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18.15</v>
      </c>
      <c r="FW85" s="261"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61"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61"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61" t="n">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11.91</v>
      </c>
      <c r="GA85" s="261"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62"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10.89</v>
      </c>
      <c r="GD85" s="74"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74"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74"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74"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2.65</v>
      </c>
      <c r="GH85" s="74"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74"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14.05</v>
      </c>
      <c r="GJ85" s="74"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74"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74"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74" t="n">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5.63</v>
      </c>
      <c r="GN85" s="74"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74"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7.4433</v>
      </c>
      <c r="GP85" s="74"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74"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74"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74"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2.7</v>
      </c>
      <c r="GT85" s="74"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74"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17.05</v>
      </c>
      <c r="GV85" s="74"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74"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74"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74" t="n">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7.98</v>
      </c>
      <c r="GZ85" s="74"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74"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9.2433</v>
      </c>
      <c r="HB85" s="74"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74"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74"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74"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16.48</v>
      </c>
      <c r="HF85" s="74"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74"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14.8</v>
      </c>
      <c r="HH85" s="74"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74"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74"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74" t="n">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7.59</v>
      </c>
      <c r="HL85" s="74"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74"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12.9567</v>
      </c>
      <c r="HN85" s="74"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74"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74"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74"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16.69</v>
      </c>
      <c r="HR85" s="74"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74"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11.96</v>
      </c>
      <c r="HT85" s="74"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74"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74"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74" t="n">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5.33</v>
      </c>
      <c r="HX85" s="74"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74"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11.3267</v>
      </c>
      <c r="HZ85" s="74"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74"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74"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74"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2.54</v>
      </c>
      <c r="ID85" s="74"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74"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15.57</v>
      </c>
      <c r="IF85" s="74"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74"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74"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74" t="n">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9.99</v>
      </c>
      <c r="IJ85" s="74"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74"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9.3667</v>
      </c>
    </row>
    <row r="86" customFormat="false" ht="15" hidden="false" customHeight="true" outlineLevel="0" collapsed="false">
      <c r="A86" s="263" t="s">
        <v>443</v>
      </c>
      <c r="B86" s="263" t="s">
        <v>331</v>
      </c>
      <c r="C86" s="264" t="n">
        <v>2600</v>
      </c>
      <c r="D86" s="265"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65"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65"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65"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18.95</v>
      </c>
      <c r="H86" s="265"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65"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17.16</v>
      </c>
      <c r="J86" s="265"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65"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65"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65" t="n">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3.38</v>
      </c>
      <c r="N86" s="265"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58"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13.1633</v>
      </c>
      <c r="P86" s="265"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65"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65"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65"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2.93</v>
      </c>
      <c r="T86" s="265"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65"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18.23</v>
      </c>
      <c r="V86" s="265"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65"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65"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65" t="n">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4.71</v>
      </c>
      <c r="Z86" s="265"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58"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8.6233</v>
      </c>
      <c r="AB86" s="265"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65"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65"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65"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19.7</v>
      </c>
      <c r="AF86" s="265"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65"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19.33</v>
      </c>
      <c r="AH86" s="265"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65"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65"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65" t="n">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6.61</v>
      </c>
      <c r="AL86" s="265"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59"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15.2133</v>
      </c>
      <c r="AN86" s="266"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66"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66"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66"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20.03</v>
      </c>
      <c r="AR86" s="266"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66"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15.26</v>
      </c>
      <c r="AT86" s="266"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66"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66"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66" t="n">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4.44</v>
      </c>
      <c r="AX86" s="266"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59"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13.2433</v>
      </c>
      <c r="AZ86" s="266"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66"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66"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66"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3.12</v>
      </c>
      <c r="BD86" s="266"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66"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20.35</v>
      </c>
      <c r="BF86" s="266"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66"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66"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66" t="n">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3.58</v>
      </c>
      <c r="BJ86" s="266"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59"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9.0167</v>
      </c>
      <c r="BM86" s="74"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74"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74"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74"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15.49</v>
      </c>
      <c r="BQ86" s="74"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74"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14.88</v>
      </c>
      <c r="BS86" s="74"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74"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74"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74" t="n">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3.22</v>
      </c>
      <c r="BW86" s="74"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74"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11.1967</v>
      </c>
      <c r="BY86" s="74"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74"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74"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74"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2.84</v>
      </c>
      <c r="CC86" s="74"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74"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15.66</v>
      </c>
      <c r="CE86" s="74"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74"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74"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74" t="n">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4.4</v>
      </c>
      <c r="CI86" s="74"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74"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7.6333</v>
      </c>
      <c r="CK86" s="74"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74"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74"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74"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15.98</v>
      </c>
      <c r="CO86" s="74"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74"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16.45</v>
      </c>
      <c r="CQ86" s="74"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74"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74"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74" t="n">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5.99</v>
      </c>
      <c r="CU86" s="74"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74"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12.8067</v>
      </c>
      <c r="CW86" s="74"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74"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74"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74"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16.18</v>
      </c>
      <c r="DA86" s="74"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74"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13.45</v>
      </c>
      <c r="DC86" s="74"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74"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74"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74" t="n">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4.16</v>
      </c>
      <c r="DG86" s="74"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74"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11.2633</v>
      </c>
      <c r="DI86" s="74"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74"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74"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74"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3.02</v>
      </c>
      <c r="DM86" s="74"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74"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17.16</v>
      </c>
      <c r="DO86" s="74"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74"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74"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74" t="n">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3.4</v>
      </c>
      <c r="DS86" s="74"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74"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7.86</v>
      </c>
      <c r="DU86" s="267"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67"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67"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67"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2.75</v>
      </c>
      <c r="DY86" s="267"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67"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16.25</v>
      </c>
      <c r="EA86" s="267"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67"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67"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67" t="n">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6.23</v>
      </c>
      <c r="EE86" s="267"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62"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8.41</v>
      </c>
      <c r="EG86" s="267"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67"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67"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67"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2.8</v>
      </c>
      <c r="EK86" s="267"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67"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20.47</v>
      </c>
      <c r="EM86" s="267"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67"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67"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67" t="n">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9.23</v>
      </c>
      <c r="EQ86" s="267"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62"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10.8333</v>
      </c>
      <c r="ES86" s="267"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67"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67"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67"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20.8</v>
      </c>
      <c r="EW86" s="267"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67"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17.28</v>
      </c>
      <c r="EY86" s="267"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67"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67"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67" t="n">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8.71</v>
      </c>
      <c r="FC86" s="267"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62"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15.5967</v>
      </c>
      <c r="FE86" s="267"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67"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67"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67"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21.14</v>
      </c>
      <c r="FI86" s="267"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67"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13.51</v>
      </c>
      <c r="FK86" s="267"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67"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67"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67" t="n">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5.87</v>
      </c>
      <c r="FO86" s="267"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62"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13.5067</v>
      </c>
      <c r="FQ86" s="267"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67"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67"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67"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2.63</v>
      </c>
      <c r="FU86" s="267"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67"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18.35</v>
      </c>
      <c r="FW86" s="267"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67"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67"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67" t="n">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12.03</v>
      </c>
      <c r="GA86" s="267"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62"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11.0033</v>
      </c>
      <c r="GD86" s="74"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74"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74"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74"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2.67</v>
      </c>
      <c r="GH86" s="74"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74"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14.2</v>
      </c>
      <c r="GJ86" s="74"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74"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74"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74" t="n">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5.68</v>
      </c>
      <c r="GN86" s="74"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74"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7.5167</v>
      </c>
      <c r="GP86" s="74"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74"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74"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74"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2.72</v>
      </c>
      <c r="GT86" s="74"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74"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17.25</v>
      </c>
      <c r="GV86" s="74"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74"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74"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74" t="n">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8.06</v>
      </c>
      <c r="GZ86" s="74"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74"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9.3433</v>
      </c>
      <c r="HB86" s="74"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74"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74"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74"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16.67</v>
      </c>
      <c r="HF86" s="74"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74"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14.96</v>
      </c>
      <c r="HH86" s="74"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74"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74"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74" t="n">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7.66</v>
      </c>
      <c r="HL86" s="74"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74"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13.0967</v>
      </c>
      <c r="HN86" s="74"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74"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74"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74"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16.88</v>
      </c>
      <c r="HR86" s="74"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74"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12.08</v>
      </c>
      <c r="HT86" s="74"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74"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74"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74" t="n">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5.38</v>
      </c>
      <c r="HX86" s="74"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74"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11.4467</v>
      </c>
      <c r="HZ86" s="74"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74"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74"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74"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2.56</v>
      </c>
      <c r="ID86" s="74"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74"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15.74</v>
      </c>
      <c r="IF86" s="74"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74"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74"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74" t="n">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10.09</v>
      </c>
      <c r="IJ86" s="74"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74"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9.4633</v>
      </c>
    </row>
    <row r="87" customFormat="false" ht="15" hidden="false" customHeight="true" outlineLevel="0" collapsed="false">
      <c r="A87" s="226" t="s">
        <v>444</v>
      </c>
      <c r="B87" s="226" t="s">
        <v>331</v>
      </c>
      <c r="C87" s="230" t="n">
        <v>2650</v>
      </c>
      <c r="D87" s="231"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31"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31"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31"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19.16</v>
      </c>
      <c r="H87" s="231"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31"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17.35</v>
      </c>
      <c r="J87" s="231"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31"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31"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31" t="n">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3.41</v>
      </c>
      <c r="N87" s="231"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58"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13.3067</v>
      </c>
      <c r="P87" s="231"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31"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31"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31"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2.95</v>
      </c>
      <c r="T87" s="231"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31"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18.43</v>
      </c>
      <c r="V87" s="231"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31"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31"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31" t="n">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4.76</v>
      </c>
      <c r="Z87" s="231"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58"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8.7133</v>
      </c>
      <c r="AB87" s="231"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31"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31"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31"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19.92</v>
      </c>
      <c r="AF87" s="231"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31"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19.55</v>
      </c>
      <c r="AH87" s="231"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31"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31"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31" t="n">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6.67</v>
      </c>
      <c r="AL87" s="231"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59"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15.38</v>
      </c>
      <c r="AN87" s="260"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60"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60"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60"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20.25</v>
      </c>
      <c r="AR87" s="260"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60"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15.42</v>
      </c>
      <c r="AT87" s="260"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60"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60"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60" t="n">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4.48</v>
      </c>
      <c r="AX87" s="260"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59"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13.3833</v>
      </c>
      <c r="AZ87" s="260"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60"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60"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60"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3.15</v>
      </c>
      <c r="BD87" s="260"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60"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20.58</v>
      </c>
      <c r="BF87" s="260"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60"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60"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60" t="n">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3.62</v>
      </c>
      <c r="BJ87" s="260"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59"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9.1167</v>
      </c>
      <c r="BM87" s="74"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74"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74"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74"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15.66</v>
      </c>
      <c r="BQ87" s="74"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74"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15.04</v>
      </c>
      <c r="BS87" s="74"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74"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74"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74" t="n">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3.25</v>
      </c>
      <c r="BW87" s="74"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74"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11.3167</v>
      </c>
      <c r="BY87" s="74"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74"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74"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74"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2.86</v>
      </c>
      <c r="CC87" s="74"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74"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15.83</v>
      </c>
      <c r="CE87" s="74"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74"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74"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74" t="n">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4.44</v>
      </c>
      <c r="CI87" s="74"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74"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7.71</v>
      </c>
      <c r="CK87" s="74"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74"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74"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74"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16.15</v>
      </c>
      <c r="CO87" s="74"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74"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16.63</v>
      </c>
      <c r="CQ87" s="74"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74"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74"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74" t="n">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6.05</v>
      </c>
      <c r="CU87" s="74"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74"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12.9433</v>
      </c>
      <c r="CW87" s="74"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74"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74"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74"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16.37</v>
      </c>
      <c r="DA87" s="74"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74"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13.59</v>
      </c>
      <c r="DC87" s="74"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74"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74"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74" t="n">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4.2</v>
      </c>
      <c r="DG87" s="74"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74"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11.3867</v>
      </c>
      <c r="DI87" s="74"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74"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74"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74"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3.05</v>
      </c>
      <c r="DM87" s="74"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74"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17.35</v>
      </c>
      <c r="DO87" s="74"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74"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74"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74" t="n">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3.43</v>
      </c>
      <c r="DS87" s="74"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74"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7.9433</v>
      </c>
      <c r="DU87" s="261"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61"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61"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61"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2.77</v>
      </c>
      <c r="DY87" s="261"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61"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16.42</v>
      </c>
      <c r="EA87" s="261"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61"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61"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61" t="n">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6.29</v>
      </c>
      <c r="EE87" s="261"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62"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8.4933</v>
      </c>
      <c r="EG87" s="261"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61"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61"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61"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2.82</v>
      </c>
      <c r="EK87" s="261"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61"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20.71</v>
      </c>
      <c r="EM87" s="261"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61"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61"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61" t="n">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9.32</v>
      </c>
      <c r="EQ87" s="261"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62"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10.95</v>
      </c>
      <c r="ES87" s="261"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61"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61"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61"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21.04</v>
      </c>
      <c r="EW87" s="261"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61"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17.46</v>
      </c>
      <c r="EY87" s="261"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61"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61"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61" t="n">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8.79</v>
      </c>
      <c r="FC87" s="261"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62"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15.7633</v>
      </c>
      <c r="FE87" s="261"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61"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61"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61"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21.38</v>
      </c>
      <c r="FI87" s="261"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61"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13.65</v>
      </c>
      <c r="FK87" s="261"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61"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61"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61" t="n">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5.92</v>
      </c>
      <c r="FO87" s="261"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62"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13.65</v>
      </c>
      <c r="FQ87" s="261"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61"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61"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61"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2.65</v>
      </c>
      <c r="FU87" s="261"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61"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18.55</v>
      </c>
      <c r="FW87" s="261"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61"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61"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61" t="n">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12.15</v>
      </c>
      <c r="GA87" s="261"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62"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11.1167</v>
      </c>
      <c r="GD87" s="74"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74"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74"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74"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2.69</v>
      </c>
      <c r="GH87" s="74"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74"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14.35</v>
      </c>
      <c r="GJ87" s="74"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74"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74"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74" t="n">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5.73</v>
      </c>
      <c r="GN87" s="74"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74"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7.59</v>
      </c>
      <c r="GP87" s="74"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74"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74"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74"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2.74</v>
      </c>
      <c r="GT87" s="74"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74"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17.44</v>
      </c>
      <c r="GV87" s="74"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74"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74"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74" t="n">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8.13</v>
      </c>
      <c r="GZ87" s="74"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74"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9.4367</v>
      </c>
      <c r="HB87" s="74"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74"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74"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74"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16.86</v>
      </c>
      <c r="HF87" s="74"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74"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15.12</v>
      </c>
      <c r="HH87" s="74"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74"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74"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74" t="n">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7.73</v>
      </c>
      <c r="HL87" s="74"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74"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13.2367</v>
      </c>
      <c r="HN87" s="74"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74"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74"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74"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17.07</v>
      </c>
      <c r="HR87" s="74"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74"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12.2</v>
      </c>
      <c r="HT87" s="74"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74"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74"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74" t="n">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5.43</v>
      </c>
      <c r="HX87" s="74"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74"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11.5667</v>
      </c>
      <c r="HZ87" s="74"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74"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74"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74"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2.58</v>
      </c>
      <c r="ID87" s="74"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74"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15.91</v>
      </c>
      <c r="IF87" s="74"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74"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74"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74" t="n">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10.19</v>
      </c>
      <c r="IJ87" s="74"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74"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9.56</v>
      </c>
    </row>
    <row r="88" customFormat="false" ht="15" hidden="false" customHeight="true" outlineLevel="0" collapsed="false">
      <c r="A88" s="263" t="s">
        <v>445</v>
      </c>
      <c r="B88" s="263" t="s">
        <v>331</v>
      </c>
      <c r="C88" s="264" t="n">
        <v>2700</v>
      </c>
      <c r="D88" s="265"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65"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65"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65"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19.37</v>
      </c>
      <c r="H88" s="265"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65"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17.53</v>
      </c>
      <c r="J88" s="265"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65"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65"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65" t="n">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3.45</v>
      </c>
      <c r="N88" s="265"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58"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13.45</v>
      </c>
      <c r="P88" s="265"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65"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65"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65"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2.98</v>
      </c>
      <c r="T88" s="265"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65"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18.63</v>
      </c>
      <c r="V88" s="265"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65"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65"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65" t="n">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4.8</v>
      </c>
      <c r="Z88" s="265"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58"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8.8033</v>
      </c>
      <c r="AB88" s="265"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65"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65"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65"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20.15</v>
      </c>
      <c r="AF88" s="265"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65"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19.76</v>
      </c>
      <c r="AH88" s="265"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65"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65"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65" t="n">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6.73</v>
      </c>
      <c r="AL88" s="265"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59"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15.5467</v>
      </c>
      <c r="AN88" s="266"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66"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66"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66"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20.48</v>
      </c>
      <c r="AR88" s="266"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66"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15.58</v>
      </c>
      <c r="AT88" s="266"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66"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66"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66" t="n">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4.53</v>
      </c>
      <c r="AX88" s="266"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59"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13.53</v>
      </c>
      <c r="AZ88" s="266"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66"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66"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66"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3.18</v>
      </c>
      <c r="BD88" s="266"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66"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20.81</v>
      </c>
      <c r="BF88" s="266"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66"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66"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66" t="n">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3.65</v>
      </c>
      <c r="BJ88" s="266"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59"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9.2133</v>
      </c>
      <c r="BM88" s="74"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74"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74"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74"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15.84</v>
      </c>
      <c r="BQ88" s="74"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74"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15.2</v>
      </c>
      <c r="BS88" s="74"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74"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74"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74" t="n">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3.28</v>
      </c>
      <c r="BW88" s="74"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74"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11.44</v>
      </c>
      <c r="BY88" s="74"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74"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74"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74"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2.89</v>
      </c>
      <c r="CC88" s="74"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74"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16</v>
      </c>
      <c r="CE88" s="74"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74"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74"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74" t="n">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4.48</v>
      </c>
      <c r="CI88" s="74"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74"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7.79</v>
      </c>
      <c r="CK88" s="74"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74"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74"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74"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16.34</v>
      </c>
      <c r="CO88" s="74"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74"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16.82</v>
      </c>
      <c r="CQ88" s="74"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74"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74"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74" t="n">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6.11</v>
      </c>
      <c r="CU88" s="74"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74"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13.09</v>
      </c>
      <c r="CW88" s="74"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74"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74"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74"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16.55</v>
      </c>
      <c r="DA88" s="74"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74"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13.73</v>
      </c>
      <c r="DC88" s="74"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74"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74"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74" t="n">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4.24</v>
      </c>
      <c r="DG88" s="74"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74"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11.5067</v>
      </c>
      <c r="DI88" s="74"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74"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74"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74"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3.08</v>
      </c>
      <c r="DM88" s="74"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74"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17.55</v>
      </c>
      <c r="DO88" s="74"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74"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74"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74" t="n">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3.46</v>
      </c>
      <c r="DS88" s="74"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74"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8.03</v>
      </c>
      <c r="DU88" s="267"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67"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67"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67"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2.79</v>
      </c>
      <c r="DY88" s="267"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67"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16.59</v>
      </c>
      <c r="EA88" s="267"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67"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67"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67" t="n">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6.34</v>
      </c>
      <c r="EE88" s="267"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62"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8.5733</v>
      </c>
      <c r="EG88" s="267"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67"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67"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67"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2.85</v>
      </c>
      <c r="EK88" s="267"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67"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20.94</v>
      </c>
      <c r="EM88" s="267"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67"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67"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67" t="n">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9.41</v>
      </c>
      <c r="EQ88" s="267"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62"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11.0667</v>
      </c>
      <c r="ES88" s="267"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67"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67"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67"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21.28</v>
      </c>
      <c r="EW88" s="267"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67"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17.65</v>
      </c>
      <c r="EY88" s="267"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67"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67"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67" t="n">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8.88</v>
      </c>
      <c r="FC88" s="267"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62"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15.9367</v>
      </c>
      <c r="FE88" s="267"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67"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67"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67"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21.63</v>
      </c>
      <c r="FI88" s="267"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67"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13.79</v>
      </c>
      <c r="FK88" s="267"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67"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67"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67" t="n">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5.98</v>
      </c>
      <c r="FO88" s="267"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62"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13.8</v>
      </c>
      <c r="FQ88" s="267"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67"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67"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67"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2.67</v>
      </c>
      <c r="FU88" s="267"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67"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18.75</v>
      </c>
      <c r="FW88" s="267"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67"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67"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67" t="n">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12.27</v>
      </c>
      <c r="GA88" s="267"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62"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11.23</v>
      </c>
      <c r="GD88" s="74"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74"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74"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74"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2.72</v>
      </c>
      <c r="GH88" s="74"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74"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14.5</v>
      </c>
      <c r="GJ88" s="74"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74"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74"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74" t="n">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5.79</v>
      </c>
      <c r="GN88" s="74"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74"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7.67</v>
      </c>
      <c r="GP88" s="74"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74"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74"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74"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2.77</v>
      </c>
      <c r="GT88" s="74"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74"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17.64</v>
      </c>
      <c r="GV88" s="74"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74"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74"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74" t="n">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8.21</v>
      </c>
      <c r="GZ88" s="74"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74"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9.54</v>
      </c>
      <c r="HB88" s="74"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74"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74"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74"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17.05</v>
      </c>
      <c r="HF88" s="74"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74"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15.29</v>
      </c>
      <c r="HH88" s="74"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74"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74"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74" t="n">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7.81</v>
      </c>
      <c r="HL88" s="74"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74"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13.3833</v>
      </c>
      <c r="HN88" s="74"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74"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74"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74"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17.26</v>
      </c>
      <c r="HR88" s="74"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74"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12.33</v>
      </c>
      <c r="HT88" s="74"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74"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74"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74" t="n">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5.48</v>
      </c>
      <c r="HX88" s="74"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74"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11.69</v>
      </c>
      <c r="HZ88" s="74"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74"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74"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74"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2.6</v>
      </c>
      <c r="ID88" s="74"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74"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16.09</v>
      </c>
      <c r="IF88" s="74"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74"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74"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74" t="n">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10.29</v>
      </c>
      <c r="IJ88" s="74"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74"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9.66</v>
      </c>
    </row>
    <row r="89" customFormat="false" ht="15" hidden="false" customHeight="true" outlineLevel="0" collapsed="false">
      <c r="A89" s="226" t="s">
        <v>446</v>
      </c>
      <c r="B89" s="226" t="s">
        <v>331</v>
      </c>
      <c r="C89" s="230" t="n">
        <v>2750</v>
      </c>
      <c r="D89" s="231"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31"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31"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31"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19.59</v>
      </c>
      <c r="H89" s="231"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31"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17.72</v>
      </c>
      <c r="J89" s="231"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31"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31"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31" t="n">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3.48</v>
      </c>
      <c r="N89" s="231"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58"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13.5967</v>
      </c>
      <c r="P89" s="231"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31"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31"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31"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3.01</v>
      </c>
      <c r="T89" s="231"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31"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18.83</v>
      </c>
      <c r="V89" s="231"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31"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31"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31" t="n">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4.85</v>
      </c>
      <c r="Z89" s="231"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58"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8.8967</v>
      </c>
      <c r="AB89" s="231"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31"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31"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31"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20.37</v>
      </c>
      <c r="AF89" s="231"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31"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19.99</v>
      </c>
      <c r="AH89" s="231"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31"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31"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31" t="n">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6.8</v>
      </c>
      <c r="AL89" s="231"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59"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15.72</v>
      </c>
      <c r="AN89" s="260"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60"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60"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60"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20.71</v>
      </c>
      <c r="AR89" s="260"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60"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15.74</v>
      </c>
      <c r="AT89" s="260"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60"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60"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60" t="n">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4.57</v>
      </c>
      <c r="AX89" s="260"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59"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13.6733</v>
      </c>
      <c r="AZ89" s="260"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60"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60"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60"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3.21</v>
      </c>
      <c r="BD89" s="260"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60"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21.05</v>
      </c>
      <c r="BF89" s="260"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60"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60"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60" t="n">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3.68</v>
      </c>
      <c r="BJ89" s="260"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59"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9.3133</v>
      </c>
      <c r="BM89" s="74"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74"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74"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74"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16.01</v>
      </c>
      <c r="BQ89" s="74"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74"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15.36</v>
      </c>
      <c r="BS89" s="74"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74"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74"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74" t="n">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3.31</v>
      </c>
      <c r="BW89" s="74"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74"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11.56</v>
      </c>
      <c r="BY89" s="74"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74"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74"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74"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2.92</v>
      </c>
      <c r="CC89" s="74"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74"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16.18</v>
      </c>
      <c r="CE89" s="74"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74"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74"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74" t="n">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4.52</v>
      </c>
      <c r="CI89" s="74"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74"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7.8733</v>
      </c>
      <c r="CK89" s="74"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74"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74"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74"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16.52</v>
      </c>
      <c r="CO89" s="74"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74"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17</v>
      </c>
      <c r="CQ89" s="74"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74"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74"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74" t="n">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6.16</v>
      </c>
      <c r="CU89" s="74"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74"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13.2267</v>
      </c>
      <c r="CW89" s="74"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74"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74"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74"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16.74</v>
      </c>
      <c r="DA89" s="74"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74"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13.87</v>
      </c>
      <c r="DC89" s="74"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74"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74"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74" t="n">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4.28</v>
      </c>
      <c r="DG89" s="74"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74"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11.63</v>
      </c>
      <c r="DI89" s="74"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74"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74"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74"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3.1</v>
      </c>
      <c r="DM89" s="74"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74"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17.75</v>
      </c>
      <c r="DO89" s="74"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74"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74"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74" t="n">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3.49</v>
      </c>
      <c r="DS89" s="74"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74"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8.1133</v>
      </c>
      <c r="DU89" s="261"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61"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61"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61"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2.82</v>
      </c>
      <c r="DY89" s="261"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61"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16.77</v>
      </c>
      <c r="EA89" s="261"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61"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61"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61" t="n">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6.41</v>
      </c>
      <c r="EE89" s="261"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62"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8.6667</v>
      </c>
      <c r="EG89" s="261"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61"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61"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61"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2.87</v>
      </c>
      <c r="EK89" s="261"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61"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21.18</v>
      </c>
      <c r="EM89" s="261"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61"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61"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61" t="n">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9.5</v>
      </c>
      <c r="EQ89" s="261"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62"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11.1833</v>
      </c>
      <c r="ES89" s="261"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61"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61"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61"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21.52</v>
      </c>
      <c r="EW89" s="261"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61"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17.84</v>
      </c>
      <c r="EY89" s="261"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61"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61"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61" t="n">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8.96</v>
      </c>
      <c r="FC89" s="261"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62"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16.1067</v>
      </c>
      <c r="FE89" s="261"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61"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61"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61"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21.87</v>
      </c>
      <c r="FI89" s="261"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61"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13.93</v>
      </c>
      <c r="FK89" s="261"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61"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61"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61" t="n">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6.04</v>
      </c>
      <c r="FO89" s="261"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62"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13.9467</v>
      </c>
      <c r="FQ89" s="261"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61"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61"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61"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2.7</v>
      </c>
      <c r="FU89" s="261"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61"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18.96</v>
      </c>
      <c r="FW89" s="261"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61"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61"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61" t="n">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12.39</v>
      </c>
      <c r="GA89" s="261"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62"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11.35</v>
      </c>
      <c r="GD89" s="74"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74"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74"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74"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2.74</v>
      </c>
      <c r="GH89" s="74"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74"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14.65</v>
      </c>
      <c r="GJ89" s="74"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74"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74"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74" t="n">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5.84</v>
      </c>
      <c r="GN89" s="74"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74"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7.7433</v>
      </c>
      <c r="GP89" s="74"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74"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74"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74"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2.79</v>
      </c>
      <c r="GT89" s="74"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74"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17.84</v>
      </c>
      <c r="GV89" s="74"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74"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74"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74" t="n">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8.29</v>
      </c>
      <c r="GZ89" s="74"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74"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9.64</v>
      </c>
      <c r="HB89" s="74"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74"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74"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74"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17.24</v>
      </c>
      <c r="HF89" s="74"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74"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15.45</v>
      </c>
      <c r="HH89" s="74"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74"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74"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74" t="n">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7.88</v>
      </c>
      <c r="HL89" s="74"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74"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13.5233</v>
      </c>
      <c r="HN89" s="74"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74"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74"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74"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17.46</v>
      </c>
      <c r="HR89" s="74"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74"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12.45</v>
      </c>
      <c r="HT89" s="74"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74"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74"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74" t="n">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5.53</v>
      </c>
      <c r="HX89" s="74"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74"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11.8133</v>
      </c>
      <c r="HZ89" s="74"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74"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74"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74"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2.63</v>
      </c>
      <c r="ID89" s="74"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74"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16.27</v>
      </c>
      <c r="IF89" s="74"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74"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74"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74" t="n">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10.39</v>
      </c>
      <c r="IJ89" s="74"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74"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9.7633</v>
      </c>
    </row>
    <row r="90" customFormat="false" ht="15" hidden="false" customHeight="true" outlineLevel="0" collapsed="false">
      <c r="A90" s="263" t="s">
        <v>447</v>
      </c>
      <c r="B90" s="263" t="s">
        <v>331</v>
      </c>
      <c r="C90" s="264" t="n">
        <v>2800</v>
      </c>
      <c r="D90" s="265"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65"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65"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65"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19.81</v>
      </c>
      <c r="H90" s="265"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65"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17.91</v>
      </c>
      <c r="J90" s="265"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65"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65"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65" t="n">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3.51</v>
      </c>
      <c r="N90" s="265"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58"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13.7433</v>
      </c>
      <c r="P90" s="265"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65"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65"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65"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3.03</v>
      </c>
      <c r="T90" s="265"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65"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19.04</v>
      </c>
      <c r="V90" s="265"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65"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65"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65" t="n">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4.89</v>
      </c>
      <c r="Z90" s="265"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58"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8.9867</v>
      </c>
      <c r="AB90" s="265"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65"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65"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65"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20.6</v>
      </c>
      <c r="AF90" s="265"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65"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20.21</v>
      </c>
      <c r="AH90" s="265"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65"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65"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65" t="n">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6.86</v>
      </c>
      <c r="AL90" s="265"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59"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15.89</v>
      </c>
      <c r="AN90" s="266"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66"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66"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66"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20.95</v>
      </c>
      <c r="AR90" s="266"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66"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15.91</v>
      </c>
      <c r="AT90" s="266"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66"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66"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66" t="n">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4.61</v>
      </c>
      <c r="AX90" s="266"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59"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13.8233</v>
      </c>
      <c r="AZ90" s="266"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66"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66"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66"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3.24</v>
      </c>
      <c r="BD90" s="266"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66"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21.28</v>
      </c>
      <c r="BF90" s="266"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66"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66"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66" t="n">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3.72</v>
      </c>
      <c r="BJ90" s="266"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59"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9.4133</v>
      </c>
      <c r="BM90" s="74"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74"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74"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74"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16.19</v>
      </c>
      <c r="BQ90" s="74"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74"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15.53</v>
      </c>
      <c r="BS90" s="74"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74"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74"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74" t="n">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3.34</v>
      </c>
      <c r="BW90" s="74"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74"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11.6867</v>
      </c>
      <c r="BY90" s="74"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74"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74"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74"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2.94</v>
      </c>
      <c r="CC90" s="74"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74"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16.35</v>
      </c>
      <c r="CE90" s="74"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74"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74"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74" t="n">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4.56</v>
      </c>
      <c r="CI90" s="74"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74"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7.95</v>
      </c>
      <c r="CK90" s="74"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74"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74"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74"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16.7</v>
      </c>
      <c r="CO90" s="74"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74"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17.19</v>
      </c>
      <c r="CQ90" s="74"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74"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74"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74" t="n">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6.22</v>
      </c>
      <c r="CU90" s="74"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74"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13.37</v>
      </c>
      <c r="CW90" s="74"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74"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74"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74"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16.93</v>
      </c>
      <c r="DA90" s="74"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74"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14.02</v>
      </c>
      <c r="DC90" s="74"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74"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74"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74" t="n">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4.32</v>
      </c>
      <c r="DG90" s="74"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74"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11.7567</v>
      </c>
      <c r="DI90" s="74"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74"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74"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74"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3.13</v>
      </c>
      <c r="DM90" s="74"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74"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17.95</v>
      </c>
      <c r="DO90" s="74"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74"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74"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74" t="n">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3.53</v>
      </c>
      <c r="DS90" s="74"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74"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8.2033</v>
      </c>
      <c r="DU90" s="267"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67"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67"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67"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2.85</v>
      </c>
      <c r="DY90" s="267"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67"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16.95</v>
      </c>
      <c r="EA90" s="267"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67"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67"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67" t="n">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6.47</v>
      </c>
      <c r="EE90" s="267"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62"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8.7567</v>
      </c>
      <c r="EG90" s="267"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67"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67"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67"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2.9</v>
      </c>
      <c r="EK90" s="267"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67"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21.42</v>
      </c>
      <c r="EM90" s="267"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67"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67"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67" t="n">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9.59</v>
      </c>
      <c r="EQ90" s="267"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62"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11.3033</v>
      </c>
      <c r="ES90" s="267"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67"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67"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67"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21.77</v>
      </c>
      <c r="EW90" s="267"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67"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18.04</v>
      </c>
      <c r="EY90" s="267"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67"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67"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67" t="n">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9.05</v>
      </c>
      <c r="FC90" s="267"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62"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16.2867</v>
      </c>
      <c r="FE90" s="267"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67"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67"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67"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22.12</v>
      </c>
      <c r="FI90" s="267"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67"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14.07</v>
      </c>
      <c r="FK90" s="267"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67"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67"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67" t="n">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6.09</v>
      </c>
      <c r="FO90" s="267"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62"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14.0933</v>
      </c>
      <c r="FQ90" s="267"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67"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67"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67"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2.72</v>
      </c>
      <c r="FU90" s="267"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67"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19.17</v>
      </c>
      <c r="FW90" s="267"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67"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67"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67" t="n">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12.52</v>
      </c>
      <c r="GA90" s="267"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62"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11.47</v>
      </c>
      <c r="GD90" s="74"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74"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74"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74"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2.77</v>
      </c>
      <c r="GH90" s="74"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74"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14.81</v>
      </c>
      <c r="GJ90" s="74"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74"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74"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74" t="n">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5.89</v>
      </c>
      <c r="GN90" s="74"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74"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7.8233</v>
      </c>
      <c r="GP90" s="74"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74"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74"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74"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2.82</v>
      </c>
      <c r="GT90" s="74"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74"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18.04</v>
      </c>
      <c r="GV90" s="74"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74"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74"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74" t="n">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8.37</v>
      </c>
      <c r="GZ90" s="74"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74"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9.7433</v>
      </c>
      <c r="HB90" s="74"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74"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74"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74"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17.44</v>
      </c>
      <c r="HF90" s="74"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74"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15.62</v>
      </c>
      <c r="HH90" s="74"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74"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74"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74" t="n">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7.96</v>
      </c>
      <c r="HL90" s="74"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74"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13.6733</v>
      </c>
      <c r="HN90" s="74"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74"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74"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74"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17.66</v>
      </c>
      <c r="HR90" s="74"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74"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12.58</v>
      </c>
      <c r="HT90" s="74"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74"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74"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74" t="n">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5.58</v>
      </c>
      <c r="HX90" s="74"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74"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11.94</v>
      </c>
      <c r="HZ90" s="74"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74"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74"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74"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2.65</v>
      </c>
      <c r="ID90" s="74"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74"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16.44</v>
      </c>
      <c r="IF90" s="74"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74"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74"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74" t="n">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10.5</v>
      </c>
      <c r="IJ90" s="74"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74"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9.8633</v>
      </c>
    </row>
    <row r="91" customFormat="false" ht="15" hidden="false" customHeight="true" outlineLevel="0" collapsed="false">
      <c r="A91" s="226" t="s">
        <v>448</v>
      </c>
      <c r="B91" s="226" t="s">
        <v>331</v>
      </c>
      <c r="C91" s="230" t="n">
        <v>2850</v>
      </c>
      <c r="D91" s="231"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31"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31"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31"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20.03</v>
      </c>
      <c r="H91" s="231"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31"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18.11</v>
      </c>
      <c r="J91" s="231"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31"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31"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31" t="n">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3.54</v>
      </c>
      <c r="N91" s="231"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58"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13.8933</v>
      </c>
      <c r="P91" s="231"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31"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31"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31"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3.06</v>
      </c>
      <c r="T91" s="231"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31"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19.25</v>
      </c>
      <c r="V91" s="231"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31"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31"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31" t="n">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4.94</v>
      </c>
      <c r="Z91" s="231"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58"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9.0833</v>
      </c>
      <c r="AB91" s="231"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31"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31"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31"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20.83</v>
      </c>
      <c r="AF91" s="231"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31"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20.43</v>
      </c>
      <c r="AH91" s="231"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31"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31"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31" t="n">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6.93</v>
      </c>
      <c r="AL91" s="231"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59"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16.0633</v>
      </c>
      <c r="AN91" s="260"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60"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60"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60"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21.18</v>
      </c>
      <c r="AR91" s="260"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60"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16.08</v>
      </c>
      <c r="AT91" s="260"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60"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60"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60" t="n">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4.66</v>
      </c>
      <c r="AX91" s="260"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59"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13.9733</v>
      </c>
      <c r="AZ91" s="260"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60"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60"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60"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3.27</v>
      </c>
      <c r="BD91" s="260"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60"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21.53</v>
      </c>
      <c r="BF91" s="260"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60"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60"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60" t="n">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3.75</v>
      </c>
      <c r="BJ91" s="260"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59"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9.5167</v>
      </c>
      <c r="BM91" s="74"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74"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74"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74"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16.37</v>
      </c>
      <c r="BQ91" s="74"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74"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15.7</v>
      </c>
      <c r="BS91" s="74"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74"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74"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74" t="n">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3.37</v>
      </c>
      <c r="BW91" s="74"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74"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11.8133</v>
      </c>
      <c r="BY91" s="74"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74"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74"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74"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2.97</v>
      </c>
      <c r="CC91" s="74"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74"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16.53</v>
      </c>
      <c r="CE91" s="74"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74"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74"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74" t="n">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4.6</v>
      </c>
      <c r="CI91" s="74"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74"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8.0333</v>
      </c>
      <c r="CK91" s="74"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74"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74"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74"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16.89</v>
      </c>
      <c r="CO91" s="74"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74"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17.38</v>
      </c>
      <c r="CQ91" s="74"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74"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74"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74" t="n">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6.28</v>
      </c>
      <c r="CU91" s="74"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74"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13.5167</v>
      </c>
      <c r="CW91" s="74"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74"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74"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74"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17.12</v>
      </c>
      <c r="DA91" s="74"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74"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14.16</v>
      </c>
      <c r="DC91" s="74"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74"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74"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74" t="n">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4.36</v>
      </c>
      <c r="DG91" s="74"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74"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11.88</v>
      </c>
      <c r="DI91" s="74"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74"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74"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74"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3.16</v>
      </c>
      <c r="DM91" s="74"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74"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18.15</v>
      </c>
      <c r="DO91" s="74"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74"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74"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74" t="n">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3.56</v>
      </c>
      <c r="DS91" s="74"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74"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8.29</v>
      </c>
      <c r="DU91" s="261"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61"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61"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61"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2.87</v>
      </c>
      <c r="DY91" s="261"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61"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17.13</v>
      </c>
      <c r="EA91" s="261"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61"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61"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61" t="n">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6.53</v>
      </c>
      <c r="EE91" s="261"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62"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8.8433</v>
      </c>
      <c r="EG91" s="261"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61"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61"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61"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2.93</v>
      </c>
      <c r="EK91" s="261"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61"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21.66</v>
      </c>
      <c r="EM91" s="261"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61"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61"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61" t="n">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9.68</v>
      </c>
      <c r="EQ91" s="261"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62"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11.4233</v>
      </c>
      <c r="ES91" s="261"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61"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61"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61"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22.01</v>
      </c>
      <c r="EW91" s="261"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61"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18.23</v>
      </c>
      <c r="EY91" s="261"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61"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61"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61" t="n">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9.14</v>
      </c>
      <c r="FC91" s="261"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62"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16.46</v>
      </c>
      <c r="FE91" s="261"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61"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61"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61"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22.38</v>
      </c>
      <c r="FI91" s="261"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61"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14.22</v>
      </c>
      <c r="FK91" s="261"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61"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61"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61" t="n">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6.15</v>
      </c>
      <c r="FO91" s="261"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62"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14.25</v>
      </c>
      <c r="FQ91" s="261"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61"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61"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61"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2.75</v>
      </c>
      <c r="FU91" s="261"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61"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19.38</v>
      </c>
      <c r="FW91" s="261"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61"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61"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61" t="n">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12.64</v>
      </c>
      <c r="GA91" s="261"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62"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11.59</v>
      </c>
      <c r="GD91" s="74"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74"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74"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74"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2.79</v>
      </c>
      <c r="GH91" s="74"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74"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14.97</v>
      </c>
      <c r="GJ91" s="74"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74"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74"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74" t="n">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5.95</v>
      </c>
      <c r="GN91" s="74"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74"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7.9033</v>
      </c>
      <c r="GP91" s="74"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74"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74"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74"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2.84</v>
      </c>
      <c r="GT91" s="74"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74"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18.25</v>
      </c>
      <c r="GV91" s="74"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74"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74"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74" t="n">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8.45</v>
      </c>
      <c r="GZ91" s="74"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74"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9.8467</v>
      </c>
      <c r="HB91" s="74"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74"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74"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74"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17.64</v>
      </c>
      <c r="HF91" s="74"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74"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15.79</v>
      </c>
      <c r="HH91" s="74"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74"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74"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74" t="n">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8.04</v>
      </c>
      <c r="HL91" s="74"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74"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13.8233</v>
      </c>
      <c r="HN91" s="74"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74"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74"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74"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17.87</v>
      </c>
      <c r="HR91" s="74"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74"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12.71</v>
      </c>
      <c r="HT91" s="74"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74"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74"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74" t="n">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5.64</v>
      </c>
      <c r="HX91" s="74"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74"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12.0733</v>
      </c>
      <c r="HZ91" s="74"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74"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74"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74"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2.68</v>
      </c>
      <c r="ID91" s="74"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74"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16.63</v>
      </c>
      <c r="IF91" s="74"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74"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74"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74" t="n">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10.6</v>
      </c>
      <c r="IJ91" s="74"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74"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9.97</v>
      </c>
    </row>
    <row r="92" customFormat="false" ht="15" hidden="false" customHeight="true" outlineLevel="0" collapsed="false">
      <c r="A92" s="263" t="s">
        <v>449</v>
      </c>
      <c r="B92" s="263" t="s">
        <v>331</v>
      </c>
      <c r="C92" s="264" t="n">
        <v>2900</v>
      </c>
      <c r="D92" s="265"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65"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65"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65"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20.25</v>
      </c>
      <c r="H92" s="265"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65"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18.3</v>
      </c>
      <c r="J92" s="265"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65"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65"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65" t="n">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3.58</v>
      </c>
      <c r="N92" s="265"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58"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14.0433</v>
      </c>
      <c r="P92" s="265"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65"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65"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65"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3.09</v>
      </c>
      <c r="T92" s="265"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65"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19.46</v>
      </c>
      <c r="V92" s="265"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65"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65"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65" t="n">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4.99</v>
      </c>
      <c r="Z92" s="265"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58"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9.18</v>
      </c>
      <c r="AB92" s="265"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65"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65"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65"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21.06</v>
      </c>
      <c r="AF92" s="265"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65"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20.66</v>
      </c>
      <c r="AH92" s="265"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65"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65"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65" t="n">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7</v>
      </c>
      <c r="AL92" s="265"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59"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16.24</v>
      </c>
      <c r="AN92" s="266"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66"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66"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66"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21.42</v>
      </c>
      <c r="AR92" s="266"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66"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16.25</v>
      </c>
      <c r="AT92" s="266"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66"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66"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66" t="n">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4.7</v>
      </c>
      <c r="AX92" s="266"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59"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14.1233</v>
      </c>
      <c r="AZ92" s="266"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66"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66"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66"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3.3</v>
      </c>
      <c r="BD92" s="266"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66"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21.77</v>
      </c>
      <c r="BF92" s="266"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66"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66"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66" t="n">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3.79</v>
      </c>
      <c r="BJ92" s="266"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59"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9.62</v>
      </c>
      <c r="BM92" s="74"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74"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74"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74"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16.55</v>
      </c>
      <c r="BQ92" s="74"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74"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15.87</v>
      </c>
      <c r="BS92" s="74"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74"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74"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74" t="n">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3.4</v>
      </c>
      <c r="BW92" s="74"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74"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11.94</v>
      </c>
      <c r="BY92" s="74"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74"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74"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74"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3</v>
      </c>
      <c r="CC92" s="74"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74"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16.71</v>
      </c>
      <c r="CE92" s="74"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74"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74"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74" t="n">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4.65</v>
      </c>
      <c r="CI92" s="74"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74"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8.12</v>
      </c>
      <c r="CK92" s="74"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74"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74"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74"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17.08</v>
      </c>
      <c r="CO92" s="74"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74"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17.58</v>
      </c>
      <c r="CQ92" s="74"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74"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74"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74" t="n">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6.34</v>
      </c>
      <c r="CU92" s="74"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74"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13.6667</v>
      </c>
      <c r="CW92" s="74"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74"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74"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74"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17.31</v>
      </c>
      <c r="DA92" s="74"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74"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14.31</v>
      </c>
      <c r="DC92" s="74"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74"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74"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74" t="n">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4.4</v>
      </c>
      <c r="DG92" s="74"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74"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12.0067</v>
      </c>
      <c r="DI92" s="74"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74"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74"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74"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3.19</v>
      </c>
      <c r="DM92" s="74"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74"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18.36</v>
      </c>
      <c r="DO92" s="74"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74"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74"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74" t="n">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3.59</v>
      </c>
      <c r="DS92" s="74"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74"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8.38</v>
      </c>
      <c r="DU92" s="267"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67"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67"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67"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2.9</v>
      </c>
      <c r="DY92" s="267"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67"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17.31</v>
      </c>
      <c r="EA92" s="267"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67"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67"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67" t="n">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6.59</v>
      </c>
      <c r="EE92" s="267"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62"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8.9333</v>
      </c>
      <c r="EG92" s="267"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67"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67"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67"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2.96</v>
      </c>
      <c r="EK92" s="267"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67"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21.91</v>
      </c>
      <c r="EM92" s="267"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67"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67"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67" t="n">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9.78</v>
      </c>
      <c r="EQ92" s="267"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62"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11.55</v>
      </c>
      <c r="ES92" s="267"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67"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67"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67"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22.27</v>
      </c>
      <c r="EW92" s="267"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67"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18.43</v>
      </c>
      <c r="EY92" s="267"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67"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67"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67" t="n">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9.23</v>
      </c>
      <c r="FC92" s="267"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62"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16.6433</v>
      </c>
      <c r="FE92" s="267"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67"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67"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67"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22.63</v>
      </c>
      <c r="FI92" s="267"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67"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14.36</v>
      </c>
      <c r="FK92" s="267"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67"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67"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67" t="n">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6.21</v>
      </c>
      <c r="FO92" s="267"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62"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14.4</v>
      </c>
      <c r="FQ92" s="267"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67"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67"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67"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2.78</v>
      </c>
      <c r="FU92" s="267"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67"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19.59</v>
      </c>
      <c r="FW92" s="267"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67"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67"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67" t="n">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12.77</v>
      </c>
      <c r="GA92" s="267"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62"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11.7133</v>
      </c>
      <c r="GD92" s="74"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74"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74"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74"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2.82</v>
      </c>
      <c r="GH92" s="74"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74"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15.13</v>
      </c>
      <c r="GJ92" s="74"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74"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74"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74" t="n">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6.01</v>
      </c>
      <c r="GN92" s="74"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74"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7.9867</v>
      </c>
      <c r="GP92" s="74"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74"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74"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74"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2.87</v>
      </c>
      <c r="GT92" s="74"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74"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18.45</v>
      </c>
      <c r="GV92" s="74"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74"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74"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74" t="n">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8.54</v>
      </c>
      <c r="GZ92" s="74"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74"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9.9533</v>
      </c>
      <c r="HB92" s="74"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74"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74"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74"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17.84</v>
      </c>
      <c r="HF92" s="74"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74"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15.96</v>
      </c>
      <c r="HH92" s="74"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74"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74"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74" t="n">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8.11</v>
      </c>
      <c r="HL92" s="74"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74"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13.97</v>
      </c>
      <c r="HN92" s="74"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74"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74"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74"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18.07</v>
      </c>
      <c r="HR92" s="74"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74"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12.84</v>
      </c>
      <c r="HT92" s="74"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74"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74"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74" t="n">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5.69</v>
      </c>
      <c r="HX92" s="74"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74"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12.2</v>
      </c>
      <c r="HZ92" s="74"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74"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74"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74"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2.7</v>
      </c>
      <c r="ID92" s="74"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74"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16.81</v>
      </c>
      <c r="IF92" s="74"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74"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74"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74" t="n">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10.71</v>
      </c>
      <c r="IJ92" s="74"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74"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10.0733</v>
      </c>
    </row>
    <row r="93" customFormat="false" ht="15" hidden="false" customHeight="true" outlineLevel="0" collapsed="false">
      <c r="A93" s="226" t="s">
        <v>450</v>
      </c>
      <c r="B93" s="226" t="s">
        <v>331</v>
      </c>
      <c r="C93" s="230" t="n">
        <v>2950</v>
      </c>
      <c r="D93" s="231"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31"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31"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31"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20.47</v>
      </c>
      <c r="H93" s="231"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31"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18.5</v>
      </c>
      <c r="J93" s="231"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31"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31"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31" t="n">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3.61</v>
      </c>
      <c r="N93" s="231"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58"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14.1933</v>
      </c>
      <c r="P93" s="231"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31"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31"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31"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3.12</v>
      </c>
      <c r="T93" s="231"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31"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19.67</v>
      </c>
      <c r="V93" s="231"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31"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31"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31" t="n">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5.04</v>
      </c>
      <c r="Z93" s="231"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58"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9.2767</v>
      </c>
      <c r="AB93" s="231"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31"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31"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31"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21.3</v>
      </c>
      <c r="AF93" s="231"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31"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20.89</v>
      </c>
      <c r="AH93" s="231"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31"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31"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31" t="n">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7.06</v>
      </c>
      <c r="AL93" s="231"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59"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16.4167</v>
      </c>
      <c r="AN93" s="260"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60"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60"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60"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21.66</v>
      </c>
      <c r="AR93" s="260"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60"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16.42</v>
      </c>
      <c r="AT93" s="260"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60"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60"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60" t="n">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4.75</v>
      </c>
      <c r="AX93" s="260"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59"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14.2767</v>
      </c>
      <c r="AZ93" s="260"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60"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60"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60"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3.33</v>
      </c>
      <c r="BD93" s="260"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60"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22.02</v>
      </c>
      <c r="BF93" s="260"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60"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60"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60" t="n">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3.83</v>
      </c>
      <c r="BJ93" s="260"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59"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9.7267</v>
      </c>
      <c r="BM93" s="74"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74"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74"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74"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16.74</v>
      </c>
      <c r="BQ93" s="74"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74"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16.04</v>
      </c>
      <c r="BS93" s="74"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74"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74"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74" t="n">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3.44</v>
      </c>
      <c r="BW93" s="74"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74"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12.0733</v>
      </c>
      <c r="BY93" s="74"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74"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74"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74"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3.03</v>
      </c>
      <c r="CC93" s="74"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74"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16.9</v>
      </c>
      <c r="CE93" s="74"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74"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74"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74" t="n">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4.69</v>
      </c>
      <c r="CI93" s="74"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74"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8.2067</v>
      </c>
      <c r="CK93" s="74"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74"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74"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74"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17.27</v>
      </c>
      <c r="CO93" s="74"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74"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17.77</v>
      </c>
      <c r="CQ93" s="74"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74"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74"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74" t="n">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6.4</v>
      </c>
      <c r="CU93" s="74"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74"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13.8133</v>
      </c>
      <c r="CW93" s="74"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74"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74"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74"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17.5</v>
      </c>
      <c r="DA93" s="74"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74"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14.47</v>
      </c>
      <c r="DC93" s="74"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74"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74"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74" t="n">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4.44</v>
      </c>
      <c r="DG93" s="74"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74"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12.1367</v>
      </c>
      <c r="DI93" s="74"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74"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74"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74"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3.22</v>
      </c>
      <c r="DM93" s="74"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74"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18.56</v>
      </c>
      <c r="DO93" s="74"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74"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74"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74" t="n">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3.63</v>
      </c>
      <c r="DS93" s="74"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74"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8.47</v>
      </c>
      <c r="DU93" s="261"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61"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61"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61"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2.93</v>
      </c>
      <c r="DY93" s="261"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61"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17.5</v>
      </c>
      <c r="EA93" s="261"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61"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61"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61" t="n">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6.66</v>
      </c>
      <c r="EE93" s="261"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62"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9.03</v>
      </c>
      <c r="EG93" s="261"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61"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61"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61"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2.98</v>
      </c>
      <c r="EK93" s="261"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61"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22.16</v>
      </c>
      <c r="EM93" s="261"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61"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61"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61" t="n">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9.88</v>
      </c>
      <c r="EQ93" s="261"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62"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11.6733</v>
      </c>
      <c r="ES93" s="261"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61"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61"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61"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22.52</v>
      </c>
      <c r="EW93" s="261"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61"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18.63</v>
      </c>
      <c r="EY93" s="261"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61"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61"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61" t="n">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9.32</v>
      </c>
      <c r="FC93" s="261"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62"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16.8233</v>
      </c>
      <c r="FE93" s="261"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61"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61"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61"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22.89</v>
      </c>
      <c r="FI93" s="261"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61"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14.51</v>
      </c>
      <c r="FK93" s="261"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61"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61"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61" t="n">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6.27</v>
      </c>
      <c r="FO93" s="261"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62"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14.5567</v>
      </c>
      <c r="FQ93" s="261"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61"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61"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61"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2.8</v>
      </c>
      <c r="FU93" s="261"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61"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19.81</v>
      </c>
      <c r="FW93" s="261"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61"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61"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61" t="n">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12.9</v>
      </c>
      <c r="GA93" s="261"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62"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11.8367</v>
      </c>
      <c r="GD93" s="74"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74"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74"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74"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2.84</v>
      </c>
      <c r="GH93" s="74"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74"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15.29</v>
      </c>
      <c r="GJ93" s="74"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74"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74"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74" t="n">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6.07</v>
      </c>
      <c r="GN93" s="74"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74"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8.0667</v>
      </c>
      <c r="GP93" s="74"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74"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74"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74"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2.9</v>
      </c>
      <c r="GT93" s="74"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74"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18.66</v>
      </c>
      <c r="GV93" s="74"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74"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74"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74" t="n">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8.62</v>
      </c>
      <c r="GZ93" s="74"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74"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10.06</v>
      </c>
      <c r="HB93" s="74"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74"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74"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74"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18.04</v>
      </c>
      <c r="HF93" s="74"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74"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16.13</v>
      </c>
      <c r="HH93" s="74"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74"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74"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74" t="n">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8.19</v>
      </c>
      <c r="HL93" s="74"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74"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14.12</v>
      </c>
      <c r="HN93" s="74"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74"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74"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74"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18.28</v>
      </c>
      <c r="HR93" s="74"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74"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12.98</v>
      </c>
      <c r="HT93" s="74"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74"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74"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74" t="n">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5.75</v>
      </c>
      <c r="HX93" s="74"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74"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12.3367</v>
      </c>
      <c r="HZ93" s="74"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74"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74"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74"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2.73</v>
      </c>
      <c r="ID93" s="74"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74"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16.99</v>
      </c>
      <c r="IF93" s="74"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74"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74"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74" t="n">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10.82</v>
      </c>
      <c r="IJ93" s="74"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74"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10.18</v>
      </c>
    </row>
    <row r="94" customFormat="false" ht="15" hidden="false" customHeight="true" outlineLevel="0" collapsed="false">
      <c r="A94" s="263" t="s">
        <v>451</v>
      </c>
      <c r="B94" s="263" t="s">
        <v>331</v>
      </c>
      <c r="C94" s="263" t="n">
        <v>3000</v>
      </c>
      <c r="D94" s="263"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63"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63"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63"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20.7</v>
      </c>
      <c r="H94" s="263"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63"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18.7</v>
      </c>
      <c r="J94" s="263"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63"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63"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63" t="n">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3.65</v>
      </c>
      <c r="N94" s="263"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68"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14.35</v>
      </c>
      <c r="P94" s="263"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63"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63"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63"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3.15</v>
      </c>
      <c r="T94" s="263"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63"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19.89</v>
      </c>
      <c r="V94" s="263"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63"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63"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63" t="n">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5.09</v>
      </c>
      <c r="Z94" s="263"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68"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9.3767</v>
      </c>
      <c r="AB94" s="263"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63"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63"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63"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21.54</v>
      </c>
      <c r="AF94" s="263"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63"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21.13</v>
      </c>
      <c r="AH94" s="263"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63"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63"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63" t="n">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7.13</v>
      </c>
      <c r="AL94" s="263"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59"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16.6</v>
      </c>
      <c r="AN94" s="266"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66"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66"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66"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21.91</v>
      </c>
      <c r="AR94" s="266"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66"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16.59</v>
      </c>
      <c r="AT94" s="266"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66"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66"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66" t="n">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4.79</v>
      </c>
      <c r="AX94" s="266"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59"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14.43</v>
      </c>
      <c r="AZ94" s="266"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66"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66"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66"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3.36</v>
      </c>
      <c r="BD94" s="266"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66"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22.26</v>
      </c>
      <c r="BF94" s="266"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66"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66"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66" t="n">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3.86</v>
      </c>
      <c r="BJ94" s="266"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59"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9.8267</v>
      </c>
      <c r="BM94" s="74"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74"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74"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74"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16.92</v>
      </c>
      <c r="BQ94" s="74"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74"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16.21</v>
      </c>
      <c r="BS94" s="74"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74"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74"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74" t="n">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3.47</v>
      </c>
      <c r="BW94" s="74"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74"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12.2</v>
      </c>
      <c r="BY94" s="74"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74"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74"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74"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3.06</v>
      </c>
      <c r="CC94" s="74"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74"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17.08</v>
      </c>
      <c r="CE94" s="74"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74"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74"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74" t="n">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4.74</v>
      </c>
      <c r="CI94" s="74"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74"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8.2933</v>
      </c>
      <c r="CK94" s="74"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74"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74"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74"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17.46</v>
      </c>
      <c r="CO94" s="74"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74"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17.97</v>
      </c>
      <c r="CQ94" s="74"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74"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74"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74" t="n">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6.47</v>
      </c>
      <c r="CU94" s="74"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74"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13.9667</v>
      </c>
      <c r="CW94" s="74"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74"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74"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74"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17.7</v>
      </c>
      <c r="DA94" s="74"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74"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14.62</v>
      </c>
      <c r="DC94" s="74"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74"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74"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74" t="n">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4.48</v>
      </c>
      <c r="DG94" s="74"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74"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12.2667</v>
      </c>
      <c r="DI94" s="74"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74"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74"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74"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3.25</v>
      </c>
      <c r="DM94" s="74"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74"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18.77</v>
      </c>
      <c r="DO94" s="74"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74"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74"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74" t="n">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3.66</v>
      </c>
      <c r="DS94" s="74"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74"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8.56</v>
      </c>
      <c r="DU94" s="267"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67"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67"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67"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2.96</v>
      </c>
      <c r="DY94" s="267"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67"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17.69</v>
      </c>
      <c r="EA94" s="267"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67"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67"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67" t="n">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6.72</v>
      </c>
      <c r="EE94" s="267"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62"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9.1233</v>
      </c>
      <c r="EG94" s="267"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67"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67"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67"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3.01</v>
      </c>
      <c r="EK94" s="267"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67"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22.41</v>
      </c>
      <c r="EM94" s="267"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67"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67"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67" t="n">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9.97</v>
      </c>
      <c r="EQ94" s="267"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62"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11.7967</v>
      </c>
      <c r="ES94" s="267"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67"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67"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67"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22.77</v>
      </c>
      <c r="EW94" s="267"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67"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18.83</v>
      </c>
      <c r="EY94" s="267"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67"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67"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67" t="n">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9.41</v>
      </c>
      <c r="FC94" s="267"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62"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17.0033</v>
      </c>
      <c r="FE94" s="267"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67"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67"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67"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23.15</v>
      </c>
      <c r="FI94" s="267"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67"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14.66</v>
      </c>
      <c r="FK94" s="267"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67"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67"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67" t="n">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6.33</v>
      </c>
      <c r="FO94" s="267"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62"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14.7133</v>
      </c>
      <c r="FQ94" s="267"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67"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67"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67"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2.83</v>
      </c>
      <c r="FU94" s="267"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67"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20.02</v>
      </c>
      <c r="FW94" s="267"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67"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67"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67" t="n">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13.03</v>
      </c>
      <c r="GA94" s="267"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62"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11.96</v>
      </c>
      <c r="GD94" s="74"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74"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74"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74"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2.87</v>
      </c>
      <c r="GH94" s="74"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74"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15.45</v>
      </c>
      <c r="GJ94" s="74"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74"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74"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74" t="n">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6.13</v>
      </c>
      <c r="GN94" s="74"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74"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8.15</v>
      </c>
      <c r="GP94" s="74"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74"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74"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74"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2.93</v>
      </c>
      <c r="GT94" s="74"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74"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18.87</v>
      </c>
      <c r="GV94" s="74"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74"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74"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74" t="n">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8.71</v>
      </c>
      <c r="GZ94" s="74"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74"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10.17</v>
      </c>
      <c r="HB94" s="74"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74"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74"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74"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18.25</v>
      </c>
      <c r="HF94" s="74"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74"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16.31</v>
      </c>
      <c r="HH94" s="74"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74"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74"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74" t="n">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8.27</v>
      </c>
      <c r="HL94" s="74"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74"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14.2767</v>
      </c>
      <c r="HN94" s="74"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74"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74"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74"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18.48</v>
      </c>
      <c r="HR94" s="74"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74"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13.11</v>
      </c>
      <c r="HT94" s="74"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74"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74"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74" t="n">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5.8</v>
      </c>
      <c r="HX94" s="74"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74"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12.4633</v>
      </c>
      <c r="HZ94" s="74"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74"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74"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74"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2.75</v>
      </c>
      <c r="ID94" s="74"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74"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17.18</v>
      </c>
      <c r="IF94" s="74"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74"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74"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74" t="n">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10.93</v>
      </c>
      <c r="IJ94" s="74"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74"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10.2867</v>
      </c>
    </row>
    <row r="95" customFormat="false" ht="15" hidden="false" customHeight="true" outlineLevel="0" collapsed="false">
      <c r="A95" s="226" t="s">
        <v>452</v>
      </c>
      <c r="B95" s="226" t="s">
        <v>331</v>
      </c>
      <c r="C95" s="226" t="n">
        <v>3050</v>
      </c>
      <c r="D95" s="226"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26"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26"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26"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20.93</v>
      </c>
      <c r="H95" s="226"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26"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18.9</v>
      </c>
      <c r="J95" s="226"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26"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26"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26" t="n">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3.69</v>
      </c>
      <c r="N95" s="226"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68"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14.5067</v>
      </c>
      <c r="P95" s="226"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26"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26"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26"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3.18</v>
      </c>
      <c r="T95" s="226"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26"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20.11</v>
      </c>
      <c r="V95" s="226"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26"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26"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26" t="n">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5.14</v>
      </c>
      <c r="Z95" s="226"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68"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9.4767</v>
      </c>
      <c r="AB95" s="226"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26"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26"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26"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21.78</v>
      </c>
      <c r="AF95" s="226"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26"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21.36</v>
      </c>
      <c r="AH95" s="226"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26"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26"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26" t="n">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7.2</v>
      </c>
      <c r="AL95" s="226"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59"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16.78</v>
      </c>
      <c r="AN95" s="260"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60"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60"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60"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22.15</v>
      </c>
      <c r="AR95" s="260"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60"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16.77</v>
      </c>
      <c r="AT95" s="260"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60"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60"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60" t="n">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4.84</v>
      </c>
      <c r="AX95" s="260"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59"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14.5867</v>
      </c>
      <c r="AZ95" s="260"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60"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60"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60"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3.4</v>
      </c>
      <c r="BD95" s="260"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60"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22.51</v>
      </c>
      <c r="BF95" s="260"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60"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60"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60" t="n">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3.9</v>
      </c>
      <c r="BJ95" s="260"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59"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9.9367</v>
      </c>
      <c r="BM95" s="74"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74"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74"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74"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17.11</v>
      </c>
      <c r="BQ95" s="74"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74"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16.39</v>
      </c>
      <c r="BS95" s="74"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74"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74"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74" t="n">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3.5</v>
      </c>
      <c r="BW95" s="74"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74"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12.3333</v>
      </c>
      <c r="BY95" s="74"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74"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74"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74"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3.09</v>
      </c>
      <c r="CC95" s="74"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74"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17.27</v>
      </c>
      <c r="CE95" s="74"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74"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74"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74" t="n">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4.78</v>
      </c>
      <c r="CI95" s="74"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74"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8.38</v>
      </c>
      <c r="CK95" s="74"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74"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74"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74"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17.66</v>
      </c>
      <c r="CO95" s="74"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74"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18.17</v>
      </c>
      <c r="CQ95" s="74"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74"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74"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74" t="n">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6.53</v>
      </c>
      <c r="CU95" s="74"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74"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14.12</v>
      </c>
      <c r="CW95" s="74"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74"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74"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74"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17.9</v>
      </c>
      <c r="DA95" s="74"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74"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14.77</v>
      </c>
      <c r="DC95" s="74"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74"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74"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74" t="n">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4.53</v>
      </c>
      <c r="DG95" s="74"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74"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12.4</v>
      </c>
      <c r="DI95" s="74"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74"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74"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74"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3.29</v>
      </c>
      <c r="DM95" s="74"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74"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18.98</v>
      </c>
      <c r="DO95" s="74"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74"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74"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74" t="n">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3.7</v>
      </c>
      <c r="DS95" s="74"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74"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8.6567</v>
      </c>
      <c r="DU95" s="261"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61"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61"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61"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2.99</v>
      </c>
      <c r="DY95" s="261"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61"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17.88</v>
      </c>
      <c r="EA95" s="261"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61"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61"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61" t="n">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6.79</v>
      </c>
      <c r="EE95" s="261"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62"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9.22</v>
      </c>
      <c r="EG95" s="261"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61"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61"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61"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3.04</v>
      </c>
      <c r="EK95" s="261"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61"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22.66</v>
      </c>
      <c r="EM95" s="261"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61"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61"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61" t="n">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10.07</v>
      </c>
      <c r="EQ95" s="261"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62"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11.9233</v>
      </c>
      <c r="ES95" s="261"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61"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61"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61"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23.03</v>
      </c>
      <c r="EW95" s="261"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61"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19.03</v>
      </c>
      <c r="EY95" s="261"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61"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61"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61" t="n">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9.5</v>
      </c>
      <c r="FC95" s="261"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62"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17.1867</v>
      </c>
      <c r="FE95" s="261"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61"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61"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61"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23.42</v>
      </c>
      <c r="FI95" s="261"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61"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14.82</v>
      </c>
      <c r="FK95" s="261"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61"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61"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61" t="n">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6.39</v>
      </c>
      <c r="FO95" s="261"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62"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14.8767</v>
      </c>
      <c r="FQ95" s="261"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61"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61"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61"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2.86</v>
      </c>
      <c r="FU95" s="261"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61"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20.24</v>
      </c>
      <c r="FW95" s="261"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61"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61"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61" t="n">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13.17</v>
      </c>
      <c r="GA95" s="261"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62"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12.09</v>
      </c>
      <c r="GD95" s="74"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74"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74"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74"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2.9</v>
      </c>
      <c r="GH95" s="74"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74"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15.62</v>
      </c>
      <c r="GJ95" s="74"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74"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74"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74" t="n">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6.19</v>
      </c>
      <c r="GN95" s="74"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74"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8.2367</v>
      </c>
      <c r="GP95" s="74"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74"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74"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74"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2.95</v>
      </c>
      <c r="GT95" s="74"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74"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19.09</v>
      </c>
      <c r="GV95" s="74"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74"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74"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74" t="n">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8.79</v>
      </c>
      <c r="GZ95" s="74"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74"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10.2767</v>
      </c>
      <c r="HB95" s="74"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74"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74"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74"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18.45</v>
      </c>
      <c r="HF95" s="74"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74"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16.48</v>
      </c>
      <c r="HH95" s="74"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74"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74"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74" t="n">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8.36</v>
      </c>
      <c r="HL95" s="74"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74"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14.43</v>
      </c>
      <c r="HN95" s="74"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74"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74"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74"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18.69</v>
      </c>
      <c r="HR95" s="74"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74"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13.25</v>
      </c>
      <c r="HT95" s="74"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74"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74"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74" t="n">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5.86</v>
      </c>
      <c r="HX95" s="74"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74"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12.6</v>
      </c>
      <c r="HZ95" s="74"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74"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74"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74"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2.78</v>
      </c>
      <c r="ID95" s="74"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74"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17.37</v>
      </c>
      <c r="IF95" s="74"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74"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74"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74" t="n">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11.04</v>
      </c>
      <c r="IJ95" s="74"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74"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10.3967</v>
      </c>
    </row>
    <row r="96" customFormat="false" ht="15" hidden="false" customHeight="true" outlineLevel="0" collapsed="false">
      <c r="A96" s="263" t="s">
        <v>453</v>
      </c>
      <c r="B96" s="263" t="s">
        <v>331</v>
      </c>
      <c r="C96" s="263" t="n">
        <v>3100</v>
      </c>
      <c r="D96" s="263"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63"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63"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63"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21.16</v>
      </c>
      <c r="H96" s="263"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63"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19.11</v>
      </c>
      <c r="J96" s="263"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63"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63"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63" t="n">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3.72</v>
      </c>
      <c r="N96" s="263"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68"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14.6633</v>
      </c>
      <c r="P96" s="263"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63"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63"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63"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3.21</v>
      </c>
      <c r="T96" s="263"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63"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20.33</v>
      </c>
      <c r="V96" s="263"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63"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63"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63" t="n">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5.19</v>
      </c>
      <c r="Z96" s="263"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68"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9.5767</v>
      </c>
      <c r="AB96" s="263"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63"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63"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63"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22.02</v>
      </c>
      <c r="AF96" s="263"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63"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21.6</v>
      </c>
      <c r="AH96" s="263"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63"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63"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63" t="n">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7.27</v>
      </c>
      <c r="AL96" s="263"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59"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16.9633</v>
      </c>
      <c r="AN96" s="266"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66"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66"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66"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22.4</v>
      </c>
      <c r="AR96" s="266"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66"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16.95</v>
      </c>
      <c r="AT96" s="266"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66"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66"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66" t="n">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4.89</v>
      </c>
      <c r="AX96" s="266"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59"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14.7467</v>
      </c>
      <c r="AZ96" s="266"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66"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66"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66"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3.43</v>
      </c>
      <c r="BD96" s="266"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66"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22.77</v>
      </c>
      <c r="BF96" s="266"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66"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66"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66" t="n">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3.94</v>
      </c>
      <c r="BJ96" s="266"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59"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10.0467</v>
      </c>
      <c r="BM96" s="74"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74"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74"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74"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17.29</v>
      </c>
      <c r="BQ96" s="74"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74"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16.56</v>
      </c>
      <c r="BS96" s="74"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74"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74"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74" t="n">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3.54</v>
      </c>
      <c r="BW96" s="74"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74"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12.4633</v>
      </c>
      <c r="BY96" s="74"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74"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74"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74"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3.12</v>
      </c>
      <c r="CC96" s="74"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74"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17.46</v>
      </c>
      <c r="CE96" s="74"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74"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74"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74" t="n">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4.83</v>
      </c>
      <c r="CI96" s="74"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74"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8.47</v>
      </c>
      <c r="CK96" s="74"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74"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74"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74"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17.85</v>
      </c>
      <c r="CO96" s="74"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74"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18.37</v>
      </c>
      <c r="CQ96" s="74"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74"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74"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74" t="n">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6.59</v>
      </c>
      <c r="CU96" s="74"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74"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14.27</v>
      </c>
      <c r="CW96" s="74"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74"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74"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74"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18.1</v>
      </c>
      <c r="DA96" s="74"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74"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14.93</v>
      </c>
      <c r="DC96" s="74"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74"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74"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74" t="n">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4.57</v>
      </c>
      <c r="DG96" s="74"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74"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12.5333</v>
      </c>
      <c r="DI96" s="74"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74"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74"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74"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3.32</v>
      </c>
      <c r="DM96" s="74"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74"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19.2</v>
      </c>
      <c r="DO96" s="74"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74"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74"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74" t="n">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3.73</v>
      </c>
      <c r="DS96" s="74"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74"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8.75</v>
      </c>
      <c r="DU96" s="267"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67"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67"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67"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3.01</v>
      </c>
      <c r="DY96" s="267"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67"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18.07</v>
      </c>
      <c r="EA96" s="267"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67"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67"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67" t="n">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6.85</v>
      </c>
      <c r="EE96" s="267"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62"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9.31</v>
      </c>
      <c r="EG96" s="267"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67"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67"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67"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3.07</v>
      </c>
      <c r="EK96" s="267"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67"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22.91</v>
      </c>
      <c r="EM96" s="267"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67"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67"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67" t="n">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10.17</v>
      </c>
      <c r="EQ96" s="267"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62"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12.05</v>
      </c>
      <c r="ES96" s="267"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67"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67"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67"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23.29</v>
      </c>
      <c r="EW96" s="267"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67"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19.24</v>
      </c>
      <c r="EY96" s="267"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67"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67"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67" t="n">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9.6</v>
      </c>
      <c r="FC96" s="267"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62"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17.3767</v>
      </c>
      <c r="FE96" s="267"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67"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67"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67"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23.68</v>
      </c>
      <c r="FI96" s="267"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67"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14.97</v>
      </c>
      <c r="FK96" s="267"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67"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67"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67" t="n">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6.46</v>
      </c>
      <c r="FO96" s="267"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62"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15.0367</v>
      </c>
      <c r="FQ96" s="267"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67"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67"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67"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2.88</v>
      </c>
      <c r="FU96" s="267"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67"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20.46</v>
      </c>
      <c r="FW96" s="267"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67"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67"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67" t="n">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13.3</v>
      </c>
      <c r="GA96" s="267"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62"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12.2133</v>
      </c>
      <c r="GD96" s="74"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74"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74"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74"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2.93</v>
      </c>
      <c r="GH96" s="74"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74"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15.78</v>
      </c>
      <c r="GJ96" s="74"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74"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74"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74" t="n">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6.25</v>
      </c>
      <c r="GN96" s="74"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74"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8.32</v>
      </c>
      <c r="GP96" s="74"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74"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74"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74"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2.98</v>
      </c>
      <c r="GT96" s="74"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74"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19.3</v>
      </c>
      <c r="GV96" s="74"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74"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74"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74" t="n">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8.88</v>
      </c>
      <c r="GZ96" s="74"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74"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10.3867</v>
      </c>
      <c r="HB96" s="74"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74"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74"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74"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18.66</v>
      </c>
      <c r="HF96" s="74"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74"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16.66</v>
      </c>
      <c r="HH96" s="74"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74"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74"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74" t="n">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8.44</v>
      </c>
      <c r="HL96" s="74"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74"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14.5867</v>
      </c>
      <c r="HN96" s="74"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74"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74"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74"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18.9</v>
      </c>
      <c r="HR96" s="74"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74"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13.38</v>
      </c>
      <c r="HT96" s="74"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74"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74"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74" t="n">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5.92</v>
      </c>
      <c r="HX96" s="74"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74"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12.7333</v>
      </c>
      <c r="HZ96" s="74"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74"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74"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74"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2.81</v>
      </c>
      <c r="ID96" s="74"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74"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17.56</v>
      </c>
      <c r="IF96" s="74"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74"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74"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74" t="n">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11.15</v>
      </c>
      <c r="IJ96" s="74"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74"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10.5067</v>
      </c>
    </row>
    <row r="97" customFormat="false" ht="15" hidden="false" customHeight="true" outlineLevel="0" collapsed="false">
      <c r="A97" s="226" t="s">
        <v>454</v>
      </c>
      <c r="B97" s="227" t="s">
        <v>331</v>
      </c>
      <c r="C97" s="226" t="n">
        <v>3150</v>
      </c>
      <c r="D97" s="226"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26"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26"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26"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21.39</v>
      </c>
      <c r="H97" s="226"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26"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19.31</v>
      </c>
      <c r="J97" s="226"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26"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26"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26" t="n">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3.76</v>
      </c>
      <c r="N97" s="226"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68"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14.82</v>
      </c>
      <c r="P97" s="226"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26"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26"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26"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3.25</v>
      </c>
      <c r="T97" s="226"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26"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20.55</v>
      </c>
      <c r="V97" s="226"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26"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26"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26" t="n">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5.24</v>
      </c>
      <c r="Z97" s="226"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68"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9.68</v>
      </c>
      <c r="AB97" s="226"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26"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26"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26"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22.26</v>
      </c>
      <c r="AF97" s="226"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26"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21.83</v>
      </c>
      <c r="AH97" s="226"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26"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26"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26" t="n">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7.35</v>
      </c>
      <c r="AL97" s="226"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59"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17.1467</v>
      </c>
      <c r="AN97" s="260"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60"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60"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60"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22.65</v>
      </c>
      <c r="AR97" s="260"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60"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17.12</v>
      </c>
      <c r="AT97" s="260"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60"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60"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60" t="n">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4.94</v>
      </c>
      <c r="AX97" s="260"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59"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14.9033</v>
      </c>
      <c r="AZ97" s="260"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60"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60"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60"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3.46</v>
      </c>
      <c r="BD97" s="260"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60"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23.02</v>
      </c>
      <c r="BF97" s="260"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60"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60"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60" t="n">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3.98</v>
      </c>
      <c r="BJ97" s="260"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59"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10.1533</v>
      </c>
      <c r="BM97" s="74"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74"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74"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74"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17.48</v>
      </c>
      <c r="BQ97" s="74"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74"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16.74</v>
      </c>
      <c r="BS97" s="74"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74"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74"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74" t="n">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3.57</v>
      </c>
      <c r="BW97" s="74"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74"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12.5967</v>
      </c>
      <c r="BY97" s="74"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74"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74"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74"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3.15</v>
      </c>
      <c r="CC97" s="74"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74"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17.65</v>
      </c>
      <c r="CE97" s="74"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74"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74"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74" t="n">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4.88</v>
      </c>
      <c r="CI97" s="74"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74"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8.56</v>
      </c>
      <c r="CK97" s="74"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74"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74"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74"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18.05</v>
      </c>
      <c r="CO97" s="74"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74"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18.57</v>
      </c>
      <c r="CQ97" s="74"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74"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74"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74" t="n">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6.66</v>
      </c>
      <c r="CU97" s="74"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74"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14.4267</v>
      </c>
      <c r="CW97" s="74"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74"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74"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74"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18.3</v>
      </c>
      <c r="DA97" s="74"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74"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15.09</v>
      </c>
      <c r="DC97" s="74"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74"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74"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74" t="n">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4.62</v>
      </c>
      <c r="DG97" s="74"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74"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12.67</v>
      </c>
      <c r="DI97" s="74"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74"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74"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74"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3.35</v>
      </c>
      <c r="DM97" s="74"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74"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19.41</v>
      </c>
      <c r="DO97" s="74"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74"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74"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74" t="n">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3.77</v>
      </c>
      <c r="DS97" s="74"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74"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8.8433</v>
      </c>
      <c r="DU97" s="261"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61"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61"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61"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3.04</v>
      </c>
      <c r="DY97" s="261"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61"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18.26</v>
      </c>
      <c r="EA97" s="261"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61"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61"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61" t="n">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6.92</v>
      </c>
      <c r="EE97" s="261"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62"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9.4067</v>
      </c>
      <c r="EG97" s="261"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61"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61"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61"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3.1</v>
      </c>
      <c r="EK97" s="261"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61"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23.17</v>
      </c>
      <c r="EM97" s="261"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61"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61"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61" t="n">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10.28</v>
      </c>
      <c r="EQ97" s="261"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62"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12.1833</v>
      </c>
      <c r="ES97" s="261"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61"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61"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61"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23.55</v>
      </c>
      <c r="EW97" s="261"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61"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19.45</v>
      </c>
      <c r="EY97" s="261"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61"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61"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61" t="n">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9.69</v>
      </c>
      <c r="FC97" s="261"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62"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17.5633</v>
      </c>
      <c r="FE97" s="261"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61"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61"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61"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23.95</v>
      </c>
      <c r="FI97" s="261"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61"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15.12</v>
      </c>
      <c r="FK97" s="261"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61"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61"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61" t="n">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6.52</v>
      </c>
      <c r="FO97" s="261"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62"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15.1967</v>
      </c>
      <c r="FQ97" s="261"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61"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61"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61"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2.91</v>
      </c>
      <c r="FU97" s="261"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61"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20.69</v>
      </c>
      <c r="FW97" s="261"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61"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61"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61" t="n">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13.44</v>
      </c>
      <c r="GA97" s="261"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62"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12.3467</v>
      </c>
      <c r="GD97" s="74"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74"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74"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74"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2.96</v>
      </c>
      <c r="GH97" s="74"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74"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15.95</v>
      </c>
      <c r="GJ97" s="74"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74"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74"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74" t="n">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6.31</v>
      </c>
      <c r="GN97" s="74"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74"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8.4067</v>
      </c>
      <c r="GP97" s="74"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74"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74"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74"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3.01</v>
      </c>
      <c r="GT97" s="74"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74"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19.51</v>
      </c>
      <c r="GV97" s="74"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74"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74"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74" t="n">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8.97</v>
      </c>
      <c r="GZ97" s="74"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74"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10.4967</v>
      </c>
      <c r="HB97" s="74"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74"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74"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74"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18.87</v>
      </c>
      <c r="HF97" s="74"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74"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16.84</v>
      </c>
      <c r="HH97" s="74"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74"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74"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74" t="n">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8.52</v>
      </c>
      <c r="HL97" s="74"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74"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14.7433</v>
      </c>
      <c r="HN97" s="74"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74"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74"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74"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19.12</v>
      </c>
      <c r="HR97" s="74"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74"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13.52</v>
      </c>
      <c r="HT97" s="74"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74"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74"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74" t="n">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5.97</v>
      </c>
      <c r="HX97" s="74"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74"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12.87</v>
      </c>
      <c r="HZ97" s="74"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74"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74"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74"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2.83</v>
      </c>
      <c r="ID97" s="74"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74"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17.75</v>
      </c>
      <c r="IF97" s="74"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74"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74"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74" t="n">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11.27</v>
      </c>
      <c r="IJ97" s="74"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74"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10.6167</v>
      </c>
    </row>
    <row r="98" customFormat="false" ht="15" hidden="false" customHeight="true" outlineLevel="0" collapsed="false">
      <c r="A98" s="249" t="s">
        <v>455</v>
      </c>
      <c r="B98" s="269" t="s">
        <v>397</v>
      </c>
      <c r="C98" s="250" t="n">
        <v>3200</v>
      </c>
      <c r="D98" s="250"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50"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50"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50"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21.63</v>
      </c>
      <c r="H98" s="250"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50"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19.52</v>
      </c>
      <c r="J98" s="250"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50"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50"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50" t="n">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3.8</v>
      </c>
      <c r="N98" s="250"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70"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14.9833</v>
      </c>
      <c r="P98" s="250"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50"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50"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50"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3.28</v>
      </c>
      <c r="T98" s="250"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50"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20.77</v>
      </c>
      <c r="V98" s="250"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50"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50"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50" t="n">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5.29</v>
      </c>
      <c r="Z98" s="250"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70"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9.78</v>
      </c>
      <c r="AB98" s="250"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50"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50"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50"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22.51</v>
      </c>
      <c r="AF98" s="250"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50"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22.07</v>
      </c>
      <c r="AH98" s="250"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50"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50"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50" t="n">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7.42</v>
      </c>
      <c r="AL98" s="250"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54"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17.3333</v>
      </c>
      <c r="AN98" s="255"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55"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55"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55"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22.9</v>
      </c>
      <c r="AR98" s="255"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55"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17.3</v>
      </c>
      <c r="AT98" s="255"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55"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55"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55" t="n">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4.99</v>
      </c>
      <c r="AX98" s="255"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54"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15.0633</v>
      </c>
      <c r="AZ98" s="255"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55"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55"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55"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3.5</v>
      </c>
      <c r="BD98" s="255"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55"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23.28</v>
      </c>
      <c r="BF98" s="255"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55"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55"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55" t="n">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4.02</v>
      </c>
      <c r="BJ98" s="255"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54"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10.2667</v>
      </c>
      <c r="BM98" s="74"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74"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74"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74"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17.68</v>
      </c>
      <c r="BQ98" s="74"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74"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16.92</v>
      </c>
      <c r="BS98" s="74"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74"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74"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74" t="n">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3.61</v>
      </c>
      <c r="BW98" s="74"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74"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12.7367</v>
      </c>
      <c r="BY98" s="74"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74"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74"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74"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3.18</v>
      </c>
      <c r="CC98" s="74"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74"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17.84</v>
      </c>
      <c r="CE98" s="74"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74"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74"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74" t="n">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4.93</v>
      </c>
      <c r="CI98" s="74"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74"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8.65</v>
      </c>
      <c r="CK98" s="74"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74"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74"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74"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18.25</v>
      </c>
      <c r="CO98" s="74"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74"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18.78</v>
      </c>
      <c r="CQ98" s="74"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74"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74"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74" t="n">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6.72</v>
      </c>
      <c r="CU98" s="74"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74"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14.5833</v>
      </c>
      <c r="CW98" s="74"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74"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74"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74"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18.5</v>
      </c>
      <c r="DA98" s="74"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74"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15.24</v>
      </c>
      <c r="DC98" s="74"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74"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74"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74" t="n">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4.66</v>
      </c>
      <c r="DG98" s="74"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74"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12.8</v>
      </c>
      <c r="DI98" s="74"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74"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74"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74"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3.38</v>
      </c>
      <c r="DM98" s="74"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74"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19.63</v>
      </c>
      <c r="DO98" s="74"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74"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74"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74" t="n">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3.81</v>
      </c>
      <c r="DS98" s="74"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74"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8.94</v>
      </c>
      <c r="DU98" s="256"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56"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56"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56"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3.07</v>
      </c>
      <c r="DY98" s="256"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56"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18.45</v>
      </c>
      <c r="EA98" s="256"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56"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56"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56" t="n">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6.99</v>
      </c>
      <c r="EE98" s="256"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57"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9.5033</v>
      </c>
      <c r="EG98" s="256"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56"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56"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56"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3.13</v>
      </c>
      <c r="EK98" s="256"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56"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23.43</v>
      </c>
      <c r="EM98" s="256"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56"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56"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56" t="n">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10.38</v>
      </c>
      <c r="EQ98" s="256"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57"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12.3133</v>
      </c>
      <c r="ES98" s="256"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56"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56"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56"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23.81</v>
      </c>
      <c r="EW98" s="256"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56"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19.66</v>
      </c>
      <c r="EY98" s="256"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56"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56"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56" t="n">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9.79</v>
      </c>
      <c r="FC98" s="256"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57"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17.7533</v>
      </c>
      <c r="FE98" s="256"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56"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56"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56"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24.21</v>
      </c>
      <c r="FI98" s="256"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56"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15.28</v>
      </c>
      <c r="FK98" s="256"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56"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56"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56" t="n">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6.59</v>
      </c>
      <c r="FO98" s="256"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57"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15.36</v>
      </c>
      <c r="FQ98" s="256"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56"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56"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56"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2.94</v>
      </c>
      <c r="FU98" s="256"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56"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20.91</v>
      </c>
      <c r="FW98" s="256"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56"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56"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56" t="n">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13.57</v>
      </c>
      <c r="GA98" s="256"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57"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12.4733</v>
      </c>
      <c r="GD98" s="74"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74"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74"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74"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2.99</v>
      </c>
      <c r="GH98" s="74"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74"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16.12</v>
      </c>
      <c r="GJ98" s="74"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74"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74"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74" t="n">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6.37</v>
      </c>
      <c r="GN98" s="74"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74"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8.4933</v>
      </c>
      <c r="GP98" s="74"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74"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74"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74"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3.04</v>
      </c>
      <c r="GT98" s="74"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74"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19.73</v>
      </c>
      <c r="GV98" s="74"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74"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74"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74" t="n">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9.06</v>
      </c>
      <c r="GZ98" s="74"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74"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10.61</v>
      </c>
      <c r="HB98" s="74"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74"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74"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74"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19.08</v>
      </c>
      <c r="HF98" s="74"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74"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17.02</v>
      </c>
      <c r="HH98" s="74"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74"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74"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74" t="n">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8.61</v>
      </c>
      <c r="HL98" s="74"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74"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14.9033</v>
      </c>
      <c r="HN98" s="74"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74"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74"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74"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19.33</v>
      </c>
      <c r="HR98" s="74"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74"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13.66</v>
      </c>
      <c r="HT98" s="74"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74"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74"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74" t="n">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6.03</v>
      </c>
      <c r="HX98" s="74"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74"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13.0067</v>
      </c>
      <c r="HZ98" s="74"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74"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74"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74"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2.86</v>
      </c>
      <c r="ID98" s="74"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74"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17.94</v>
      </c>
      <c r="IF98" s="74"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74"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74"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74" t="n">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11.38</v>
      </c>
      <c r="IJ98" s="74"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74"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10.7267</v>
      </c>
    </row>
    <row r="99" customFormat="false" ht="15" hidden="false" customHeight="true" outlineLevel="0" collapsed="false">
      <c r="A99" s="226" t="s">
        <v>456</v>
      </c>
      <c r="B99" s="227" t="s">
        <v>331</v>
      </c>
      <c r="C99" s="226" t="n">
        <v>3250</v>
      </c>
      <c r="D99" s="226"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26"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26"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26"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21.86</v>
      </c>
      <c r="H99" s="226"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26"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19.73</v>
      </c>
      <c r="J99" s="226"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26"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26"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26" t="n">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3.83</v>
      </c>
      <c r="N99" s="226"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68"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15.14</v>
      </c>
      <c r="P99" s="226"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26"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26"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26"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3.31</v>
      </c>
      <c r="T99" s="226"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26"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21</v>
      </c>
      <c r="V99" s="226"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26"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26"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26" t="n">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5.34</v>
      </c>
      <c r="Z99" s="226"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68"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9.8833</v>
      </c>
      <c r="AB99" s="226"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26"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26"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26"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22.76</v>
      </c>
      <c r="AF99" s="226"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26"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22.32</v>
      </c>
      <c r="AH99" s="226"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26"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26"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26" t="n">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7.49</v>
      </c>
      <c r="AL99" s="226"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59"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17.5233</v>
      </c>
      <c r="AN99" s="260"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60"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60"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60"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23.15</v>
      </c>
      <c r="AR99" s="260"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60"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17.49</v>
      </c>
      <c r="AT99" s="260"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60"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60"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60" t="n">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5.03</v>
      </c>
      <c r="AX99" s="260"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59"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15.2233</v>
      </c>
      <c r="AZ99" s="260"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60"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60"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60"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3.53</v>
      </c>
      <c r="BD99" s="260"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60"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23.53</v>
      </c>
      <c r="BF99" s="260"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60"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60"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60" t="n">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4.06</v>
      </c>
      <c r="BJ99" s="260"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59"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10.3733</v>
      </c>
      <c r="BM99" s="74"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74"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74"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74"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17.87</v>
      </c>
      <c r="BQ99" s="74"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74"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17.1</v>
      </c>
      <c r="BS99" s="74"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74"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74"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74" t="n">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3.64</v>
      </c>
      <c r="BW99" s="74"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74"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12.87</v>
      </c>
      <c r="BY99" s="74"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74"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74"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74"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3.21</v>
      </c>
      <c r="CC99" s="74"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74"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18.03</v>
      </c>
      <c r="CE99" s="74"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74"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74"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74" t="n">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4.97</v>
      </c>
      <c r="CI99" s="74"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74"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8.7367</v>
      </c>
      <c r="CK99" s="74"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74"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74"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74"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18.45</v>
      </c>
      <c r="CO99" s="74"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74"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18.98</v>
      </c>
      <c r="CQ99" s="74"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74"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74"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74" t="n">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6.79</v>
      </c>
      <c r="CU99" s="74"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74"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14.74</v>
      </c>
      <c r="CW99" s="74"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74"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74"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74"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18.7</v>
      </c>
      <c r="DA99" s="74"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74"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15.4</v>
      </c>
      <c r="DC99" s="74"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74"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74"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74" t="n">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4.71</v>
      </c>
      <c r="DG99" s="74"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74"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12.9367</v>
      </c>
      <c r="DI99" s="74"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74"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74"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74"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3.42</v>
      </c>
      <c r="DM99" s="74"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74"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19.84</v>
      </c>
      <c r="DO99" s="74"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74"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74"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74" t="n">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3.85</v>
      </c>
      <c r="DS99" s="74"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74"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9.0367</v>
      </c>
      <c r="DU99" s="261"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61"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61"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61"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3.11</v>
      </c>
      <c r="DY99" s="261"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61"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18.65</v>
      </c>
      <c r="EA99" s="261"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61"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61"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61" t="n">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7.06</v>
      </c>
      <c r="EE99" s="261"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62"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9.6067</v>
      </c>
      <c r="EG99" s="261"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61"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61"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61"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3.17</v>
      </c>
      <c r="EK99" s="261"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61"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23.69</v>
      </c>
      <c r="EM99" s="261"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61"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61"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61" t="n">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10.48</v>
      </c>
      <c r="EQ99" s="261"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62"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12.4467</v>
      </c>
      <c r="ES99" s="261"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61"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61"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61"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24.08</v>
      </c>
      <c r="EW99" s="261"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61"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19.87</v>
      </c>
      <c r="EY99" s="261"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61"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61"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61" t="n">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9.89</v>
      </c>
      <c r="FC99" s="261"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62"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17.9467</v>
      </c>
      <c r="FE99" s="261"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61"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61"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61"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24.48</v>
      </c>
      <c r="FI99" s="261"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61"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15.44</v>
      </c>
      <c r="FK99" s="261"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61"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61"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61" t="n">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6.65</v>
      </c>
      <c r="FO99" s="261"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62"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15.5233</v>
      </c>
      <c r="FQ99" s="261"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61"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61"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61"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2.97</v>
      </c>
      <c r="FU99" s="261"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61"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21.14</v>
      </c>
      <c r="FW99" s="261"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61"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61"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61" t="n">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13.71</v>
      </c>
      <c r="GA99" s="261"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62"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12.6067</v>
      </c>
      <c r="GD99" s="74"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74"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74"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74"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3.02</v>
      </c>
      <c r="GH99" s="74"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74"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16.29</v>
      </c>
      <c r="GJ99" s="74"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74"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74"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74" t="n">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6.43</v>
      </c>
      <c r="GN99" s="74"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74"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8.58</v>
      </c>
      <c r="GP99" s="74"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74"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74"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74"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3.07</v>
      </c>
      <c r="GT99" s="74"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74"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19.95</v>
      </c>
      <c r="GV99" s="74"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74"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74"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74" t="n">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9.15</v>
      </c>
      <c r="GZ99" s="74"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74"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10.7233</v>
      </c>
      <c r="HB99" s="74"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74"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74"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74"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19.29</v>
      </c>
      <c r="HF99" s="74"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74"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17.2</v>
      </c>
      <c r="HH99" s="74"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74"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74"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74" t="n">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8.69</v>
      </c>
      <c r="HL99" s="74"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74"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15.06</v>
      </c>
      <c r="HN99" s="74"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74"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74"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74"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19.55</v>
      </c>
      <c r="HR99" s="74"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74"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13.8</v>
      </c>
      <c r="HT99" s="74"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74"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74"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74" t="n">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6.09</v>
      </c>
      <c r="HX99" s="74"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74"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13.1467</v>
      </c>
      <c r="HZ99" s="74"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74"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74"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74"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2.89</v>
      </c>
      <c r="ID99" s="74"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74"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18.14</v>
      </c>
      <c r="IF99" s="74"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74"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74"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74" t="n">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11.5</v>
      </c>
      <c r="IJ99" s="74"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74"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10.8433</v>
      </c>
    </row>
    <row r="100" customFormat="false" ht="15" hidden="false" customHeight="true" outlineLevel="0" collapsed="false">
      <c r="A100" s="263" t="s">
        <v>457</v>
      </c>
      <c r="B100" s="271" t="s">
        <v>331</v>
      </c>
      <c r="C100" s="263" t="n">
        <v>3300</v>
      </c>
      <c r="D100" s="263"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63"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63"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63"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22.1</v>
      </c>
      <c r="H100" s="263"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63"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19.94</v>
      </c>
      <c r="J100" s="263"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63"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63"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63" t="n">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3.87</v>
      </c>
      <c r="N100" s="263"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68"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15.3033</v>
      </c>
      <c r="P100" s="263"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63"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63"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63"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3.34</v>
      </c>
      <c r="T100" s="263"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63"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21.22</v>
      </c>
      <c r="V100" s="263"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63"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63"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63" t="n">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5.39</v>
      </c>
      <c r="Z100" s="263"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68"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9.9833</v>
      </c>
      <c r="AB100" s="263"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63"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63"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63"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23.01</v>
      </c>
      <c r="AF100" s="263"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63"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22.56</v>
      </c>
      <c r="AH100" s="263"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63"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63"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63" t="n">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7.57</v>
      </c>
      <c r="AL100" s="263"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59"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17.7133</v>
      </c>
      <c r="AN100" s="266"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66"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66"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66"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23.4</v>
      </c>
      <c r="AR100" s="266"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66"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17.67</v>
      </c>
      <c r="AT100" s="266"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66"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66"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66" t="n">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5.08</v>
      </c>
      <c r="AX100" s="266"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59"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15.3833</v>
      </c>
      <c r="AZ100" s="266"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66"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66"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66"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3.57</v>
      </c>
      <c r="BD100" s="266"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66"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23.79</v>
      </c>
      <c r="BF100" s="266"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66"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66"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66" t="n">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4.1</v>
      </c>
      <c r="BJ100" s="266"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59"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10.4867</v>
      </c>
      <c r="BM100" s="74"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74"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74"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74"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18.06</v>
      </c>
      <c r="BQ100" s="74"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74"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17.28</v>
      </c>
      <c r="BS100" s="74"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74"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74"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74" t="n">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3.68</v>
      </c>
      <c r="BW100" s="74"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74"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13.0067</v>
      </c>
      <c r="BY100" s="74"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74"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74"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74"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3.24</v>
      </c>
      <c r="CC100" s="74"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74"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18.23</v>
      </c>
      <c r="CE100" s="74"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74"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74"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74" t="n">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5.02</v>
      </c>
      <c r="CI100" s="74"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74"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8.83</v>
      </c>
      <c r="CK100" s="74"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74"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74"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74"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18.65</v>
      </c>
      <c r="CO100" s="74"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74"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19.19</v>
      </c>
      <c r="CQ100" s="74"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74"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74"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74" t="n">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6.85</v>
      </c>
      <c r="CU100" s="74"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74"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14.8967</v>
      </c>
      <c r="CW100" s="74"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74"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74"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74"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18.91</v>
      </c>
      <c r="DA100" s="74"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74"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15.56</v>
      </c>
      <c r="DC100" s="74"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74"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74"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74" t="n">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4.75</v>
      </c>
      <c r="DG100" s="74"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74"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13.0733</v>
      </c>
      <c r="DI100" s="74"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74"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74"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74"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3.45</v>
      </c>
      <c r="DM100" s="74"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74"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20.06</v>
      </c>
      <c r="DO100" s="74"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74"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74"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74" t="n">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3.88</v>
      </c>
      <c r="DS100" s="74"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74"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9.13</v>
      </c>
      <c r="DU100" s="267"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67"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67"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67"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3.14</v>
      </c>
      <c r="DY100" s="267"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67"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18.85</v>
      </c>
      <c r="EA100" s="267"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67"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67"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67" t="n">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7.13</v>
      </c>
      <c r="EE100" s="267"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62"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9.7067</v>
      </c>
      <c r="EG100" s="267"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67"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67"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67"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3.2</v>
      </c>
      <c r="EK100" s="267"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67"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23.95</v>
      </c>
      <c r="EM100" s="267"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67"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67"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67" t="n">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10.59</v>
      </c>
      <c r="EQ100" s="267"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62"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12.58</v>
      </c>
      <c r="ES100" s="267"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67"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67"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67"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24.34</v>
      </c>
      <c r="EW100" s="267"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67"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20.08</v>
      </c>
      <c r="EY100" s="267"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67"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67"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67" t="n">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9.98</v>
      </c>
      <c r="FC100" s="267"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62"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18.1333</v>
      </c>
      <c r="FE100" s="267"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67"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67"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67"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24.76</v>
      </c>
      <c r="FI100" s="267"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67"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15.6</v>
      </c>
      <c r="FK100" s="267"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67"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67"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67" t="n">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6.72</v>
      </c>
      <c r="FO100" s="267"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62"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15.6933</v>
      </c>
      <c r="FQ100" s="267"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67"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67"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67"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3</v>
      </c>
      <c r="FU100" s="267"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67"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21.37</v>
      </c>
      <c r="FW100" s="267"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67"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67"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67" t="n">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13.85</v>
      </c>
      <c r="GA100" s="267"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62"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12.74</v>
      </c>
      <c r="GD100" s="74"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74"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74"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74"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3.05</v>
      </c>
      <c r="GH100" s="74"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74"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16.46</v>
      </c>
      <c r="GJ100" s="74"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74"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74"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74" t="n">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6.49</v>
      </c>
      <c r="GN100" s="74"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74"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8.6667</v>
      </c>
      <c r="GP100" s="74"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74"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74"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74"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3.1</v>
      </c>
      <c r="GT100" s="74"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74"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20.17</v>
      </c>
      <c r="GV100" s="74"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74"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74"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74" t="n">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9.24</v>
      </c>
      <c r="GZ100" s="74"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74"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10.8367</v>
      </c>
      <c r="HB100" s="74"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74"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74"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74"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19.5</v>
      </c>
      <c r="HF100" s="74"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74"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17.39</v>
      </c>
      <c r="HH100" s="74"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74"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74"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74" t="n">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8.78</v>
      </c>
      <c r="HL100" s="74"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74"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15.2233</v>
      </c>
      <c r="HN100" s="74"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74"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74"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74"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19.76</v>
      </c>
      <c r="HR100" s="74"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74"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13.94</v>
      </c>
      <c r="HT100" s="74"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74"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74"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74" t="n">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6.15</v>
      </c>
      <c r="HX100" s="74"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74"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13.2833</v>
      </c>
      <c r="HZ100" s="74"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74"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74"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74"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2.92</v>
      </c>
      <c r="ID100" s="74"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74"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18.33</v>
      </c>
      <c r="IF100" s="74"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74"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74"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74" t="n">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11.61</v>
      </c>
      <c r="IJ100" s="74"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74"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10.9533</v>
      </c>
    </row>
    <row r="101" customFormat="false" ht="15" hidden="false" customHeight="true" outlineLevel="0" collapsed="false">
      <c r="A101" s="226" t="s">
        <v>458</v>
      </c>
      <c r="B101" s="227" t="s">
        <v>331</v>
      </c>
      <c r="C101" s="226" t="n">
        <v>3350</v>
      </c>
      <c r="D101" s="226"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26"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26"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26"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22.34</v>
      </c>
      <c r="H101" s="226"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26"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20.15</v>
      </c>
      <c r="J101" s="226"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26"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26"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26" t="n">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3.91</v>
      </c>
      <c r="N101" s="226"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68"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15.4667</v>
      </c>
      <c r="P101" s="226"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26"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26"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26"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3.38</v>
      </c>
      <c r="T101" s="226"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26"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21.45</v>
      </c>
      <c r="V101" s="226"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26"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26"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26" t="n">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5.45</v>
      </c>
      <c r="Z101" s="226"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68"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10.0933</v>
      </c>
      <c r="AB101" s="226"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26"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26"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26"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23.26</v>
      </c>
      <c r="AF101" s="226"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26"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22.8</v>
      </c>
      <c r="AH101" s="226"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26"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26"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26" t="n">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7.64</v>
      </c>
      <c r="AL101" s="226"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59"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17.9</v>
      </c>
      <c r="AN101" s="260"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60"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60"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60"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23.66</v>
      </c>
      <c r="AR101" s="260"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60"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17.85</v>
      </c>
      <c r="AT101" s="260"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60"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60"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60" t="n">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5.13</v>
      </c>
      <c r="AX101" s="260"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59"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15.5467</v>
      </c>
      <c r="AZ101" s="260"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60"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60"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60"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3.6</v>
      </c>
      <c r="BD101" s="260"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60"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24.05</v>
      </c>
      <c r="BF101" s="260"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60"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60"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60" t="n">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4.14</v>
      </c>
      <c r="BJ101" s="260"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59"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10.5967</v>
      </c>
      <c r="BM101" s="74"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74"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74"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74"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18.26</v>
      </c>
      <c r="BQ101" s="74"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74"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17.47</v>
      </c>
      <c r="BS101" s="74"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74"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74"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74" t="n">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3.71</v>
      </c>
      <c r="BW101" s="74"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74"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13.1467</v>
      </c>
      <c r="BY101" s="74"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74"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74"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74"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3.27</v>
      </c>
      <c r="CC101" s="74"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74"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18.42</v>
      </c>
      <c r="CE101" s="74"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74"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74"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74" t="n">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5.07</v>
      </c>
      <c r="CI101" s="74"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74"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8.92</v>
      </c>
      <c r="CK101" s="74"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74"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74"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74"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18.86</v>
      </c>
      <c r="CO101" s="74"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74"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19.4</v>
      </c>
      <c r="CQ101" s="74"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74"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74"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74" t="n">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6.92</v>
      </c>
      <c r="CU101" s="74"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74"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15.06</v>
      </c>
      <c r="CW101" s="74"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74"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74"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74"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19.11</v>
      </c>
      <c r="DA101" s="74"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74"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15.73</v>
      </c>
      <c r="DC101" s="74"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74"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74"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74" t="n">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4.8</v>
      </c>
      <c r="DG101" s="74"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74"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13.2133</v>
      </c>
      <c r="DI101" s="74"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74"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74"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74"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3.48</v>
      </c>
      <c r="DM101" s="74"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74"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20.28</v>
      </c>
      <c r="DO101" s="74"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74"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74"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74" t="n">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3.92</v>
      </c>
      <c r="DS101" s="74"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74"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9.2267</v>
      </c>
      <c r="DU101" s="261"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61"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61"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61"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3.17</v>
      </c>
      <c r="DY101" s="261"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61"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19.04</v>
      </c>
      <c r="EA101" s="261"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61"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61"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61" t="n">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7.2</v>
      </c>
      <c r="EE101" s="261"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62"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9.8033</v>
      </c>
      <c r="EG101" s="261"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61"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61"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61"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3.23</v>
      </c>
      <c r="EK101" s="261"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61"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24.21</v>
      </c>
      <c r="EM101" s="261"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61"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61"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61" t="n">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10.69</v>
      </c>
      <c r="EQ101" s="261"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62"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12.71</v>
      </c>
      <c r="ES101" s="261"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61"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61"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61"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24.61</v>
      </c>
      <c r="EW101" s="261"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61"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20.29</v>
      </c>
      <c r="EY101" s="261"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61"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61"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61" t="n">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10.08</v>
      </c>
      <c r="FC101" s="261"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62"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18.3267</v>
      </c>
      <c r="FE101" s="261"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61"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61"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61"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25.03</v>
      </c>
      <c r="FI101" s="261"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61"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15.76</v>
      </c>
      <c r="FK101" s="261"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61"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61"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61" t="n">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6.78</v>
      </c>
      <c r="FO101" s="261"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62"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15.8567</v>
      </c>
      <c r="FQ101" s="261"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61"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61"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61"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3.03</v>
      </c>
      <c r="FU101" s="261"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61"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21.6</v>
      </c>
      <c r="FW101" s="261"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61"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61"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61" t="n">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13.99</v>
      </c>
      <c r="GA101" s="261"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62"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12.8733</v>
      </c>
      <c r="GD101" s="74"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74"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74"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74"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3.08</v>
      </c>
      <c r="GH101" s="74"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74"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16.63</v>
      </c>
      <c r="GJ101" s="74"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74"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74"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74" t="n">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6.56</v>
      </c>
      <c r="GN101" s="74"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74"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8.7567</v>
      </c>
      <c r="GP101" s="74"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74"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74"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74"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3.13</v>
      </c>
      <c r="GT101" s="74"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74"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20.39</v>
      </c>
      <c r="GV101" s="74"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74"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74"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74" t="n">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9.33</v>
      </c>
      <c r="GZ101" s="74"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74"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10.95</v>
      </c>
      <c r="HB101" s="74"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74"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74"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74"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19.72</v>
      </c>
      <c r="HF101" s="74"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74"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17.57</v>
      </c>
      <c r="HH101" s="74"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74"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74"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74" t="n">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8.86</v>
      </c>
      <c r="HL101" s="74"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74"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15.3833</v>
      </c>
      <c r="HN101" s="74"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74"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74"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74"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19.98</v>
      </c>
      <c r="HR101" s="74"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74"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14.09</v>
      </c>
      <c r="HT101" s="74"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74"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74"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74" t="n">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6.21</v>
      </c>
      <c r="HX101" s="74"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74"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13.4267</v>
      </c>
      <c r="HZ101" s="74"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74"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74"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74"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2.95</v>
      </c>
      <c r="ID101" s="74"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74"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18.53</v>
      </c>
      <c r="IF101" s="74"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74"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74"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74" t="n">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11.73</v>
      </c>
      <c r="IJ101" s="74"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74"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11.07</v>
      </c>
    </row>
    <row r="102" customFormat="false" ht="15" hidden="false" customHeight="true" outlineLevel="0" collapsed="false">
      <c r="A102" s="263" t="s">
        <v>459</v>
      </c>
      <c r="B102" s="266" t="s">
        <v>331</v>
      </c>
      <c r="C102" s="266" t="n">
        <v>3400</v>
      </c>
      <c r="D102" s="266"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66"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66"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66"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22.58</v>
      </c>
      <c r="H102" s="266"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66"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20.36</v>
      </c>
      <c r="J102" s="266"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66"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66"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66" t="n">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3.95</v>
      </c>
      <c r="N102" s="266"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59"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15.63</v>
      </c>
      <c r="P102" s="266"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66"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66"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66"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3.41</v>
      </c>
      <c r="T102" s="266"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66"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21.68</v>
      </c>
      <c r="V102" s="266"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66"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66"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66" t="n">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5.5</v>
      </c>
      <c r="Z102" s="266"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59"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10.1967</v>
      </c>
      <c r="AB102" s="266"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66"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66"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66"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23.51</v>
      </c>
      <c r="AF102" s="266"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66"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23.05</v>
      </c>
      <c r="AH102" s="266"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66"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66"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66" t="n">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7.72</v>
      </c>
      <c r="AL102" s="266"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59"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18.0933</v>
      </c>
      <c r="AN102" s="266"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66"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66"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66"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23.92</v>
      </c>
      <c r="AR102" s="266"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66"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18.04</v>
      </c>
      <c r="AT102" s="266"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66"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66"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66" t="n">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5.19</v>
      </c>
      <c r="AX102" s="266"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59"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15.7167</v>
      </c>
      <c r="AZ102" s="266"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66"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66"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66"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3.64</v>
      </c>
      <c r="BD102" s="266"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66"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24.31</v>
      </c>
      <c r="BF102" s="266"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66"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66"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66" t="n">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4.18</v>
      </c>
      <c r="BJ102" s="266"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59"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10.71</v>
      </c>
      <c r="BM102" s="74"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74"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74"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74"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18.45</v>
      </c>
      <c r="BQ102" s="74"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74"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17.65</v>
      </c>
      <c r="BS102" s="74"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74"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74"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74" t="n">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3.75</v>
      </c>
      <c r="BW102" s="74"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74"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13.2833</v>
      </c>
      <c r="BY102" s="74"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74"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74"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74"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3.3</v>
      </c>
      <c r="CC102" s="74"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74"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18.62</v>
      </c>
      <c r="CE102" s="74"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74"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74"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74" t="n">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5.12</v>
      </c>
      <c r="CI102" s="74"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74"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9.0133</v>
      </c>
      <c r="CK102" s="74"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74"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74"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74"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19.06</v>
      </c>
      <c r="CO102" s="74"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74"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19.61</v>
      </c>
      <c r="CQ102" s="74"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74"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74"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74" t="n">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6.99</v>
      </c>
      <c r="CU102" s="74"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74"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15.22</v>
      </c>
      <c r="CW102" s="74"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74"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74"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74"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19.32</v>
      </c>
      <c r="DA102" s="74"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74"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15.89</v>
      </c>
      <c r="DC102" s="74"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74"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74"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74" t="n">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4.85</v>
      </c>
      <c r="DG102" s="74"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74"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13.3533</v>
      </c>
      <c r="DI102" s="74"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74"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74"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74"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3.52</v>
      </c>
      <c r="DM102" s="74"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74"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20.5</v>
      </c>
      <c r="DO102" s="74"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74"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74"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74" t="n">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3.96</v>
      </c>
      <c r="DS102" s="74"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74"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9.3267</v>
      </c>
      <c r="DU102" s="267"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67"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67"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67"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3.2</v>
      </c>
      <c r="DY102" s="267"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67"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19.24</v>
      </c>
      <c r="EA102" s="267"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67"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67"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67" t="n">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7.27</v>
      </c>
      <c r="EE102" s="267"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62"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9.9033</v>
      </c>
      <c r="EG102" s="267"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67"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67"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67"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3.26</v>
      </c>
      <c r="EK102" s="267"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67"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24.47</v>
      </c>
      <c r="EM102" s="267"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67"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67"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67" t="n">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10.8</v>
      </c>
      <c r="EQ102" s="267"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62"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12.8433</v>
      </c>
      <c r="ES102" s="267"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67"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67"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67"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24.88</v>
      </c>
      <c r="EW102" s="267"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67"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20.51</v>
      </c>
      <c r="EY102" s="267"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67"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67"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67" t="n">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10.18</v>
      </c>
      <c r="FC102" s="267"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62"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18.5233</v>
      </c>
      <c r="FE102" s="267"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67"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67"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67"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25.3</v>
      </c>
      <c r="FI102" s="267"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67"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15.92</v>
      </c>
      <c r="FK102" s="267"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67"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67"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67" t="n">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6.85</v>
      </c>
      <c r="FO102" s="267"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62"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16.0233</v>
      </c>
      <c r="FQ102" s="267"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67"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67"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67"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3.06</v>
      </c>
      <c r="FU102" s="267"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67"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21.83</v>
      </c>
      <c r="FW102" s="267"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67"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67"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67" t="n">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14.13</v>
      </c>
      <c r="GA102" s="267"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62"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13.0067</v>
      </c>
      <c r="GD102" s="74"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74"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74"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74"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3.11</v>
      </c>
      <c r="GH102" s="74"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74"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16.81</v>
      </c>
      <c r="GJ102" s="74"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74"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74"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74" t="n">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6.62</v>
      </c>
      <c r="GN102" s="74"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74"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8.8467</v>
      </c>
      <c r="GP102" s="74"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74"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74"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74"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3.16</v>
      </c>
      <c r="GT102" s="74"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74"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20.61</v>
      </c>
      <c r="GV102" s="74"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74"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74"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74" t="n">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9.42</v>
      </c>
      <c r="GZ102" s="74"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74"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11.0633</v>
      </c>
      <c r="HB102" s="74"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74"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74"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74"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19.93</v>
      </c>
      <c r="HF102" s="74"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74"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17.76</v>
      </c>
      <c r="HH102" s="74"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74"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74"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74" t="n">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8.95</v>
      </c>
      <c r="HL102" s="74"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74"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15.5467</v>
      </c>
      <c r="HN102" s="74"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74"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74"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74"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20.2</v>
      </c>
      <c r="HR102" s="74"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74"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14.23</v>
      </c>
      <c r="HT102" s="74"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74"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74"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74" t="n">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6.27</v>
      </c>
      <c r="HX102" s="74"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74"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13.5667</v>
      </c>
      <c r="HZ102" s="74"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74"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74"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74"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2.98</v>
      </c>
      <c r="ID102" s="74"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74"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18.73</v>
      </c>
      <c r="IF102" s="74"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74"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74"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74" t="n">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11.85</v>
      </c>
      <c r="IJ102" s="74"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74"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11.1867</v>
      </c>
    </row>
    <row r="103" customFormat="false" ht="15" hidden="false" customHeight="true" outlineLevel="0" collapsed="false">
      <c r="A103" s="226" t="s">
        <v>460</v>
      </c>
      <c r="B103" s="260" t="s">
        <v>331</v>
      </c>
      <c r="C103" s="260" t="n">
        <v>3450</v>
      </c>
      <c r="D103" s="260"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60"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60"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60"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22.82</v>
      </c>
      <c r="H103" s="260"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60"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20.58</v>
      </c>
      <c r="J103" s="260"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60"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60"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60" t="n">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3.99</v>
      </c>
      <c r="N103" s="260"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59"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15.7967</v>
      </c>
      <c r="P103" s="260"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60"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60"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60"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3.45</v>
      </c>
      <c r="T103" s="260"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60"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21.91</v>
      </c>
      <c r="V103" s="260"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60"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60"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60" t="n">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5.55</v>
      </c>
      <c r="Z103" s="260"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59"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10.3033</v>
      </c>
      <c r="AB103" s="260"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60"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60"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60"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23.76</v>
      </c>
      <c r="AF103" s="260"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60"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23.3</v>
      </c>
      <c r="AH103" s="260"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60"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60"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60" t="n">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7.79</v>
      </c>
      <c r="AL103" s="260"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59"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18.2833</v>
      </c>
      <c r="AN103" s="260"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60"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60"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60"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24.17</v>
      </c>
      <c r="AR103" s="260"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60"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18.22</v>
      </c>
      <c r="AT103" s="260"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60"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60"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60" t="n">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5.24</v>
      </c>
      <c r="AX103" s="260"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59"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15.8767</v>
      </c>
      <c r="AZ103" s="260"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60"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60"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60"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3.68</v>
      </c>
      <c r="BD103" s="260"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60"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24.58</v>
      </c>
      <c r="BF103" s="260"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60"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60"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60" t="n">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4.22</v>
      </c>
      <c r="BJ103" s="260"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59"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10.8267</v>
      </c>
      <c r="BM103" s="74"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74"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74"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74"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18.65</v>
      </c>
      <c r="BQ103" s="74"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74"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17.84</v>
      </c>
      <c r="BS103" s="74"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74"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74"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74" t="n">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3.79</v>
      </c>
      <c r="BW103" s="74"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74"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13.4267</v>
      </c>
      <c r="BY103" s="74"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74"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74"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74"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3.34</v>
      </c>
      <c r="CC103" s="74"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74"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18.81</v>
      </c>
      <c r="CE103" s="74"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74"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74"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74" t="n">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5.17</v>
      </c>
      <c r="CI103" s="74"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74"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9.1067</v>
      </c>
      <c r="CK103" s="74"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74"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74"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74"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19.26</v>
      </c>
      <c r="CO103" s="74"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74"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19.82</v>
      </c>
      <c r="CQ103" s="74"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74"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74"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74" t="n">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7.06</v>
      </c>
      <c r="CU103" s="74"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74"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15.38</v>
      </c>
      <c r="CW103" s="74"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74"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74"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74"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19.53</v>
      </c>
      <c r="DA103" s="74"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74"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16.05</v>
      </c>
      <c r="DC103" s="74"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74"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74"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74" t="n">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4.9</v>
      </c>
      <c r="DG103" s="74"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74"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13.4933</v>
      </c>
      <c r="DI103" s="74"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74"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74"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74"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3.55</v>
      </c>
      <c r="DM103" s="74"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74"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20.72</v>
      </c>
      <c r="DO103" s="74"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74"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74"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74" t="n">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4</v>
      </c>
      <c r="DS103" s="74"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74"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9.4233</v>
      </c>
      <c r="DU103" s="261"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61"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61"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61"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3.23</v>
      </c>
      <c r="DY103" s="261"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61"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19.44</v>
      </c>
      <c r="EA103" s="261"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61"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61"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61" t="n">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7.34</v>
      </c>
      <c r="EE103" s="261"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62"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10.0033</v>
      </c>
      <c r="EG103" s="261"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61"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61"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61"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3.29</v>
      </c>
      <c r="EK103" s="261"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61"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24.74</v>
      </c>
      <c r="EM103" s="261"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61"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61"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61" t="n">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10.9</v>
      </c>
      <c r="EQ103" s="261"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62"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12.9767</v>
      </c>
      <c r="ES103" s="261"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61"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61"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61"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25.15</v>
      </c>
      <c r="EW103" s="261"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61"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20.72</v>
      </c>
      <c r="EY103" s="261"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61"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61"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61" t="n">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10.28</v>
      </c>
      <c r="FC103" s="261"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62"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18.7167</v>
      </c>
      <c r="FE103" s="261"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61"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61"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61"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25.58</v>
      </c>
      <c r="FI103" s="261"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61"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16.08</v>
      </c>
      <c r="FK103" s="261"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61"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61"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61" t="n">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6.92</v>
      </c>
      <c r="FO103" s="261"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62"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16.1933</v>
      </c>
      <c r="FQ103" s="261"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61"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61"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61"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3.09</v>
      </c>
      <c r="FU103" s="261"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61"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22.06</v>
      </c>
      <c r="FW103" s="261"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61"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61"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61" t="n">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14.27</v>
      </c>
      <c r="GA103" s="261"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62"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13.14</v>
      </c>
      <c r="GD103" s="74"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74"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74"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74"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3.14</v>
      </c>
      <c r="GH103" s="74"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74"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16.98</v>
      </c>
      <c r="GJ103" s="74"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74"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74"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74" t="n">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6.69</v>
      </c>
      <c r="GN103" s="74"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74"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8.9367</v>
      </c>
      <c r="GP103" s="74"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74"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74"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74"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3.2</v>
      </c>
      <c r="GT103" s="74"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74"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20.84</v>
      </c>
      <c r="GV103" s="74"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74"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74"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74" t="n">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9.51</v>
      </c>
      <c r="GZ103" s="74"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74"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11.1833</v>
      </c>
      <c r="HB103" s="74"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74"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74"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74"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20.15</v>
      </c>
      <c r="HF103" s="74"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74"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17.94</v>
      </c>
      <c r="HH103" s="74"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74"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74"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74" t="n">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9.04</v>
      </c>
      <c r="HL103" s="74"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74"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15.71</v>
      </c>
      <c r="HN103" s="74"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74"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74"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74"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20.42</v>
      </c>
      <c r="HR103" s="74"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74"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14.37</v>
      </c>
      <c r="HT103" s="74"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74"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74"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74" t="n">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6.33</v>
      </c>
      <c r="HX103" s="74"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74"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13.7067</v>
      </c>
      <c r="HZ103" s="74"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74"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74"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74"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3</v>
      </c>
      <c r="ID103" s="74"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74"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18.92</v>
      </c>
      <c r="IF103" s="74"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74"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74"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74" t="n">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11.97</v>
      </c>
      <c r="IJ103" s="74"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74"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11.2967</v>
      </c>
    </row>
    <row r="105" customFormat="false" ht="15" hidden="false" customHeight="true" outlineLevel="0" collapsed="false">
      <c r="A105" s="272" t="s">
        <v>461</v>
      </c>
      <c r="B105" s="272"/>
      <c r="C105" s="272"/>
      <c r="D105" s="272"/>
      <c r="E105" s="272"/>
      <c r="F105" s="272"/>
      <c r="G105" s="272"/>
      <c r="H105" s="272"/>
    </row>
    <row r="106" customFormat="false" ht="41.25" hidden="false" customHeight="true" outlineLevel="0" collapsed="false">
      <c r="A106" s="225" t="s">
        <v>462</v>
      </c>
      <c r="B106" s="225" t="s">
        <v>463</v>
      </c>
      <c r="C106" s="225" t="s">
        <v>39</v>
      </c>
      <c r="D106" s="225" t="s">
        <v>464</v>
      </c>
      <c r="E106" s="225" t="s">
        <v>465</v>
      </c>
      <c r="F106" s="225" t="s">
        <v>466</v>
      </c>
      <c r="G106" s="225" t="s">
        <v>467</v>
      </c>
      <c r="H106" s="225" t="s">
        <v>468</v>
      </c>
      <c r="I106" s="273" t="s">
        <v>469</v>
      </c>
      <c r="J106" s="274" t="s">
        <v>470</v>
      </c>
      <c r="K106" s="274" t="s">
        <v>471</v>
      </c>
      <c r="L106" s="274" t="s">
        <v>472</v>
      </c>
    </row>
    <row r="107" customFormat="false" ht="41.25" hidden="false" customHeight="true" outlineLevel="0" collapsed="false">
      <c r="A107" s="275" t="s">
        <v>473</v>
      </c>
      <c r="B107" s="276" t="n">
        <f aca="false">Calculator!$B$29</f>
        <v>53.4</v>
      </c>
      <c r="C107" s="277" t="str">
        <f aca="false">Calculator!$G$29</f>
        <v>Long wire – max performance</v>
      </c>
      <c r="D107" s="275" t="str">
        <f aca="false">IFERROR(INDEX(A38:A103,MATCH(MIN(O38:O103),O38:O103,0)),"")</f>
        <v>28:1</v>
      </c>
      <c r="E107" s="275" t="n">
        <f aca="false">IFERROR(ROUND(MIN(O38:O103),2),"")</f>
        <v>11.02</v>
      </c>
      <c r="F107" s="275" t="str">
        <f aca="false">IFERROR(INDEX({"4:1★","9:1★","16:1★","25:1★","36:1★","49:1★","64:1★"},MATCH(MIN(O38,O43,O50,O59,O70,O83,O98),INDEX(O$38:O$103,{1,6,13,22,33,46,61}),0)),"—")</f>
        <v>25:1★</v>
      </c>
      <c r="G107" s="275" t="n">
        <f aca="false">IFERROR(ROUND(MIN(O38,O43,O50,O59,O70,O83,O98),2),"—")</f>
        <v>11.11</v>
      </c>
      <c r="H107" s="275" t="str">
        <f aca="false">IFERROR(TEXT(MIN(D8:D18),"0")&amp;" – "&amp;TEXT(MAX(D8:D18),"0")&amp;" Ω","N/A")</f>
        <v>175 – 1017 Ω</v>
      </c>
      <c r="I107" s="277" t="str">
        <f aca="false">IFERROR(INDEX(A38:A103,MATCH(MIN(BX38:BX103),BX38:BX103,0)),"")</f>
        <v>29:1</v>
      </c>
      <c r="J107" s="274" t="n">
        <f aca="false">IFERROR(ROUND(MIN(BX38:BX103),2),"")</f>
        <v>9.4</v>
      </c>
      <c r="K107" s="274" t="str">
        <f aca="false">IFERROR(INDEX({"4:1★","9:1★","16:1★","25:1★","36:1★","49:1★","64:1★"},MATCH(MIN(BX38,BX43,BX50,BX59,BX70,BX83,BX98),INDEX(BX$38:BX$103,{1,6,13,22,33,46,61}),0)),"—")</f>
        <v>25:1★</v>
      </c>
      <c r="L107" s="274" t="n">
        <f aca="false">IFERROR(ROUND(MIN(BX38,BX43,BX50,BX59,BX70,BX83,BX98),2),"—")</f>
        <v>9.49</v>
      </c>
    </row>
    <row r="108" customFormat="false" ht="27.75" hidden="false" customHeight="true" outlineLevel="0" collapsed="false">
      <c r="A108" s="275" t="s">
        <v>474</v>
      </c>
      <c r="B108" s="276" t="n">
        <f aca="false">Calculator!$B$30</f>
        <v>43.4</v>
      </c>
      <c r="C108" s="277" t="str">
        <f aca="false">Calculator!$G$30</f>
        <v>Excellent home station</v>
      </c>
      <c r="D108" s="275" t="str">
        <f aca="false">IFERROR(INDEX(A38:A103,MATCH(MIN(AA38:AA103),AA38:AA103,0)),"")</f>
        <v>30:1</v>
      </c>
      <c r="E108" s="275" t="n">
        <f aca="false">IFERROR(ROUND(MIN(AA38:AA103),2),"")</f>
        <v>7.36</v>
      </c>
      <c r="F108" s="275" t="str">
        <f aca="false">IFERROR(INDEX({"4:1★","9:1★","16:1★","25:1★","36:1★","49:1★","64:1★"},MATCH(MIN(AA38,AA43,AA50,AA59,AA70,AA83,AA98),INDEX(AA$38:AA$103,{1,6,13,22,33,46,61}),0)),"—")</f>
        <v>25:1★</v>
      </c>
      <c r="G108" s="275" t="n">
        <f aca="false">IFERROR(ROUND(MIN(AA38,AA43,AA50,AA59,AA70,AA83,AA98),2),"—")</f>
        <v>7.47</v>
      </c>
      <c r="H108" s="275" t="str">
        <f aca="false">IFERROR(TEXT(MIN(E8:E18),"0")&amp;" – "&amp;TEXT(MAX(E8:E18),"0")&amp;" Ω","N/A")</f>
        <v>182 – 1171 Ω</v>
      </c>
      <c r="I108" s="277" t="str">
        <f aca="false">IFERROR(INDEX(A38:A103,MATCH(MIN(CJ38:CJ103),CJ38:CJ103,0)),"")</f>
        <v>30:1</v>
      </c>
      <c r="J108" s="274" t="n">
        <f aca="false">IFERROR(ROUND(MIN(CJ38:CJ103),2),"")</f>
        <v>6.55</v>
      </c>
      <c r="K108" s="274" t="str">
        <f aca="false">IFERROR(INDEX({"4:1★","9:1★","16:1★","25:1★","36:1★","49:1★","64:1★"},MATCH(MIN(CJ38,CJ43,CJ50,CJ59,CJ70,CJ83,CJ98),INDEX(CJ$38:CJ$103,{1,6,13,22,33,46,61}),0)),"—")</f>
        <v>36:1★</v>
      </c>
      <c r="L108" s="274" t="n">
        <f aca="false">IFERROR(ROUND(MIN(CJ38,CJ43,CJ50,CJ59,CJ70,CJ83,CJ98),2),"—")</f>
        <v>6.66</v>
      </c>
    </row>
    <row r="109" customFormat="false" ht="27.75" hidden="false" customHeight="true" outlineLevel="0" collapsed="false">
      <c r="A109" s="275" t="s">
        <v>475</v>
      </c>
      <c r="B109" s="276" t="n">
        <f aca="false">Calculator!$B$31</f>
        <v>33.4</v>
      </c>
      <c r="C109" s="277" t="str">
        <f aca="false">Calculator!$G$31</f>
        <v>Excellent home station</v>
      </c>
      <c r="D109" s="275" t="str">
        <f aca="false">IFERROR(INDEX(A38:A103,MATCH(MIN(AM38:AM103),AM38:AM103,0)),"")</f>
        <v>28:1</v>
      </c>
      <c r="E109" s="275" t="n">
        <f aca="false">IFERROR(ROUND(MIN(AM38:AM103),2),"")</f>
        <v>12.62</v>
      </c>
      <c r="F109" s="275" t="str">
        <f aca="false">IFERROR(INDEX({"4:1★","9:1★","16:1★","25:1★","36:1★","49:1★","64:1★"},MATCH(MIN(AM38,AM43,AM50,AM59,AM70,AM83,AM98),INDEX(AM$38:AM$103,{1,6,13,22,33,46,61}),0)),"—")</f>
        <v>25:1★</v>
      </c>
      <c r="G109" s="275" t="n">
        <f aca="false">IFERROR(ROUND(MIN(AM38,AM43,AM50,AM59,AM70,AM83,AM98),2),"—")</f>
        <v>12.69</v>
      </c>
      <c r="H109" s="275" t="str">
        <f aca="false">IFERROR(TEXT(MIN(F8:F18),"0")&amp;" – "&amp;TEXT(MAX(F8:F18),"0")&amp;" Ω","N/A")</f>
        <v>167 – 528 Ω</v>
      </c>
      <c r="I109" s="277" t="str">
        <f aca="false">IFERROR(INDEX(A38:A103,MATCH(MIN(CV38:CV103),CV38:CV103,0)),"")</f>
        <v>28:1</v>
      </c>
      <c r="J109" s="274" t="n">
        <f aca="false">IFERROR(ROUND(MIN(CV38:CV103),2),"")</f>
        <v>10.65</v>
      </c>
      <c r="K109" s="274" t="str">
        <f aca="false">IFERROR(INDEX({"4:1★","9:1★","16:1★","25:1★","36:1★","49:1★","64:1★"},MATCH(MIN(CV38,CV43,CV50,CV59,CV70,CV83,CV98),INDEX(CV$38:CV$103,{1,6,13,22,33,46,61}),0)),"—")</f>
        <v>25:1★</v>
      </c>
      <c r="L109" s="274" t="n">
        <f aca="false">IFERROR(ROUND(MIN(CV38,CV43,CV50,CV59,CV70,CV83,CV98),2),"—")</f>
        <v>10.72</v>
      </c>
    </row>
    <row r="110" customFormat="false" ht="41.25" hidden="false" customHeight="true" outlineLevel="0" collapsed="false">
      <c r="A110" s="275" t="s">
        <v>476</v>
      </c>
      <c r="B110" s="276" t="n">
        <f aca="false">Calculator!$B$32</f>
        <v>53.3</v>
      </c>
      <c r="C110" s="277" t="str">
        <f aca="false">Calculator!$G$32</f>
        <v>Long wire – max performance</v>
      </c>
      <c r="D110" s="275" t="str">
        <f aca="false">IFERROR(INDEX(A38:A103,MATCH(MIN(AY38:AY103),AY38:AY103,0)),"")</f>
        <v>28:1</v>
      </c>
      <c r="E110" s="275" t="n">
        <f aca="false">IFERROR(ROUND(MIN(AY38:AY103),2),"")</f>
        <v>11.09</v>
      </c>
      <c r="F110" s="275" t="str">
        <f aca="false">IFERROR(INDEX({"4:1★","9:1★","16:1★","25:1★","36:1★","49:1★","64:1★"},MATCH(MIN(AY38,AY43,AY50,AY59,AY70,AY83,AY98),INDEX(AY$38:AY$103,{1,6,13,22,33,46,61}),0)),"—")</f>
        <v>25:1★</v>
      </c>
      <c r="G110" s="275" t="n">
        <f aca="false">IFERROR(ROUND(MIN(AY38,AY43,AY50,AY59,AY70,AY83,AY98),2),"—")</f>
        <v>11.18</v>
      </c>
      <c r="H110" s="275" t="str">
        <f aca="false">IFERROR(TEXT(MIN(G8:G18),"0")&amp;" – "&amp;TEXT(MAX(G8:G18),"0")&amp;" Ω","N/A")</f>
        <v>164 – 781 Ω</v>
      </c>
      <c r="I110" s="277" t="str">
        <f aca="false">IFERROR(INDEX(A38:A103,MATCH(MIN(DH38:DH103),DH38:DH103,0)),"")</f>
        <v>29:1</v>
      </c>
      <c r="J110" s="274" t="n">
        <f aca="false">IFERROR(ROUND(MIN(DH38:DH103),2),"")</f>
        <v>9.47</v>
      </c>
      <c r="K110" s="274" t="str">
        <f aca="false">IFERROR(INDEX({"4:1★","9:1★","16:1★","25:1★","36:1★","49:1★","64:1★"},MATCH(MIN(DH38,DH43,DH50,DH59,DH70,DH83,DH98),INDEX(DH$38:DH$103,{1,6,13,22,33,46,61}),0)),"—")</f>
        <v>25:1★</v>
      </c>
      <c r="L110" s="274" t="n">
        <f aca="false">IFERROR(ROUND(MIN(DH38,DH43,DH50,DH59,DH70,DH83,DH98),2),"—")</f>
        <v>9.56</v>
      </c>
    </row>
    <row r="111" customFormat="false" ht="27.75" hidden="false" customHeight="true" outlineLevel="0" collapsed="false">
      <c r="A111" s="275" t="s">
        <v>477</v>
      </c>
      <c r="B111" s="276" t="n">
        <f aca="false">Calculator!$B$33</f>
        <v>43.5</v>
      </c>
      <c r="C111" s="277" t="str">
        <f aca="false">Calculator!$G$33</f>
        <v>Excellent home station</v>
      </c>
      <c r="D111" s="275" t="str">
        <f aca="false">IFERROR(INDEX(A38:A103,MATCH(MIN(BK38:BK103),BK38:BK103,0)),"")</f>
        <v>29:1</v>
      </c>
      <c r="E111" s="275" t="n">
        <f aca="false">IFERROR(ROUND(MIN(BK38:BK103),2),"")</f>
        <v>7.59</v>
      </c>
      <c r="F111" s="275" t="str">
        <f aca="false">IFERROR(INDEX({"4:1★","9:1★","16:1★","25:1★","36:1★","49:1★","64:1★"},MATCH(MIN(BK38,BK43,BK50,BK59,BK70,BK83,BK98),INDEX(BK$38:BK$103,{1,6,13,22,33,46,61}),0)),"—")</f>
        <v>25:1★</v>
      </c>
      <c r="G111" s="275" t="n">
        <f aca="false">IFERROR(ROUND(MIN(BK38,BK43,BK50,BK59,BK70,BK83,BK98),2),"—")</f>
        <v>7.68</v>
      </c>
      <c r="H111" s="275" t="str">
        <f aca="false">IFERROR(TEXT(MIN(H8:H18),"0")&amp;" – "&amp;TEXT(MAX(H8:H18),"0")&amp;" Ω","N/A")</f>
        <v>161 – 1100 Ω</v>
      </c>
      <c r="I111" s="277" t="str">
        <f aca="false">IFERROR(INDEX(A38:A103,MATCH(MIN(DT38:DT103),DT38:DT103,0)),"")</f>
        <v>29:1</v>
      </c>
      <c r="J111" s="274" t="n">
        <f aca="false">IFERROR(ROUND(MIN(DT38:DT103),2),"")</f>
        <v>6.66</v>
      </c>
      <c r="K111" s="274" t="str">
        <f aca="false">IFERROR(INDEX({"4:1★","9:1★","16:1★","25:1★","36:1★","49:1★","64:1★"},MATCH(MIN(DT38,DT43,DT50,DT59,DT70,DT83,DT98),INDEX(DT$38:DT$103,{1,6,13,22,33,46,61}),0)),"—")</f>
        <v>25:1★</v>
      </c>
      <c r="L111" s="274" t="n">
        <f aca="false">IFERROR(ROUND(MIN(DT38,DT43,DT50,DT59,DT70,DT83,DT98),2),"—")</f>
        <v>6.76</v>
      </c>
    </row>
    <row r="112" customFormat="false" ht="27.75" hidden="false" customHeight="true" outlineLevel="0" collapsed="false">
      <c r="A112" s="275" t="s">
        <v>478</v>
      </c>
      <c r="B112" s="276" t="n">
        <f aca="false">Calculator!$B$34</f>
        <v>43.3</v>
      </c>
      <c r="C112" s="277" t="str">
        <f aca="false">Calculator!$G$34</f>
        <v>Excellent home station</v>
      </c>
      <c r="D112" s="275" t="str">
        <f aca="false">IFERROR(INDEX(A38:A103,MATCH(MIN(EF38:EF103),EF38:EF103,0)),"")</f>
        <v>30:1</v>
      </c>
      <c r="E112" s="275" t="n">
        <f aca="false">IFERROR(ROUND(MIN(EF38:EF103),2),"")</f>
        <v>7.26</v>
      </c>
      <c r="F112" s="275" t="str">
        <f aca="false">IFERROR(INDEX({"4:1★","9:1★","16:1★","25:1★","36:1★","49:1★","64:1★"},MATCH(MIN(EF38,EF43,EF50,EF59,EF70,EF83,EF98),INDEX(BK$38:BK$103,{1,6,13,22,33,46,61}),0)),"—")</f>
        <v>—</v>
      </c>
      <c r="G112" s="275" t="n">
        <f aca="false">IFERROR(ROUND(MIN(EF38,EF43,EF50,EF59,EF70,EF83,EF98),2),"—")</f>
        <v>7.38</v>
      </c>
      <c r="H112" s="275"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207 – 1245 Ω</v>
      </c>
      <c r="I112" s="277" t="str">
        <f aca="false">IFERROR(INDEX(A38:A103,MATCH(MIN(GO38:GO103),GO38:GO103,0)),"")</f>
        <v>30:1</v>
      </c>
      <c r="J112" s="274" t="n">
        <f aca="false">IFERROR(ROUND(MIN(GO38:GO103),2),"")</f>
        <v>6.52</v>
      </c>
      <c r="K112" s="274" t="str">
        <f aca="false">IFERROR(INDEX({"4:1★","9:1★","16:1★","25:1★","36:1★","49:1★","64:1★"},MATCH(MIN(GO38,GO43,GO50,GO59,GO70,GO83,GO98),INDEX(DT$38:DT$103,{1,6,13,22,33,46,61}),0)),"—")</f>
        <v>—</v>
      </c>
      <c r="L112" s="274" t="n">
        <f aca="false">IFERROR(ROUND(MIN(GO38,GO43,GO50,GO59,GO70,GO83,GO98),2),"—")</f>
        <v>6.61</v>
      </c>
    </row>
    <row r="113" customFormat="false" ht="41.25" hidden="false" customHeight="true" outlineLevel="0" collapsed="false">
      <c r="A113" s="275" t="s">
        <v>479</v>
      </c>
      <c r="B113" s="276" t="n">
        <f aca="false">Calculator!$B$35</f>
        <v>23.4</v>
      </c>
      <c r="C113" s="277" t="str">
        <f aca="false">Calculator!$G$35</f>
        <v>Good portable/home</v>
      </c>
      <c r="D113" s="275" t="str">
        <f aca="false">IFERROR(INDEX(A38:A103,MATCH(MIN(ER38:ER103),ER38:ER103,0)),"")</f>
        <v>29:1</v>
      </c>
      <c r="E113" s="275" t="n">
        <f aca="false">IFERROR(ROUND(MIN(ER38:ER103),2),"")</f>
        <v>9.13</v>
      </c>
      <c r="F113" s="275" t="str">
        <f aca="false">IFERROR(INDEX({"4:1★","9:1★","16:1★","25:1★","36:1★","49:1★","64:1★"},MATCH(MIN(ER38,ER43,ER50,ER59,ER70,ER83,ER98),INDEX(BK$38:BK$103,{1,6,13,22,33,46,61}),0)),"—")</f>
        <v>—</v>
      </c>
      <c r="G113" s="275" t="n">
        <f aca="false">IFERROR(ROUND(MIN(ER38,ER43,ER50,ER59,ER70,ER83,ER98),2),"—")</f>
        <v>9.24</v>
      </c>
      <c r="H113" s="275"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160 – 1223 Ω</v>
      </c>
      <c r="I113" s="277" t="str">
        <f aca="false">IFERROR(INDEX(A38:A103,MATCH(MIN(HA38:HA103),HA38:HA103,0)),"")</f>
        <v>29:1</v>
      </c>
      <c r="J113" s="274" t="n">
        <f aca="false">IFERROR(ROUND(MIN(HA38:HA103),2),"")</f>
        <v>7.92</v>
      </c>
      <c r="K113" s="274" t="str">
        <f aca="false">IFERROR(INDEX({"4:1★","9:1★","16:1★","25:1★","36:1★","49:1★","64:1★"},MATCH(MIN(HA38,HA43,HA50,HA59,HA70,HA83,HA98),INDEX(DT$38:DT$103,{1,6,13,22,33,46,61}),0)),"—")</f>
        <v>—</v>
      </c>
      <c r="L113" s="274" t="n">
        <f aca="false">IFERROR(ROUND(MIN(HA38,HA43,HA50,HA59,HA70,HA83,HA98),2),"—")</f>
        <v>8.02</v>
      </c>
    </row>
    <row r="114" customFormat="false" ht="27.75" hidden="false" customHeight="true" outlineLevel="0" collapsed="false">
      <c r="A114" s="275" t="s">
        <v>480</v>
      </c>
      <c r="B114" s="276" t="n">
        <f aca="false">Calculator!$B$36</f>
        <v>33.3</v>
      </c>
      <c r="C114" s="277" t="str">
        <f aca="false">Calculator!$G$36</f>
        <v>Excellent home station</v>
      </c>
      <c r="D114" s="275" t="str">
        <f aca="false">IFERROR(INDEX(A38:A103,MATCH(MIN(FD38:FD103),FD38:FD103,0)),"")</f>
        <v>28:1</v>
      </c>
      <c r="E114" s="275" t="n">
        <f aca="false">IFERROR(ROUND(MIN(FD38:FD103),2),"")</f>
        <v>12.97</v>
      </c>
      <c r="F114" s="275" t="str">
        <f aca="false">IFERROR(INDEX({"4:1★","9:1★","16:1★","25:1★","36:1★","49:1★","64:1★"},MATCH(MIN(FD38,FD43,FD50,FD59,FD70,FD83,FD98),INDEX(BK$38:BK$103,{1,6,13,22,33,46,61}),0)),"—")</f>
        <v>—</v>
      </c>
      <c r="G114" s="275" t="n">
        <f aca="false">IFERROR(ROUND(MIN(FD38,FD43,FD50,FD59,FD70,FD83,FD98),2),"—")</f>
        <v>13.06</v>
      </c>
      <c r="H114" s="275"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157 – 399 Ω</v>
      </c>
      <c r="I114" s="277" t="str">
        <f aca="false">IFERROR(INDEX(A38:A103,MATCH(MIN(HM38:HM103),HM38:HM103,0)),"")</f>
        <v>28:1</v>
      </c>
      <c r="J114" s="274" t="n">
        <f aca="false">IFERROR(ROUND(MIN(HM38:HM103),2),"")</f>
        <v>10.93</v>
      </c>
      <c r="K114" s="274" t="str">
        <f aca="false">IFERROR(INDEX({"4:1★","9:1★","16:1★","25:1★","36:1★","49:1★","64:1★"},MATCH(MIN(HM38,HM43,HM50,HM59,HM70,HM83,HM98),INDEX(DT$38:DT$103,{1,6,13,22,33,46,61}),0)),"—")</f>
        <v>—</v>
      </c>
      <c r="L114" s="274" t="n">
        <f aca="false">IFERROR(ROUND(MIN(HM38,HM43,HM50,HM59,HM70,HM83,HM98),2),"—")</f>
        <v>11.01</v>
      </c>
    </row>
    <row r="115" customFormat="false" ht="41.25" hidden="false" customHeight="true" outlineLevel="0" collapsed="false">
      <c r="A115" s="275" t="s">
        <v>481</v>
      </c>
      <c r="B115" s="276" t="n">
        <f aca="false">Calculator!$B$37</f>
        <v>53.2</v>
      </c>
      <c r="C115" s="277" t="str">
        <f aca="false">Calculator!$G$37</f>
        <v>Long wire – max performance</v>
      </c>
      <c r="D115" s="275" t="str">
        <f aca="false">IFERROR(INDEX(A38:A103,MATCH(MIN(FP38:FP103),FP38:FP103,0)),"")</f>
        <v>28:1</v>
      </c>
      <c r="E115" s="275" t="n">
        <f aca="false">IFERROR(ROUND(MIN(FP38:FP103),2),"")</f>
        <v>11.3</v>
      </c>
      <c r="F115" s="275" t="str">
        <f aca="false">IFERROR(INDEX({"4:1★","9:1★","16:1★","25:1★","36:1★","49:1★","64:1★"},MATCH(MIN(FP38,FP43,FP50,FP59,FP70,FP83,FP98),INDEX(BK$38:BK$103,{1,6,13,22,33,46,61}),0)),"—")</f>
        <v>—</v>
      </c>
      <c r="G115" s="275" t="n">
        <f aca="false">IFERROR(ROUND(MIN(FP38,FP43,FP50,FP59,FP70,FP83,FP98),2),"—")</f>
        <v>11.38</v>
      </c>
      <c r="H115" s="275"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154 – 594 Ω</v>
      </c>
      <c r="I115" s="277" t="str">
        <f aca="false">IFERROR(INDEX(A38:A103,MATCH(MIN(HY38:HY103),HY38:HY103,0)),"")</f>
        <v>28:1</v>
      </c>
      <c r="J115" s="274" t="n">
        <f aca="false">IFERROR(ROUND(MIN(HY38:HY103),2),"")</f>
        <v>9.62</v>
      </c>
      <c r="K115" s="274" t="str">
        <f aca="false">IFERROR(INDEX({"4:1★","9:1★","16:1★","25:1★","36:1★","49:1★","64:1★"},MATCH(MIN(HY38,HY43,HY50,HY59,HY70,HY83,HY98),INDEX(DT$38:DT$103,{1,6,13,22,33,46,61}),0)),"—")</f>
        <v>—</v>
      </c>
      <c r="L115" s="274" t="n">
        <f aca="false">IFERROR(ROUND(MIN(HY38,HY43,HY50,HY59,HY70,HY83,HY98),2),"—")</f>
        <v>9.71</v>
      </c>
    </row>
    <row r="116" customFormat="false" ht="41.25" hidden="false" customHeight="true" outlineLevel="0" collapsed="false">
      <c r="A116" s="275" t="s">
        <v>482</v>
      </c>
      <c r="B116" s="276" t="n">
        <f aca="false">Calculator!$B$38</f>
        <v>23.3</v>
      </c>
      <c r="C116" s="277" t="str">
        <f aca="false">Calculator!$G$38</f>
        <v>Good portable/home</v>
      </c>
      <c r="D116" s="275" t="str">
        <f aca="false">IFERROR(INDEX(A38:A103,MATCH(MIN(GB38:GB103),GB38:GB103,0)),"")</f>
        <v>29:1</v>
      </c>
      <c r="E116" s="275" t="n">
        <f aca="false">IFERROR(ROUND(MIN(GB38:GB103),2),"")</f>
        <v>9.36</v>
      </c>
      <c r="F116" s="275" t="str">
        <f aca="false">IFERROR(INDEX({"4:1★","9:1★","16:1★","25:1★","36:1★","49:1★","64:1★"},MATCH(MIN(GB38,GB43,GB50,GB59,GB70,GB83,GB98),INDEX(BK$38:BK$103,{1,6,13,22,33,46,61}),0)),"—")</f>
        <v>—</v>
      </c>
      <c r="G116" s="275" t="n">
        <f aca="false">IFERROR(ROUND(MIN(GB38,GB43,GB50,GB59,GB70,GB83,GB98),2),"—")</f>
        <v>9.49</v>
      </c>
      <c r="H116" s="275"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181 – 1299 Ω</v>
      </c>
      <c r="I116" s="277" t="str">
        <f aca="false">IFERROR(INDEX(A38:A103,MATCH(MIN(IK38:IK103),IK38:IK103,0)),"")</f>
        <v>29:1</v>
      </c>
      <c r="J116" s="274" t="n">
        <f aca="false">IFERROR(ROUND(MIN(IK38:IK103),2),"")</f>
        <v>8.09</v>
      </c>
      <c r="K116" s="274" t="str">
        <f aca="false">IFERROR(INDEX({"4:1★","9:1★","16:1★","25:1★","36:1★","49:1★","64:1★"},MATCH(MIN(IK38,IK43,IK50,IK59,IK70,IK83,IK98),INDEX(DT$38:DT$103,{1,6,13,22,33,46,61}),0)),"—")</f>
        <v>—</v>
      </c>
      <c r="L116" s="274" t="n">
        <f aca="false">IFERROR(ROUND(MIN(IK38,IK43,IK50,IK59,IK70,IK83,IK98),2),"—")</f>
        <v>8.21</v>
      </c>
    </row>
  </sheetData>
  <mergeCells count="12">
    <mergeCell ref="A1:BK1"/>
    <mergeCell ref="A2:H2"/>
    <mergeCell ref="A6:I6"/>
    <mergeCell ref="A20:K20"/>
    <mergeCell ref="A34:BK34"/>
    <mergeCell ref="A35:BK35"/>
    <mergeCell ref="D36:O36"/>
    <mergeCell ref="P36:AA36"/>
    <mergeCell ref="AB36:AM36"/>
    <mergeCell ref="AN36:AY36"/>
    <mergeCell ref="AZ36:BK36"/>
    <mergeCell ref="A105:H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278" t="s">
        <v>483</v>
      </c>
      <c r="B1" s="278" t="s">
        <v>484</v>
      </c>
      <c r="C1" s="278" t="s">
        <v>485</v>
      </c>
      <c r="D1" s="278" t="s">
        <v>486</v>
      </c>
      <c r="E1" s="278" t="s">
        <v>487</v>
      </c>
      <c r="F1" s="278" t="s">
        <v>488</v>
      </c>
    </row>
    <row r="2" customFormat="false" ht="13.5" hidden="false" customHeight="true" outlineLevel="0" collapsed="false">
      <c r="A2" s="74" t="s">
        <v>489</v>
      </c>
      <c r="B2" s="74" t="s">
        <v>490</v>
      </c>
      <c r="C2" s="74" t="n">
        <v>510</v>
      </c>
      <c r="D2" s="74" t="n">
        <v>29</v>
      </c>
      <c r="E2" s="74" t="n">
        <v>19</v>
      </c>
      <c r="F2" s="74" t="n">
        <v>7.5</v>
      </c>
    </row>
    <row r="3" customFormat="false" ht="13.5" hidden="false" customHeight="true" outlineLevel="0" collapsed="false">
      <c r="A3" s="74" t="s">
        <v>491</v>
      </c>
      <c r="B3" s="74" t="s">
        <v>490</v>
      </c>
      <c r="C3" s="74" t="n">
        <v>885</v>
      </c>
      <c r="D3" s="74" t="n">
        <v>35.6</v>
      </c>
      <c r="E3" s="74" t="n">
        <v>22.9</v>
      </c>
      <c r="F3" s="74" t="n">
        <v>12.7</v>
      </c>
    </row>
    <row r="4" customFormat="false" ht="13.5" hidden="false" customHeight="true" outlineLevel="0" collapsed="false">
      <c r="A4" s="74" t="s">
        <v>492</v>
      </c>
      <c r="B4" s="74" t="s">
        <v>490</v>
      </c>
      <c r="C4" s="74" t="n">
        <v>1075</v>
      </c>
      <c r="D4" s="74" t="n">
        <v>61</v>
      </c>
      <c r="E4" s="74" t="n">
        <v>35.6</v>
      </c>
      <c r="F4" s="74" t="n">
        <v>12.7</v>
      </c>
    </row>
    <row r="5" customFormat="false" ht="13.5" hidden="false" customHeight="true" outlineLevel="0" collapsed="false">
      <c r="A5" s="74" t="s">
        <v>493</v>
      </c>
      <c r="B5" s="74" t="s">
        <v>494</v>
      </c>
      <c r="C5" s="74" t="n">
        <v>800</v>
      </c>
      <c r="D5" s="74" t="n">
        <v>29</v>
      </c>
      <c r="E5" s="74" t="n">
        <v>19</v>
      </c>
      <c r="F5" s="74" t="n">
        <v>7.5</v>
      </c>
    </row>
    <row r="6" customFormat="false" ht="13.5" hidden="false" customHeight="true" outlineLevel="0" collapsed="false">
      <c r="A6" s="74" t="s">
        <v>495</v>
      </c>
      <c r="B6" s="74" t="s">
        <v>494</v>
      </c>
      <c r="C6" s="74" t="n">
        <v>1390</v>
      </c>
      <c r="D6" s="74" t="n">
        <v>35.6</v>
      </c>
      <c r="E6" s="74" t="n">
        <v>22.9</v>
      </c>
      <c r="F6" s="74" t="n">
        <v>12.7</v>
      </c>
    </row>
    <row r="7" customFormat="false" ht="13.5" hidden="false" customHeight="true" outlineLevel="0" collapsed="false">
      <c r="A7" s="74" t="s">
        <v>496</v>
      </c>
      <c r="B7" s="74" t="s">
        <v>494</v>
      </c>
      <c r="C7" s="74" t="n">
        <v>1800</v>
      </c>
      <c r="D7" s="74" t="n">
        <v>61</v>
      </c>
      <c r="E7" s="74" t="n">
        <v>35.6</v>
      </c>
      <c r="F7" s="74" t="n">
        <v>12.7</v>
      </c>
    </row>
    <row r="8" customFormat="false" ht="13.5" hidden="false" customHeight="true" outlineLevel="0" collapsed="false">
      <c r="A8" s="74" t="s">
        <v>497</v>
      </c>
      <c r="B8" s="74" t="s">
        <v>498</v>
      </c>
      <c r="C8" s="74" t="n">
        <v>175</v>
      </c>
      <c r="D8" s="74" t="n">
        <v>29</v>
      </c>
      <c r="E8" s="74" t="n">
        <v>19</v>
      </c>
      <c r="F8" s="74" t="n">
        <v>7.5</v>
      </c>
    </row>
    <row r="9" customFormat="false" ht="13.5" hidden="false" customHeight="true" outlineLevel="0" collapsed="false">
      <c r="A9" s="74" t="s">
        <v>499</v>
      </c>
      <c r="B9" s="74" t="s">
        <v>498</v>
      </c>
      <c r="C9" s="74" t="n">
        <v>225</v>
      </c>
      <c r="D9" s="74" t="n">
        <v>35.6</v>
      </c>
      <c r="E9" s="74" t="n">
        <v>22.9</v>
      </c>
      <c r="F9" s="74" t="n">
        <v>12.7</v>
      </c>
    </row>
    <row r="10" customFormat="false" ht="13.5" hidden="false" customHeight="true" outlineLevel="0" collapsed="false">
      <c r="A10" s="74" t="s">
        <v>500</v>
      </c>
      <c r="B10" s="74" t="s">
        <v>498</v>
      </c>
      <c r="C10" s="74" t="n">
        <v>300</v>
      </c>
      <c r="D10" s="74" t="n">
        <v>61</v>
      </c>
      <c r="E10" s="74" t="n">
        <v>35.6</v>
      </c>
      <c r="F10" s="74" t="n">
        <v>12.7</v>
      </c>
    </row>
    <row r="11" customFormat="false" ht="13.5" hidden="false" customHeight="true" outlineLevel="0" collapsed="false">
      <c r="A11" s="74" t="s">
        <v>501</v>
      </c>
      <c r="B11" s="74" t="s">
        <v>502</v>
      </c>
      <c r="C11" s="74" t="n">
        <v>79.3</v>
      </c>
      <c r="D11" s="74" t="n">
        <v>29</v>
      </c>
      <c r="E11" s="74" t="n">
        <v>19</v>
      </c>
      <c r="F11" s="74" t="n">
        <v>7.5</v>
      </c>
    </row>
    <row r="12" customFormat="false" ht="13.5" hidden="false" customHeight="true" outlineLevel="0" collapsed="false">
      <c r="A12" s="74" t="s">
        <v>503</v>
      </c>
      <c r="B12" s="74" t="s">
        <v>502</v>
      </c>
      <c r="C12" s="74" t="n">
        <v>140</v>
      </c>
      <c r="D12" s="74" t="n">
        <v>35.6</v>
      </c>
      <c r="E12" s="74" t="n">
        <v>22.9</v>
      </c>
      <c r="F12" s="74" t="n">
        <v>12.7</v>
      </c>
    </row>
    <row r="13" customFormat="false" ht="13.5" hidden="false" customHeight="true" outlineLevel="0" collapsed="false">
      <c r="A13" s="74" t="s">
        <v>504</v>
      </c>
      <c r="B13" s="74" t="s">
        <v>502</v>
      </c>
      <c r="C13" s="74" t="n">
        <v>170</v>
      </c>
      <c r="D13" s="74" t="n">
        <v>61</v>
      </c>
      <c r="E13" s="74" t="n">
        <v>35.6</v>
      </c>
      <c r="F13" s="74" t="n">
        <v>12.7</v>
      </c>
    </row>
    <row r="14" customFormat="false" ht="13.5" hidden="false" customHeight="true" outlineLevel="0" collapsed="false">
      <c r="A14" s="74" t="s">
        <v>505</v>
      </c>
      <c r="B14" s="74" t="s">
        <v>506</v>
      </c>
      <c r="C14" s="74" t="n">
        <v>11</v>
      </c>
      <c r="D14" s="74" t="n">
        <v>33</v>
      </c>
      <c r="E14" s="74" t="n">
        <v>19.8</v>
      </c>
      <c r="F14" s="74" t="n">
        <v>11.1</v>
      </c>
    </row>
    <row r="15" customFormat="false" ht="13.5" hidden="false" customHeight="true" outlineLevel="0" collapsed="false">
      <c r="A15" s="74" t="s">
        <v>118</v>
      </c>
      <c r="B15" s="74" t="s">
        <v>506</v>
      </c>
      <c r="C15" s="74" t="n">
        <v>12</v>
      </c>
      <c r="D15" s="74" t="n">
        <v>50.8</v>
      </c>
      <c r="E15" s="74" t="n">
        <v>31.8</v>
      </c>
      <c r="F15" s="74" t="n">
        <v>14</v>
      </c>
    </row>
    <row r="16" customFormat="false" ht="13.5" hidden="false" customHeight="true" outlineLevel="0" collapsed="false">
      <c r="A16" s="74" t="s">
        <v>507</v>
      </c>
      <c r="B16" s="74" t="s">
        <v>508</v>
      </c>
      <c r="C16" s="74" t="n">
        <v>9.6</v>
      </c>
      <c r="D16" s="74" t="n">
        <v>33</v>
      </c>
      <c r="E16" s="74" t="n">
        <v>19.8</v>
      </c>
      <c r="F16" s="74" t="n">
        <v>11.1</v>
      </c>
    </row>
    <row r="17" customFormat="false" ht="13.5" hidden="false" customHeight="true" outlineLevel="0" collapsed="false">
      <c r="A17" s="74" t="s">
        <v>509</v>
      </c>
      <c r="B17" s="74" t="s">
        <v>508</v>
      </c>
      <c r="C17" s="74" t="n">
        <v>11.6</v>
      </c>
      <c r="D17" s="74" t="n">
        <v>50.8</v>
      </c>
      <c r="E17" s="74" t="n">
        <v>31.8</v>
      </c>
      <c r="F17" s="74"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13</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2026-05-31T11:53:58Z</dcterms:modified>
  <cp:revision>218</cp:revision>
  <dc:subject/>
  <dc:title/>
</cp:coreProperties>
</file>

<file path=docProps/custom.xml><?xml version="1.0" encoding="utf-8"?>
<Properties xmlns="http://schemas.openxmlformats.org/officeDocument/2006/custom-properties" xmlns:vt="http://schemas.openxmlformats.org/officeDocument/2006/docPropsVTypes"/>
</file>